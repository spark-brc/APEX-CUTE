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3.xml" ContentType="application/vnd.openxmlformats-officedocument.spreadsheetml.comments+xml"/>
  <Override PartName="/xl/drawings/drawing7.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5.xml" ContentType="application/vnd.openxmlformats-officedocument.spreadsheetml.comments+xml"/>
  <Override PartName="/xl/drawings/drawing9.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10.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omments7.xml" ContentType="application/vnd.openxmlformats-officedocument.spreadsheetml.comments+xml"/>
  <Override PartName="/xl/drawings/drawing11.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comments8.xml" ContentType="application/vnd.openxmlformats-officedocument.spreadsheetml.comments+xml"/>
  <Override PartName="/xl/drawings/drawing12.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9.xml" ContentType="application/vnd.openxmlformats-officedocument.spreadsheetml.comments+xml"/>
  <Override PartName="/xl/drawings/drawing13.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comments10.xml" ContentType="application/vnd.openxmlformats-officedocument.spreadsheetml.comments+xml"/>
  <Override PartName="/xl/drawings/drawing14.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comments11.xml" ContentType="application/vnd.openxmlformats-officedocument.spreadsheetml.comments+xml"/>
  <Override PartName="/xl/drawings/drawing15.xml" ContentType="application/vnd.openxmlformats-officedocument.drawing+xml"/>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12.xml" ContentType="application/vnd.openxmlformats-officedocument.spreadsheetml.comments+xml"/>
  <Override PartName="/xl/drawings/drawing1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comments13.xml" ContentType="application/vnd.openxmlformats-officedocument.spreadsheetml.comments+xml"/>
  <Override PartName="/xl/drawings/drawing17.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comments14.xml" ContentType="application/vnd.openxmlformats-officedocument.spreadsheetml.comments+xml"/>
  <Override PartName="/xl/drawings/drawing18.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comments15.xml" ContentType="application/vnd.openxmlformats-officedocument.spreadsheetml.comments+xml"/>
  <Override PartName="/xl/drawings/drawing19.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comments16.xml" ContentType="application/vnd.openxmlformats-officedocument.spreadsheetml.comments+xml"/>
  <Override PartName="/xl/drawings/drawing20.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comments17.xml" ContentType="application/vnd.openxmlformats-officedocument.spreadsheetml.comments+xml"/>
  <Override PartName="/xl/drawings/drawing21.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omments18.xml" ContentType="application/vnd.openxmlformats-officedocument.spreadsheetml.comments+xml"/>
  <Override PartName="/xl/drawings/drawing22.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19.xml" ContentType="application/vnd.openxmlformats-officedocument.spreadsheetml.comments+xml"/>
  <Override PartName="/xl/drawings/drawing23.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comments20.xml" ContentType="application/vnd.openxmlformats-officedocument.spreadsheetml.comments+xml"/>
  <Override PartName="/xl/drawings/drawing24.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comments21.xml" ContentType="application/vnd.openxmlformats-officedocument.spreadsheetml.comments+xml"/>
  <Override PartName="/xl/drawings/drawing25.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comments22.xml" ContentType="application/vnd.openxmlformats-officedocument.spreadsheetml.comments+xml"/>
  <Override PartName="/xl/drawings/drawing26.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27.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drawings/drawing28.xml" ContentType="application/vnd.openxmlformats-officedocument.drawing+xml"/>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D:\APEX\APEX_CUTE\apex_tool_1501\project\project1501\TxtWork\"/>
    </mc:Choice>
  </mc:AlternateContent>
  <xr:revisionPtr revIDLastSave="0" documentId="13_ncr:1_{CC3336E8-E866-468F-8BA1-91449E69F89C}" xr6:coauthVersionLast="47" xr6:coauthVersionMax="47" xr10:uidLastSave="{00000000-0000-0000-0000-000000000000}"/>
  <bookViews>
    <workbookView xWindow="-24240" yWindow="-2520" windowWidth="19550" windowHeight="17570" tabRatio="869" activeTab="8" xr2:uid="{00000000-000D-0000-FFFF-FFFF00000000}"/>
  </bookViews>
  <sheets>
    <sheet name="APEXMAIN" sheetId="2" r:id="rId1"/>
    <sheet name="APEXFILE.DAT" sheetId="1" r:id="rId2"/>
    <sheet name="APEXRUN.DAT" sheetId="3" r:id="rId3"/>
    <sheet name="APEXCONT.DAT" sheetId="4" r:id="rId4"/>
    <sheet name="APEXDIM.DAT" sheetId="11" r:id="rId5"/>
    <sheet name="APEXPRINT.DAT" sheetId="10" r:id="rId6"/>
    <sheet name="APEXPARM.DAT" sheetId="9" r:id="rId7"/>
    <sheet name="MNGT.MNG" sheetId="12" r:id="rId8"/>
    <sheet name="SOIL.SOL" sheetId="17" r:id="rId9"/>
    <sheet name="SUBS.SUB" sheetId="16" r:id="rId10"/>
    <sheet name="SITE.SIT" sheetId="19" r:id="rId11"/>
    <sheet name="APEXTILL.TAB" sheetId="5" r:id="rId12"/>
    <sheet name="APEXPLANT.TAB" sheetId="6" r:id="rId13"/>
    <sheet name="APEXFERT.TAB" sheetId="7" r:id="rId14"/>
    <sheet name="APEXPEST.TAB" sheetId="8" r:id="rId15"/>
    <sheet name="WDLY.DLY" sheetId="23" r:id="rId16"/>
    <sheet name="WPM1.WP1" sheetId="24" r:id="rId17"/>
    <sheet name="WIND.WND" sheetId="25" r:id="rId18"/>
    <sheet name="SITE.LIST" sheetId="21" r:id="rId19"/>
    <sheet name="MNGT.LIST" sheetId="18" r:id="rId20"/>
    <sheet name="SOLC.LIST" sheetId="20" r:id="rId21"/>
    <sheet name="WDLY.LIST" sheetId="13" r:id="rId22"/>
    <sheet name="WPM1.LIST" sheetId="14" r:id="rId23"/>
    <sheet name="WIND.LIST" sheetId="15" r:id="rId24"/>
    <sheet name="SUBA.LIST" sheetId="22" r:id="rId25"/>
    <sheet name="OUT.ACY" sheetId="30" r:id="rId26"/>
    <sheet name="OUT.AWP" sheetId="31" r:id="rId27"/>
    <sheet name="OUT.RCH" sheetId="32" r:id="rId28"/>
  </sheets>
  <definedNames>
    <definedName name="_xlnm._FilterDatabase" localSheetId="3" hidden="1">APEXCONT.DAT!$A$92:$D$98</definedName>
    <definedName name="_xlnm._FilterDatabase" localSheetId="11" hidden="1">APEXTILL.TAB!$A$5:$AG$605</definedName>
    <definedName name="_xlnm._FilterDatabase" localSheetId="25" hidden="1">OUT.ACY!$A$4:$AF$578</definedName>
    <definedName name="_xlnm._FilterDatabase" localSheetId="26" hidden="1">OUT.AWP!$A$4:$BC$24</definedName>
    <definedName name="_xlnm._FilterDatabase" localSheetId="27" hidden="1">OUT.RCH!$A$4:$BC$24</definedName>
    <definedName name="_xlnm._FilterDatabase" localSheetId="10" hidden="1">SITE.SIT!$A$35:$D$42</definedName>
    <definedName name="_xlnm._FilterDatabase" localSheetId="15" hidden="1">WDLY.DLY!$A$5:$J$7310</definedName>
    <definedName name="_Toc352162512" localSheetId="4">APEXDIM.DAT!$A$1</definedName>
    <definedName name="OLE_LINK27" localSheetId="1">APEXFILE.DAT!#REF!</definedName>
    <definedName name="OLE_LINK29" localSheetId="1">APEXFILE.DAT!$C$7</definedName>
    <definedName name="OLE_LINK3" localSheetId="3">APEXCONT.DAT!#REF!</definedName>
    <definedName name="OLE_LINK3" localSheetId="10">SITE.SIT!#REF!</definedName>
    <definedName name="OLE_LINK33" localSheetId="3">APEXCONT.DAT!#REF!</definedName>
    <definedName name="OLE_LINK33" localSheetId="10">SITE.SIT!#REF!</definedName>
    <definedName name="OLE_LINK52" localSheetId="5">APEXPRINT.DAT!$J$15</definedName>
    <definedName name="OLE_LINK61" localSheetId="5">APEXPRINT.DAT!#REF!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S6" i="9" l="1"/>
  <c r="AS7" i="9"/>
  <c r="AS9" i="9" s="1"/>
  <c r="J9" i="9"/>
  <c r="AS8" i="9" l="1"/>
  <c r="AS10" i="9" s="1"/>
  <c r="AS13" i="9"/>
  <c r="AS11" i="9" l="1"/>
  <c r="AS12" i="9" s="1"/>
  <c r="AU26" i="9"/>
  <c r="AU7" i="9"/>
  <c r="AU24" i="9"/>
  <c r="AU14" i="9"/>
  <c r="AU10" i="9"/>
  <c r="AU8" i="9"/>
  <c r="AU25" i="9"/>
  <c r="AU23" i="9"/>
  <c r="AU6" i="9"/>
  <c r="AU22" i="9"/>
  <c r="AU12" i="9"/>
  <c r="AU21" i="9"/>
  <c r="AU20" i="9"/>
  <c r="AU19" i="9"/>
  <c r="AU18" i="9"/>
  <c r="AU16" i="9"/>
  <c r="AU15" i="9"/>
  <c r="AU9" i="9"/>
  <c r="AU17" i="9"/>
  <c r="AU13" i="9"/>
  <c r="AU11" i="9"/>
  <c r="AV13" i="9" l="1"/>
  <c r="AV25" i="9"/>
  <c r="AV17" i="9"/>
  <c r="AV9" i="9"/>
  <c r="AV18" i="9"/>
  <c r="AV8" i="9"/>
  <c r="AV20" i="9"/>
  <c r="AV7" i="9"/>
  <c r="AV16" i="9"/>
  <c r="AV21" i="9"/>
  <c r="AV23" i="9"/>
  <c r="AV11" i="9"/>
  <c r="AV15" i="9"/>
  <c r="AV19" i="9"/>
  <c r="AV12" i="9"/>
  <c r="AV22" i="9"/>
  <c r="AV6" i="9"/>
  <c r="AV10" i="9"/>
  <c r="AV14" i="9"/>
  <c r="AV24" i="9"/>
  <c r="AV26"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B7" authorId="0" shapeId="0" xr:uid="{00000000-0006-0000-0000-000001000000}">
      <text>
        <r>
          <rPr>
            <sz val="9"/>
            <color indexed="81"/>
            <rFont val="Tahoma"/>
            <family val="2"/>
          </rPr>
          <t>Set the path to the folder where APEX0806.EXE and input files are.
Leave blank to use the current work directory.</t>
        </r>
      </text>
    </comment>
    <comment ref="K7" authorId="1" shapeId="0" xr:uid="{00000000-0006-0000-0000-000002000000}">
      <text>
        <r>
          <rPr>
            <sz val="9"/>
            <color indexed="81"/>
            <rFont val="Tahoma"/>
            <family val="2"/>
          </rPr>
          <t xml:space="preserve">By default the APEX executable is: </t>
        </r>
        <r>
          <rPr>
            <b/>
            <sz val="9"/>
            <color indexed="81"/>
            <rFont val="Tahoma"/>
            <family val="2"/>
          </rPr>
          <t>APEX.exe</t>
        </r>
        <r>
          <rPr>
            <sz val="9"/>
            <color indexed="81"/>
            <rFont val="Tahoma"/>
            <family val="2"/>
          </rPr>
          <t xml:space="preserve">
If different, provide the name of the executable (not the extension). Otherwise, leave empty.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Javier M. Osorio</author>
  </authors>
  <commentList>
    <comment ref="A3" authorId="0" shapeId="0" xr:uid="{00000000-0006-0000-0300-000001000000}">
      <text>
        <r>
          <rPr>
            <sz val="9"/>
            <color indexed="81"/>
            <rFont val="Tahoma"/>
            <family val="2"/>
          </rPr>
          <t>Type the file name, the extension ".DAT" will be added it must strart with APEXCONT (i.e. APEXCONT*)</t>
        </r>
      </text>
    </comment>
    <comment ref="B10" authorId="1" shapeId="0" xr:uid="{00000000-0006-0000-0300-000002000000}">
      <text>
        <r>
          <rPr>
            <sz val="9"/>
            <color indexed="81"/>
            <rFont val="Tahoma"/>
            <family val="2"/>
          </rPr>
          <t>1 Annual watershed output 
2 Annual printout 
3 Monthly 
4 Monthly with soil table
5 Monthly with soil table at harvest 
6 Daily at NIPD interval 
7 Soil table at daily NIPD interval
8 Daily interval, rainfall days only 
9 Daily during growing season</t>
        </r>
      </text>
    </comment>
    <comment ref="B11" authorId="1" shapeId="0" xr:uid="{00000000-0006-0000-0300-000003000000}">
      <text>
        <r>
          <rPr>
            <sz val="9"/>
            <color indexed="81"/>
            <rFont val="Tahoma"/>
            <family val="2"/>
          </rPr>
          <t>NGN=1 INPUTS RAIN.
NGN=23 INPUTS RAIN, TEMP, AND RAD.
NGN=2345 INPUTS ALL 5 VARIABLES.
NGN=-1 ALL VARIABLES GENERATED(SAME VALUES ALL SUBAREAS).
NGN=0  ALL VARIABLES GENERATED(SPATIALLY DISTRIBUTED).</t>
        </r>
      </text>
    </comment>
    <comment ref="B13" authorId="1" shapeId="0" xr:uid="{00000000-0006-0000-0300-000004000000}">
      <text>
        <r>
          <rPr>
            <sz val="9"/>
            <color indexed="81"/>
            <rFont val="Tahoma"/>
            <family val="2"/>
          </rPr>
          <t>= 0 For normal operation of weather model
= n No yrs input weather before rewinding</t>
        </r>
      </text>
    </comment>
    <comment ref="B14" authorId="1" shapeId="0" xr:uid="{00000000-0006-0000-0300-000005000000}">
      <text>
        <r>
          <rPr>
            <sz val="9"/>
            <color indexed="81"/>
            <rFont val="Tahoma"/>
            <family val="2"/>
          </rPr>
          <t>0 leap year is considered
1 leap year is ignored</t>
        </r>
      </text>
    </comment>
    <comment ref="B15" authorId="1" shapeId="0" xr:uid="{00000000-0006-0000-0300-000006000000}">
      <text>
        <r>
          <rPr>
            <sz val="9"/>
            <color indexed="81"/>
            <rFont val="Tahoma"/>
            <family val="2"/>
          </rPr>
          <t>1 Penman-Monteith (default when IET= 0)
2 Penman
3 Priestley - Taylor
4 Hargreaves
5 Baier - Robertson</t>
        </r>
      </text>
    </comment>
    <comment ref="B16" authorId="1" shapeId="0" xr:uid="{00000000-0006-0000-0300-000007000000}">
      <text>
        <r>
          <rPr>
            <sz val="9"/>
            <color indexed="81"/>
            <rFont val="Tahoma"/>
            <family val="2"/>
          </rPr>
          <t>0 Stochastic curve number estimator (default)
&gt;0 Rigid curve number estimator (Deterministic)</t>
        </r>
      </text>
    </comment>
    <comment ref="B17" authorId="1" shapeId="0" xr:uid="{00000000-0006-0000-0300-000008000000}">
      <text>
        <r>
          <rPr>
            <sz val="9"/>
            <color indexed="81"/>
            <rFont val="Tahoma"/>
            <family val="2"/>
          </rPr>
          <t xml:space="preserve"> 0 Modified Rational EQ Stochastic Peak Rate Estimate
-1 Modified Rational EQ Rigid Peak Rate Estimate
&gt;0 SCS TR55 Peak Rate estimate
  1 → Type 1 rainfall pattern
  2 → Type 1A rainfall pattern
  3 → Type 2 rainfall pattern
  4 → Type 3 rainfall pattern</t>
        </r>
      </text>
    </comment>
    <comment ref="B18" authorId="1" shapeId="0" xr:uid="{00000000-0006-0000-0300-000009000000}">
      <text>
        <r>
          <rPr>
            <sz val="9"/>
            <color indexed="81"/>
            <rFont val="Tahoma"/>
            <family val="2"/>
          </rPr>
          <t>0 Normal erosion of soil profile
1 Static soil profile</t>
        </r>
      </text>
    </comment>
    <comment ref="B19" authorId="1" shapeId="0" xr:uid="{00000000-0006-0000-0300-00000A000000}">
      <text>
        <r>
          <rPr>
            <sz val="9"/>
            <color indexed="81"/>
            <rFont val="Tahoma"/>
            <family val="2"/>
          </rPr>
          <t>0 Normal operation
1 Automatic heat unit schedule</t>
        </r>
      </text>
    </comment>
    <comment ref="B20" authorId="1" shapeId="0" xr:uid="{00000000-0006-0000-0300-00000B000000}">
      <text>
        <r>
          <rPr>
            <sz val="9"/>
            <color indexed="81"/>
            <rFont val="Tahoma"/>
            <family val="2"/>
          </rPr>
          <t>0 Variable daily CN nonlinear CN/SW with depth soil water weighting
1 Variable daily CN nonlinear CN/SW without depth weighting
2 Variable daily CN linear CN/SW no depth weighting
3 Non-varying CN – CN2 used for all storms
4 Variable daily CN SMI (soil moisture index)</t>
        </r>
      </text>
    </comment>
    <comment ref="B21" authorId="1" shapeId="0" xr:uid="{00000000-0006-0000-0300-00000C000000}">
      <text>
        <r>
          <rPr>
            <sz val="9"/>
            <color indexed="81"/>
            <rFont val="Tahoma"/>
            <family val="2"/>
          </rPr>
          <t>0 CN estimate of Q
1 G&amp;A Q, Rain Fall Exponential Distribution, Peak Rainfall Rate simulated
2 G&amp;A Q, Rainfall Exponential Distribution, Peak Rain Fall Input
3 G&amp;A Q, Rainfall uniformly Distribution, Peak RF Input
4 G&amp;A Q, Rainfall input at time interval DTHY</t>
        </r>
      </text>
    </comment>
    <comment ref="B22" authorId="1" shapeId="0" xr:uid="{00000000-0006-0000-0300-00000D000000}">
      <text>
        <r>
          <rPr>
            <sz val="9"/>
            <color indexed="81"/>
            <rFont val="Tahoma"/>
            <family val="2"/>
          </rPr>
          <t>0 Mass only, pesticides in .OUT file
&gt;0 Pesticides &amp; nutrient output in mass and concentration</t>
        </r>
      </text>
    </comment>
    <comment ref="B23" authorId="1" shapeId="0" xr:uid="{00000000-0006-0000-0300-00000E000000}">
      <text>
        <r>
          <rPr>
            <sz val="9"/>
            <color indexed="81"/>
            <rFont val="Tahoma"/>
            <family val="2"/>
          </rPr>
          <t>0 EPIC enrichment ratio method
1 GLEAMS enrichment ratio method</t>
        </r>
      </text>
    </comment>
    <comment ref="B24" authorId="1" shapeId="0" xr:uid="{00000000-0006-0000-0300-00000F000000}">
      <text>
        <r>
          <rPr>
            <sz val="9"/>
            <color indexed="81"/>
            <rFont val="Tahoma"/>
            <family val="2"/>
          </rPr>
          <t>0 Soluble Phosphorus runoff estimate using GLEAMS pesticide equation
1 Langmuir equation</t>
        </r>
      </text>
    </comment>
    <comment ref="B25" authorId="1" shapeId="0" xr:uid="{00000000-0006-0000-0300-000010000000}">
      <text>
        <r>
          <rPr>
            <sz val="9"/>
            <color indexed="81"/>
            <rFont val="Tahoma"/>
            <family val="2"/>
          </rPr>
          <t>0 Smith Curve
1 S-Curve</t>
        </r>
      </text>
    </comment>
    <comment ref="B28" authorId="1" shapeId="0" xr:uid="{00000000-0006-0000-0300-000011000000}">
      <text>
        <r>
          <rPr>
            <sz val="9"/>
            <color indexed="81"/>
            <rFont val="Tahoma"/>
            <family val="2"/>
          </rPr>
          <t xml:space="preserve">= 0 For auto application to subarea with minimum lab p conc
= 1 For variable p rate limits on annual application based on Jan 1 lab p conc.
= 2 For variable n rate limits on annual application based on Jan 1 lab p conc.
= 3 Same as 1 except applications occur on one subarea at a time until lab p conc
</t>
        </r>
      </text>
    </comment>
    <comment ref="B29" authorId="1" shapeId="0" xr:uid="{00000000-0006-0000-0300-000012000000}">
      <text>
        <r>
          <rPr>
            <sz val="9"/>
            <color indexed="81"/>
            <rFont val="Tahoma"/>
            <family val="2"/>
          </rPr>
          <t>= 0 Does not trigger extra pumping</t>
        </r>
      </text>
    </comment>
    <comment ref="B31" authorId="1" shapeId="0" xr:uid="{00000000-0006-0000-0300-000013000000}">
      <text>
        <r>
          <rPr>
            <sz val="9"/>
            <color indexed="81"/>
            <rFont val="Tahoma"/>
            <family val="2"/>
          </rPr>
          <t>0 RUSLE slope length / steepness factor
&gt;0 MUSLE slope length / steepness factor</t>
        </r>
      </text>
    </comment>
    <comment ref="E31" authorId="1" shapeId="0" xr:uid="{00000000-0006-0000-0300-000014000000}">
      <text>
        <r>
          <rPr>
            <sz val="9"/>
            <color indexed="81"/>
            <rFont val="Tahoma"/>
            <family val="2"/>
          </rPr>
          <t>0 RUSLE slope length / steepness factor
&gt;0 MUSLE slope length / steepness factor</t>
        </r>
      </text>
    </comment>
    <comment ref="B32" authorId="1" shapeId="0" xr:uid="{00000000-0006-0000-0300-000015000000}">
      <text>
        <r>
          <rPr>
            <sz val="9"/>
            <color indexed="81"/>
            <rFont val="Tahoma"/>
            <family val="2"/>
          </rPr>
          <t>= 0 No air quality analysis
&gt; 0 For air quality analysis</t>
        </r>
      </text>
    </comment>
    <comment ref="B33" authorId="1" shapeId="0" xr:uid="{00000000-0006-0000-0300-000016000000}">
      <text>
        <r>
          <rPr>
            <sz val="9"/>
            <color indexed="81"/>
            <rFont val="Tahoma"/>
            <family val="2"/>
          </rPr>
          <t>0 No flood routing;
1 VSC Flood routing
2 SVS Flood routing
3 Muskingum-Cunge VC
4 Muskingum-Cunge 4 point VC</t>
        </r>
      </text>
    </comment>
    <comment ref="E33" authorId="1" shapeId="0" xr:uid="{00000000-0006-0000-0300-000017000000}">
      <text>
        <r>
          <rPr>
            <sz val="9"/>
            <color indexed="81"/>
            <rFont val="Tahoma"/>
            <family val="2"/>
          </rPr>
          <t>0 No flood routing;
1 VSC Flood routing
2 SVS Flood routing
3 Muskingum-Cunge VC
4 Muskingum-Cunge 4 point VC</t>
        </r>
      </text>
    </comment>
    <comment ref="B34" authorId="1" shapeId="0" xr:uid="{00000000-0006-0000-0300-000018000000}">
      <text>
        <r>
          <rPr>
            <sz val="9"/>
            <color indexed="81"/>
            <rFont val="Tahoma"/>
            <family val="2"/>
          </rPr>
          <t>= 0 For constant atmospheric CO2
= 1 For dynamic atmospheric CO2. Base year = 1905; base conc. = 280 ppm
= 2 For inputting CO2. Inputted through daily weather file.</t>
        </r>
      </text>
    </comment>
    <comment ref="E34" authorId="1" shapeId="0" xr:uid="{00000000-0006-0000-0300-000019000000}">
      <text>
        <r>
          <rPr>
            <sz val="9"/>
            <color indexed="81"/>
            <rFont val="Tahoma"/>
            <family val="2"/>
          </rPr>
          <t>0 Constant atmospheric CO2
1 Dynamic atmospheric CO2. Base year = 1905; base conc. = 280 ppm
2 Dynamic atmospheric CO2. Inputted through daily weather file.</t>
        </r>
      </text>
    </comment>
    <comment ref="B35" authorId="1" shapeId="0" xr:uid="{00000000-0006-0000-0300-00001A000000}">
      <text>
        <r>
          <rPr>
            <sz val="9"/>
            <color indexed="81"/>
            <rFont val="Tahoma"/>
            <family val="2"/>
          </rPr>
          <t xml:space="preserve">0 Field capacity/wilting point estimated using the Rawls method (dynamic)
1 Field capacity/wilting point inputted using Rawls method (dynamic)
2 Field capacity/wilting point estimated using Rawls method (static)
3 Field capacity/wilting point inputted (static)
4 Field capacity/wilting point nearest neighbor (dynamic)
5 Field capacity/wilting point nearest neighbor (static)
6 Field capacity/Wilting PT Behrman-Norfleet-Williams (BNW) Dynamic
7 Field capacity/Wilting PT Behrman-Norfleet-Williams (BNW) Static
</t>
        </r>
      </text>
    </comment>
    <comment ref="E35" authorId="1" shapeId="0" xr:uid="{00000000-0006-0000-0300-00001B000000}">
      <text>
        <r>
          <rPr>
            <sz val="9"/>
            <color indexed="81"/>
            <rFont val="Tahoma"/>
            <family val="2"/>
          </rPr>
          <t>0 Field capacity/wilting point estimated using the Rawls method (dynamic)
1 Field capacity/wilting point inputted using Rawls method (dynamic)
2 Field capacity/wilting point estimated using Rawls method (static)
3 Field capacity/wilting point inputted (static)
4 Field capacity/wilting point nearest neighbor (dynamic)
5 Field capacity/wilting point nearest neighbor (static)</t>
        </r>
      </text>
    </comment>
    <comment ref="B37" authorId="1" shapeId="0" xr:uid="{00000000-0006-0000-0300-00001C000000}">
      <text>
        <r>
          <rPr>
            <sz val="9"/>
            <color indexed="81"/>
            <rFont val="Tahoma"/>
            <family val="2"/>
          </rPr>
          <t xml:space="preserve">= 0 For reading data from working directory
&gt; 0 For reading from weatdata directory
</t>
        </r>
      </text>
    </comment>
    <comment ref="B39" authorId="1" shapeId="0" xr:uid="{00000000-0006-0000-0300-00001D000000}">
      <text>
        <r>
          <rPr>
            <sz val="9"/>
            <color indexed="81"/>
            <rFont val="Tahoma"/>
            <family val="2"/>
          </rPr>
          <t xml:space="preserve">= 0 For original epic oxygen/depth function
&gt; 0 For Armen Kemanian carbon/clay function
</t>
        </r>
      </text>
    </comment>
    <comment ref="B40" authorId="1" shapeId="0" xr:uid="{00000000-0006-0000-0300-00001E000000}">
      <text>
        <r>
          <rPr>
            <sz val="9"/>
            <color indexed="81"/>
            <rFont val="Tahoma"/>
            <family val="2"/>
          </rPr>
          <t xml:space="preserve">= 1 For original EPIC denitrification subprogram
= 2 For Armen Kemanian denitrification subprogram
= 3 For Cesar Izaurralde denitrification subprogram (original dw)
= 4 For Cesar Izaurralde denitrification subprogram (new dw)     
</t>
        </r>
      </text>
    </comment>
    <comment ref="E40" authorId="1" shapeId="0" xr:uid="{00000000-0006-0000-0300-00001F000000}">
      <text>
        <r>
          <rPr>
            <sz val="9"/>
            <color indexed="81"/>
            <rFont val="Tahoma"/>
            <family val="2"/>
          </rPr>
          <t>0 Original EPIC Denitrification subprogram
&gt;0 Armen Kemanian Denitrification subprogram</t>
        </r>
      </text>
    </comment>
    <comment ref="B41" authorId="1" shapeId="0" xr:uid="{00000000-0006-0000-0300-000020000000}">
      <text>
        <r>
          <rPr>
            <sz val="9"/>
            <color indexed="81"/>
            <rFont val="Tahoma"/>
            <family val="2"/>
          </rPr>
          <t xml:space="preserve">= 0 For using input latitudes for subareas
&gt; 0 For computing equivalent latitude based on azimuth 
  orientation of land slope.
</t>
        </r>
      </text>
    </comment>
    <comment ref="B42" authorId="1" shapeId="0" xr:uid="{00000000-0006-0000-0300-000021000000}">
      <text>
        <r>
          <rPr>
            <sz val="9"/>
            <color indexed="81"/>
            <rFont val="Tahoma"/>
            <family val="2"/>
          </rPr>
          <t xml:space="preserve">= 0 Turns off auto P application
&gt; 0 For auto P application
</t>
        </r>
      </text>
    </comment>
    <comment ref="B43" authorId="1" shapeId="0" xr:uid="{00000000-0006-0000-0300-000022000000}">
      <text>
        <r>
          <rPr>
            <sz val="9"/>
            <color indexed="81"/>
            <rFont val="Tahoma"/>
            <family val="2"/>
          </rPr>
          <t xml:space="preserve">= 0 For level 0 (PHY-GROW) grazing preference model
= 1 For level 1 (hybrid) grazing mode(herd file required) 
= 2 For level 2 (automatic) grazing mode(herd file required)  
</t>
        </r>
      </text>
    </comment>
    <comment ref="B45" authorId="1" shapeId="0" xr:uid="{27BA8144-A33B-442E-8867-19C53C581446}">
      <text>
        <r>
          <rPr>
            <sz val="9"/>
            <color indexed="81"/>
            <rFont val="Tahoma"/>
            <family val="2"/>
          </rPr>
          <t xml:space="preserve">= 0 Turns off auto K application
&gt; 0 For auto K application
</t>
        </r>
      </text>
    </comment>
    <comment ref="B47" authorId="1" shapeId="0" xr:uid="{6C045160-5AB9-490D-8FD4-1622802960DC}">
      <text>
        <r>
          <rPr>
            <sz val="9"/>
            <color indexed="81"/>
            <rFont val="Tahoma"/>
            <family val="2"/>
          </rPr>
          <t xml:space="preserve">= 0 For HPERC 
= 1 For HPERC1 (4mm slug flow)
</t>
        </r>
      </text>
    </comment>
    <comment ref="B48" authorId="1" shapeId="0" xr:uid="{2359E5D0-33BF-42E2-8EF5-4E549FB29E2D}">
      <text>
        <r>
          <rPr>
            <sz val="9"/>
            <color indexed="81"/>
            <rFont val="Tahoma"/>
            <family val="2"/>
          </rPr>
          <t xml:space="preserve">ICP  = 0 FOR NCNMI_PHOENIX
       &gt; 0 FOR NCNMI_CENTURY
</t>
        </r>
      </text>
    </comment>
    <comment ref="B49" authorId="1" shapeId="0" xr:uid="{4E6956E2-9432-49BB-89F8-602E98A85952}">
      <text>
        <r>
          <rPr>
            <sz val="9"/>
            <color indexed="81"/>
            <rFont val="Tahoma"/>
            <family val="2"/>
          </rPr>
          <t xml:space="preserve">= 0 For Original APEX NITVOL Eqs
&gt; 0 For Izaurralde revised NITVOL Eqs
</t>
        </r>
      </text>
    </comment>
    <comment ref="B50" authorId="1" shapeId="0" xr:uid="{DBDA0BDF-A582-48A4-AA20-BDD42909A169}">
      <text>
        <r>
          <rPr>
            <sz val="9"/>
            <color indexed="81"/>
            <rFont val="Tahoma"/>
            <family val="2"/>
          </rPr>
          <t xml:space="preserve">IREM = 0 SSK FROM REMX
        &gt; 0 SSK FROM USLE
</t>
        </r>
      </text>
    </comment>
    <comment ref="B51" authorId="1" shapeId="0" xr:uid="{6FCE8BE9-F979-4DA3-AFDD-B4CF1AB93889}">
      <text>
        <r>
          <rPr>
            <sz val="9"/>
            <color indexed="81"/>
            <rFont val="Tahoma"/>
            <family val="2"/>
          </rPr>
          <t xml:space="preserve">IHAY = 0 For no hay feeding
        &gt; 0 For hay feeding when forage is &lt; GZLM   </t>
        </r>
      </text>
    </comment>
    <comment ref="B52" authorId="2" shapeId="0" xr:uid="{408CB4FD-32F8-4DF5-BA69-66CBEB0795E1}">
      <text>
        <r>
          <rPr>
            <sz val="9"/>
            <color indexed="81"/>
            <rFont val="Tahoma"/>
            <family val="2"/>
          </rPr>
          <t>IPCD  =1 FOR C
        =2 FOR H2O
        =3 FOR P
        =4 FOR N</t>
        </r>
      </text>
    </comment>
    <comment ref="B53" authorId="2" shapeId="0" xr:uid="{81CE2E1A-0E67-4890-80A7-4FE588138B22}">
      <text>
        <r>
          <rPr>
            <sz val="9"/>
            <color indexed="81"/>
            <rFont val="Tahoma"/>
            <family val="2"/>
          </rPr>
          <t>0 = No modflow simulation
&gt;0 = Turn on modflow simulation</t>
        </r>
      </text>
    </comment>
    <comment ref="B59" authorId="1" shapeId="0" xr:uid="{00000000-0006-0000-0300-000029000000}">
      <text>
        <r>
          <rPr>
            <sz val="9"/>
            <color indexed="81"/>
            <rFont val="Tahoma"/>
            <family val="2"/>
          </rPr>
          <t xml:space="preserve">= 0. Shuts off pest damage function. 
0.05 - 0.1 Very mild pest damage function
1. - 10. Very severe pest damage function
</t>
        </r>
      </text>
    </comment>
    <comment ref="B60" authorId="1" shapeId="0" xr:uid="{00000000-0006-0000-0300-00002A000000}">
      <text>
        <r>
          <rPr>
            <sz val="9"/>
            <color indexed="81"/>
            <rFont val="Tahoma"/>
            <family val="2"/>
          </rPr>
          <t>If YWI = 0; The model uses 10.</t>
        </r>
      </text>
    </comment>
    <comment ref="B61" authorId="1" shapeId="0" xr:uid="{00000000-0006-0000-0300-00002B000000}">
      <text>
        <r>
          <rPr>
            <sz val="9"/>
            <color indexed="81"/>
            <rFont val="Tahoma"/>
            <family val="2"/>
          </rPr>
          <t>0 if unknown or if W|D probs are input</t>
        </r>
      </text>
    </comment>
    <comment ref="B62" authorId="1" shapeId="0" xr:uid="{00000000-0006-0000-0300-00002C000000}">
      <text>
        <r>
          <rPr>
            <sz val="9"/>
            <color indexed="81"/>
            <rFont val="Tahoma"/>
            <family val="2"/>
          </rPr>
          <t>0 if unknown or if ST DEV &amp; SK CF are input</t>
        </r>
      </text>
    </comment>
    <comment ref="B63" authorId="1" shapeId="0" xr:uid="{00000000-0006-0000-0300-00002D000000}">
      <text>
        <r>
          <rPr>
            <sz val="9"/>
            <color indexed="81"/>
            <rFont val="Tahoma"/>
            <family val="2"/>
          </rPr>
          <t>0 If CH GEO is input</t>
        </r>
      </text>
    </comment>
    <comment ref="B71" authorId="1" shapeId="0" xr:uid="{00000000-0006-0000-0300-00002E000000}">
      <text>
        <r>
          <rPr>
            <sz val="9"/>
            <color indexed="81"/>
            <rFont val="Tahoma"/>
            <family val="2"/>
          </rPr>
          <t>If GWS0 = 0; The model uses 50.</t>
        </r>
      </text>
    </comment>
    <comment ref="B72" authorId="1" shapeId="0" xr:uid="{00000000-0006-0000-0300-00002F000000}">
      <text>
        <r>
          <rPr>
            <sz val="9"/>
            <color indexed="81"/>
            <rFont val="Tahoma"/>
            <family val="2"/>
          </rPr>
          <t>If RFT0 = 0; The model uses 10.</t>
        </r>
      </text>
    </comment>
    <comment ref="B73" authorId="1" shapeId="0" xr:uid="{00000000-0006-0000-0300-000030000000}">
      <text>
        <r>
          <rPr>
            <sz val="9"/>
            <color indexed="81"/>
            <rFont val="Tahoma"/>
            <family val="2"/>
          </rPr>
          <t>if RFP0 = 0; The model uses 0.5</t>
        </r>
      </text>
    </comment>
    <comment ref="B80" authorId="1" shapeId="0" xr:uid="{00000000-0006-0000-0300-000031000000}">
      <text>
        <r>
          <rPr>
            <sz val="9"/>
            <color indexed="81"/>
            <rFont val="Tahoma"/>
            <family val="2"/>
          </rPr>
          <t>0 If unknown</t>
        </r>
      </text>
    </comment>
    <comment ref="B81" authorId="1" shapeId="0" xr:uid="{00000000-0006-0000-0300-000032000000}">
      <text>
        <r>
          <rPr>
            <sz val="9"/>
            <color indexed="81"/>
            <rFont val="Tahoma"/>
            <family val="2"/>
          </rPr>
          <t>0 If unknown</t>
        </r>
      </text>
    </comment>
    <comment ref="B82" authorId="1" shapeId="0" xr:uid="{00000000-0006-0000-0300-000033000000}">
      <text>
        <r>
          <rPr>
            <sz val="9"/>
            <color indexed="81"/>
            <rFont val="Tahoma"/>
            <family val="2"/>
          </rPr>
          <t xml:space="preserve">= 0.0 No wind erosion
= 1.0 For normal simulation
&gt; 1.0 Accelerates wind erosion(condenses time)
</t>
        </r>
      </text>
    </comment>
    <comment ref="B92" authorId="0" shapeId="0" xr:uid="{00000000-0006-0000-0300-000034000000}">
      <text>
        <r>
          <rPr>
            <sz val="9"/>
            <color indexed="81"/>
            <rFont val="Tahoma"/>
            <family val="2"/>
          </rPr>
          <t>DRV Equation for Water Erosion
0 MUST Modified MUSLE theoretical based equation
1 AOF Onstad-Foster
2 USLE Universal Soil loss Equation
3 MUSS Small Watershed MUSLE
4 MUSLE Modified USLE
5 MUSI Modified MUSLE with input parameters 
6 RUSLE Revised Universal Soil Loss Equation
7 RUSLE2 Modified RUSLE
8 REMX Modified Rangeland Hydrology and Erosion Model (RHEM)</t>
        </r>
      </text>
    </comment>
    <comment ref="B96" authorId="1" shapeId="0" xr:uid="{00000000-0006-0000-0300-000035000000}">
      <text>
        <r>
          <rPr>
            <sz val="9"/>
            <color indexed="81"/>
            <rFont val="Tahoma"/>
            <family val="2"/>
          </rPr>
          <t>CPV0 + CPH0 Should always be between 0 and 1. (Never greater than 1)</t>
        </r>
      </text>
    </comment>
    <comment ref="B97" authorId="1" shapeId="0" xr:uid="{00000000-0006-0000-0300-000036000000}">
      <text>
        <r>
          <rPr>
            <sz val="9"/>
            <color indexed="81"/>
            <rFont val="Tahoma"/>
            <family val="2"/>
          </rPr>
          <t>CPV0 + CPH0 Should always be between 0 and 1. (Never greater than 1)</t>
        </r>
      </text>
    </comment>
    <comment ref="B101" authorId="2" shapeId="0" xr:uid="{3C0E1A00-320C-4380-B4FF-20FF972C0419}">
      <text>
        <r>
          <rPr>
            <sz val="9"/>
            <color indexed="81"/>
            <rFont val="Tahoma"/>
            <family val="2"/>
          </rPr>
          <t>0 = original, 
1 = lwe method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Javier M. Osorio</author>
  </authors>
  <commentList>
    <comment ref="A2" authorId="0" shapeId="0" xr:uid="{00000000-0006-0000-1500-000001000000}">
      <text>
        <r>
          <rPr>
            <sz val="9"/>
            <color indexed="81"/>
            <rFont val="Tahoma"/>
            <family val="2"/>
          </rPr>
          <t>Type the file name only (i.e. FILENAME). The extension ".DAT"  will be added. Leave blank if not new.</t>
        </r>
      </text>
    </comment>
    <comment ref="A4" authorId="1" shapeId="0" xr:uid="{00000000-0006-0000-1500-000002000000}">
      <text>
        <r>
          <rPr>
            <sz val="9"/>
            <color indexed="81"/>
            <rFont val="Tahoma"/>
            <family val="2"/>
          </rPr>
          <t>· Right justified
· 4 spaces each
· 20 per line
· Up to 100 variables
· Select by number
· Leave blank for standard output
· Enter -1 to omit all accumulated variables</t>
        </r>
      </text>
    </comment>
    <comment ref="A6" authorId="2" shapeId="0" xr:uid="{C57520F8-1988-4825-843C-682636AC6117}">
      <text>
        <r>
          <rPr>
            <sz val="9"/>
            <color indexed="81"/>
            <rFont val="Tahoma"/>
            <charset val="1"/>
          </rPr>
          <t>Variable: TMX | Unit: ºC | Description: Maximum temperature</t>
        </r>
      </text>
    </comment>
    <comment ref="J9" authorId="2" shapeId="0" xr:uid="{C1DC63BF-FA0B-4D33-8D42-AF5053B7AA4A}">
      <text>
        <r>
          <rPr>
            <sz val="9"/>
            <color indexed="81"/>
            <rFont val="Tahoma"/>
            <family val="2"/>
          </rPr>
          <t>Variable: QARS | Unit: m3 | Description: Reservoir outflow</t>
        </r>
      </text>
    </comment>
    <comment ref="A12" authorId="1" shapeId="0" xr:uid="{00000000-0006-0000-1500-000013000000}">
      <text>
        <r>
          <rPr>
            <sz val="9"/>
            <color indexed="81"/>
            <rFont val="Tahoma"/>
            <family val="2"/>
          </rPr>
          <t>· Right justified
· 4 spaces each
· Select by number
· Leave blank for standard output
· Enter -1 to omit all concentration variables</t>
        </r>
      </text>
    </comment>
    <comment ref="C12" authorId="1" shapeId="0" xr:uid="{00000000-0006-0000-1500-000014000000}">
      <text>
        <r>
          <rPr>
            <b/>
            <sz val="9"/>
            <color indexed="81"/>
            <rFont val="Tahoma"/>
            <family val="2"/>
          </rPr>
          <t>Select up to 4 variables from table below, e.g.:</t>
        </r>
        <r>
          <rPr>
            <sz val="9"/>
            <color indexed="81"/>
            <rFont val="Tahoma"/>
            <family val="2"/>
          </rPr>
          <t xml:space="preserve">        
18  QN  N03 loss in runoff  
19  SSFN  NO3 in subsurface flow  
20  PRKN  NO3 leaching  
29  QP  P loss in runoff  </t>
        </r>
      </text>
    </comment>
    <comment ref="A14" authorId="2" shapeId="0" xr:uid="{CA756DCF-B875-467D-8FBA-6E0EB54F382D}">
      <text>
        <r>
          <rPr>
            <sz val="9"/>
            <color indexed="81"/>
            <rFont val="Tahoma"/>
            <charset val="1"/>
          </rPr>
          <t>Variable: QN | Unit: kg/ha | Description: Nitrogen in runoff</t>
        </r>
      </text>
    </comment>
    <comment ref="A16" authorId="1" shapeId="0" xr:uid="{00000000-0006-0000-1500-000018000000}">
      <text>
        <r>
          <rPr>
            <sz val="9"/>
            <color indexed="81"/>
            <rFont val="Tahoma"/>
            <family val="2"/>
          </rPr>
          <t>· Right justified
· 4 spaces each
· Select by number 
· Leave blank for standard output
· Enter -1 to omit all state variables</t>
        </r>
      </text>
    </comment>
    <comment ref="B16" authorId="2" shapeId="0" xr:uid="{5F594B7D-E57B-4130-9A72-36A9CFC3C654}">
      <text>
        <r>
          <rPr>
            <sz val="9"/>
            <color indexed="81"/>
            <rFont val="Tahoma"/>
            <family val="2"/>
          </rPr>
          <t>VARS(1) = ZNH3
VARS(2) = ZNO3
VARS(3) = ZPML
VARS(4) = UNM
VARS(5) = UPM
VARS(6) = RZSW
VARS(7) = WTBL
VARS(8) = GWST
VARS(9) = XXXX
VARS(10) = RSD
VARS(11) = RSVQ
VARS(12) = RSVY
VARS(13) = RSSA
VARS(14) = SWLT
VARS(15) = SNO
VARS(16) = RSDM
VARS(17) = GWSN</t>
        </r>
      </text>
    </comment>
    <comment ref="C16" authorId="1" shapeId="0" xr:uid="{00000000-0006-0000-1500-000019000000}">
      <text>
        <r>
          <rPr>
            <b/>
            <sz val="9"/>
            <color indexed="81"/>
            <rFont val="Tahoma"/>
            <family val="2"/>
          </rPr>
          <t xml:space="preserve">Select up to 17 variables from this list (input number):  </t>
        </r>
        <r>
          <rPr>
            <sz val="9"/>
            <color indexed="81"/>
            <rFont val="Tahoma"/>
            <family val="2"/>
          </rPr>
          <t xml:space="preserve">        
1  ZNMA  Mineral N in NH3 form in root zone (kg/ha)    
2  ZNMN  Mineral N in NO3 form in root zone (kg/ha)    
3  ZQP  Soluble P in root zone (kg/ha)    
4  UNM  Plant N uptake (kg/ha)    
5  UPM  Plant P uptake (kg/ha)    
6  RZSW  Soil water content in root zone (mm)    
7  WTBL  Water table depth (m)    
8  GWST  Ground water storage (mm)    
9  STDO  Initial Standing dead plant residue from old crops (t/ha)  
10  RSD  Crop residue on the soil surface and below (t/ha)    
11  RSVQ  Reservoir storage (mm)    
12  RSVY  Sediment contained in reservoir (t/ha)    
13  RSSA  Reservoir surface area (sq. ha)    
14  SWLT  Water content of surface litter (mm)    
15  SNO  Water content of snow (mm)    
16  RSDM  Manure present on soil surface (t/ha)    
17  GWSN  Nitrogen contained in ground water (kg/ha) </t>
        </r>
      </text>
    </comment>
    <comment ref="A20" authorId="1" shapeId="0" xr:uid="{00000000-0006-0000-1500-00001F000000}">
      <text>
        <r>
          <rPr>
            <sz val="9"/>
            <color indexed="81"/>
            <rFont val="Tahoma"/>
            <family val="2"/>
          </rPr>
          <t>· Leave blank for standard output
· Up to 40 variables
· Right justified
· 4 spaces each
· 20 per row
· Select by number</t>
        </r>
      </text>
    </comment>
    <comment ref="A22" authorId="2" shapeId="0" xr:uid="{AA415530-7387-40D4-9450-D0EB5F298732}">
      <text>
        <r>
          <rPr>
            <sz val="9"/>
            <color indexed="81"/>
            <rFont val="Tahoma"/>
            <charset val="1"/>
          </rPr>
          <t>Variable: PRCP | Unit: mm | Description: Precipitation</t>
        </r>
      </text>
    </comment>
    <comment ref="A25" authorId="1" shapeId="0" xr:uid="{00000000-0006-0000-1500-000023000000}">
      <text>
        <r>
          <rPr>
            <sz val="9"/>
            <color indexed="81"/>
            <rFont val="Tahoma"/>
            <family val="2"/>
          </rPr>
          <t>· Select from KA list above
· Leave blank for standard output
· Enter -1 to omit all accumulated variables
· Up to 40 variables
· Right justified
· 4 spaces each
· 20 per row</t>
        </r>
      </text>
    </comment>
    <comment ref="A27" authorId="2" shapeId="0" xr:uid="{4F4512AA-6EA4-423E-A7DB-5BE1B68564F3}">
      <text>
        <r>
          <rPr>
            <sz val="9"/>
            <color indexed="81"/>
            <rFont val="Tahoma"/>
            <charset val="1"/>
          </rPr>
          <t>Variable: SRAD | Unit: MJ/m2 | Description: Solar Radiation</t>
        </r>
      </text>
    </comment>
    <comment ref="D38" authorId="2" shapeId="0" xr:uid="{6EA19B3D-5113-4570-A9C4-4C99FF274E4D}">
      <text>
        <r>
          <rPr>
            <sz val="9"/>
            <color indexed="81"/>
            <rFont val="Tahoma"/>
            <family val="2"/>
          </rPr>
          <t>Customizable Output headers: 
SA#, ID, WSA, CN2, YW0, OCPD, FSFN, FSFP + HEAD(NKY), DRV(.) Erosion Eq. from APEXCONT</t>
        </r>
      </text>
    </comment>
    <comment ref="D39" authorId="2" shapeId="0" xr:uid="{07813243-DBC3-4EC0-9973-F05132BAA3A7}">
      <text>
        <r>
          <rPr>
            <sz val="9"/>
            <color indexed="81"/>
            <rFont val="Tahoma"/>
            <family val="2"/>
          </rPr>
          <t>Customizable Output headers: 
SA#, ID, YR, YR# + HEAD(NKY)</t>
        </r>
      </text>
    </comment>
    <comment ref="D42" authorId="2" shapeId="0" xr:uid="{A28878F2-CD68-4B6C-8D1D-587D42391CE3}">
      <text>
        <r>
          <rPr>
            <sz val="9"/>
            <color indexed="81"/>
            <rFont val="Tahoma"/>
            <family val="2"/>
          </rPr>
          <t>Customizable Output Headers:
SA#, ID, YR, YR# + HEAD(NKA) + HEADS(NKS)</t>
        </r>
      </text>
    </comment>
    <comment ref="D43" authorId="2" shapeId="0" xr:uid="{09158A60-E1DB-4C39-A9D7-EC30BC96B9B8}">
      <text>
        <r>
          <rPr>
            <sz val="9"/>
            <color indexed="81"/>
            <rFont val="Tahoma"/>
            <family val="2"/>
          </rPr>
          <t>Fixed Output headers:
'YR','PRCPmm','ETmm','Qmm','SSFmm','RSSFmm','QRFmm','QDRmm','PRKmm','IRGAmm','WYmm','Yt/ha',
'YWNDt/ha','QNkg/ha','SSFNkg/ha','QRFNkg/ha','RSFNkg/ha','YNkg/ha','YNWNkg/ha','QDRNkg/ha',
'PRKNkg/ha','DNkg/ha','AVOLkg/ha','NFIXkg/ha','FNOkg/ha','FNMNkg/ha','FNMAkg/ha','QPkg/ha',
'YPkg/ha','YPWNkg/ha','PRKPkg/ha','FPOkg/ha','FPLkg/ha','QCkg/ha','YCkg/ha','YCWNkg/ha','RFNkg/ha',
'YLNkg/ha','YLPkg/ha','BTNkg/ha','BTPkg/ha','FTNkg/ha','FTPkg/ha','BTCkg/ha','FTCkg/ha','BPDPkg/ha',
'FPDPkg/ha','BSLTkg/ha','FSLTkg/ha','BTC1kg/ha','FTC1kg/ha','RUS2A1t/ha','YTHSd','YWTHd','DPRKmm',
'DPKNkg/ha','QDRPkg/ha','USLEA1t/ha','YWNDA1t/ha','TPTHd'</t>
        </r>
      </text>
    </comment>
    <comment ref="D44" authorId="2" shapeId="0" xr:uid="{D6397987-AC3A-4388-BBC1-E79E7AC4F9D9}">
      <text>
        <r>
          <rPr>
            <sz val="9"/>
            <color indexed="81"/>
            <rFont val="Tahoma"/>
            <family val="2"/>
          </rPr>
          <t>Fixed Output headers:
ISA`,`NBSA`,`Y`,`M`,`D`,`CN`,`SCI`,`RFVmm`,`STMP2c`,`SMLmm`,`Qmm`,`SSFmm`,`QRFmm`,
`RSSFmm`,`WYLDmm`,`QRBmm/h`,`TCh`,`DURh`,`ALTC`,`AL5`,`REPmm/h`,`RZSWmm`,`GWSTmm</t>
        </r>
      </text>
    </comment>
    <comment ref="D46" authorId="2" shapeId="0" xr:uid="{B7BC1261-030E-46B3-8853-F63B78C035F6}">
      <text>
        <r>
          <rPr>
            <sz val="9"/>
            <color indexed="81"/>
            <rFont val="Tahoma"/>
            <family val="2"/>
          </rPr>
          <t>Customizable Output headers:
SA#, ID, Y, M, D, CPNM + HEADC() = HUI, LAI, RD, RW, BIOM, STL, CPHT, STD, STDL, WS, NS, PS, TS, AS, SALT, REG, DM1, L2D, R2S, RFRC, DSTL + HEAD(NKD) + HEAD(NKS)</t>
        </r>
      </text>
    </comment>
    <comment ref="D51" authorId="2" shapeId="0" xr:uid="{AB2C6427-0290-4823-B339-687861476214}">
      <text>
        <r>
          <rPr>
            <sz val="9"/>
            <color indexed="81"/>
            <rFont val="Tahoma"/>
            <family val="2"/>
          </rPr>
          <t>Customizable Output headers:
Y, M, D + RFV0 + HEAD(NKD)</t>
        </r>
      </text>
    </comment>
    <comment ref="D52" authorId="2" shapeId="0" xr:uid="{B9418CBF-CB91-4DDB-A9CD-B5BFC797C762}">
      <text>
        <r>
          <rPr>
            <sz val="9"/>
            <color indexed="81"/>
            <rFont val="Tahoma"/>
            <family val="2"/>
          </rPr>
          <t xml:space="preserve">Fixed Output headers:
'YR' + 'PRCP'+ HEADR() = 'QSS','QSW','QTS','QTW','YS','YW','YNS','YNW','YPS','YPW',
'QNS','QNW','QPS','QPW','YMUS','YMUW','QPUS','QPUW','YCS','YCW' </t>
        </r>
      </text>
    </comment>
    <comment ref="D53" authorId="2" shapeId="0" xr:uid="{0833391C-6AE1-466B-8101-3DF02589BD85}">
      <text>
        <r>
          <rPr>
            <sz val="9"/>
            <color indexed="81"/>
            <rFont val="Tahoma"/>
            <family val="2"/>
          </rPr>
          <t>Fixed Output headers:
'ISA','ID#','IDON','Y','M','D  ','WSAha','GNAM','HRDSZhd','RSTKha/hd','GZWTkg','TEMPc',
'H2ODl/hd','FORG','STLt/ha','HUSC','NCNLg/g','STDt/ha','NCNDg/g','DMDkg/ha','FVI','TDN',
'SPLPkg/ha','SPLDkg/ha','SPLUkg/ha','SPDPkg/ha','SPDDkg/ha','SPDUkg/ha','HAYkg/ha GZSLkg/ha',
'GZSDkg/ha','DTDN','DCNCg/g','FECEkg/hd','FECNkg/hd','FECPkg/hd','URINkg/hd','URNNkg/hd',
'URNPkg/hd','H20Fkg/hd','H2OCkg/hd','MILKkg/hd','GZNBhd','CALVEShd','CAWTkg','CAGZkg','CH4g'</t>
        </r>
      </text>
    </comment>
    <comment ref="D59" authorId="2" shapeId="0" xr:uid="{71A3CF9A-C216-4B00-A611-CC3A9A58C1A5}">
      <text>
        <r>
          <rPr>
            <sz val="9"/>
            <color indexed="81"/>
            <rFont val="Tahoma"/>
            <family val="2"/>
          </rPr>
          <t>Fixed Output headers:
SA#','ID','YR','YR#','CPNM','YLDG','YLDF','BIOM','WS','NS','PS','TS','AS','SS',
'ZNO3','ZQP','AP15','ZOC','OCPD','RSDP','ARSD','FNMN','FNMA','FNO','FPL','FPO'</t>
        </r>
      </text>
    </comment>
    <comment ref="B85" authorId="1" shapeId="0" xr:uid="{00000000-0006-0000-1500-000026000000}">
      <text>
        <r>
          <rPr>
            <sz val="9"/>
            <color indexed="81"/>
            <rFont val="Tahoma"/>
            <family val="2"/>
          </rPr>
          <t>MSO + 1 : SOT=SUBAREA FINAL SOIL TABLE FOR USE IN OTHER RUNS (MSO=49)</t>
        </r>
      </text>
    </comment>
    <comment ref="W147" authorId="1" shapeId="0" xr:uid="{00000000-0006-0000-1500-000027000000}">
      <text>
        <r>
          <rPr>
            <sz val="9"/>
            <color indexed="81"/>
            <rFont val="Tahoma"/>
            <family val="2"/>
          </rPr>
          <t>(set in Parm 93)</t>
        </r>
      </text>
    </comment>
    <comment ref="W148" authorId="1" shapeId="0" xr:uid="{00000000-0006-0000-1500-000028000000}">
      <text>
        <r>
          <rPr>
            <sz val="9"/>
            <color indexed="81"/>
            <rFont val="Tahoma"/>
            <family val="2"/>
          </rPr>
          <t>(set in Parm 94)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500-000001000000}">
      <text>
        <r>
          <rPr>
            <sz val="9"/>
            <color indexed="81"/>
            <rFont val="Tahoma"/>
            <family val="2"/>
          </rPr>
          <t>Type the file name only. The extension is added from cell E2 (i.e. FILENAME.DAT)</t>
        </r>
      </text>
    </comment>
    <comment ref="D47" authorId="1" shapeId="0" xr:uid="{00000000-0006-0000-0500-000002000000}">
      <text>
        <r>
          <rPr>
            <sz val="9"/>
            <color indexed="81"/>
            <rFont val="Tahoma"/>
            <family val="2"/>
          </rPr>
          <t>RC = PRMT(1) / ((SMLA(ISA)+.01)*G1*EXP(.00155*(330.-CO2)))</t>
        </r>
      </text>
    </comment>
    <comment ref="B48" authorId="1" shapeId="0" xr:uid="{00000000-0006-0000-0500-000003000000}">
      <text>
        <r>
          <rPr>
            <sz val="9"/>
            <color indexed="81"/>
            <rFont val="Tahoma"/>
            <family val="2"/>
          </rPr>
          <t>= 1.5 Minimize soil strength constraint on root growth
&gt;2 eliminates all root growth stress.</t>
        </r>
      </text>
    </comment>
    <comment ref="D48" authorId="1" shapeId="0" xr:uid="{00000000-0006-0000-0500-000004000000}">
      <text>
        <r>
          <rPr>
            <sz val="9"/>
            <color indexed="81"/>
            <rFont val="Tahoma"/>
            <family val="2"/>
          </rPr>
          <t>BDX=PRMT(2) + .35 + .005*SAN(J,ISA)</t>
        </r>
      </text>
    </comment>
    <comment ref="D49" authorId="1" shapeId="0" xr:uid="{00000000-0006-0000-0500-000005000000}">
      <text>
        <r>
          <rPr>
            <sz val="9"/>
            <color indexed="81"/>
            <rFont val="Tahoma"/>
            <family val="2"/>
          </rPr>
          <t>IF (HUI(JJK,ISA) &gt; PRMT(3)) THEN SWH(JJK,ISA) = SWH(JJK,ISA) + AEP(JJK)</t>
        </r>
      </text>
    </comment>
    <comment ref="D50" authorId="1" shapeId="0" xr:uid="{00000000-0006-0000-0500-000006000000}">
      <text>
        <r>
          <rPr>
            <sz val="9"/>
            <color indexed="81"/>
            <rFont val="Tahoma"/>
            <family val="2"/>
          </rPr>
          <t>X2 = PO(ISL,ISA) * PRMT(4) * (1.-.01*ROK(ISL,ISA))**2</t>
        </r>
      </text>
    </comment>
    <comment ref="E50" authorId="1" shapeId="0" xr:uid="{00000000-0006-0000-0500-000007000000}">
      <text>
        <r>
          <rPr>
            <sz val="9"/>
            <color indexed="81"/>
            <rFont val="Tahoma"/>
            <family val="2"/>
          </rPr>
          <t>X2 = V / (PRMT(4) * PO(LD1,ISA))</t>
        </r>
      </text>
    </comment>
    <comment ref="D51" authorId="1" shapeId="0" xr:uid="{00000000-0006-0000-0500-000008000000}">
      <text>
        <r>
          <rPr>
            <sz val="9"/>
            <color indexed="81"/>
            <rFont val="Tahoma"/>
            <family val="2"/>
          </rPr>
          <t>XY = PRMT(5) * S15(ISL,ISA)</t>
        </r>
      </text>
    </comment>
    <comment ref="E51" authorId="1" shapeId="0" xr:uid="{00000000-0006-0000-0500-000009000000}">
      <text>
        <r>
          <rPr>
            <sz val="9"/>
            <color indexed="81"/>
            <rFont val="Tahoma"/>
            <family val="2"/>
          </rPr>
          <t>IF (Z(ISL,ISA)&lt;=.5) THEN BLM = PRMT(5) * S15(ISL,ISA)</t>
        </r>
      </text>
    </comment>
    <comment ref="D52" authorId="1" shapeId="0" xr:uid="{00000000-0006-0000-0500-00000A000000}">
      <text>
        <r>
          <rPr>
            <sz val="9"/>
            <color indexed="81"/>
            <rFont val="Tahoma"/>
            <family val="2"/>
          </rPr>
          <t>WDRM(ISA) = PRMT(6) + HLMN(ISA)</t>
        </r>
      </text>
    </comment>
    <comment ref="E52" authorId="1" shapeId="0" xr:uid="{00000000-0006-0000-0500-00000B000000}">
      <text>
        <r>
          <rPr>
            <sz val="9"/>
            <color indexed="81"/>
            <rFont val="Tahoma"/>
            <family val="2"/>
          </rPr>
          <t>HLMN(ISA) = HLMN(ISA) + MAX(DHL, PRMT(6))</t>
        </r>
      </text>
    </comment>
    <comment ref="B53" authorId="1" shapeId="0" xr:uid="{00000000-0006-0000-0500-00000C000000}">
      <text>
        <r>
          <rPr>
            <sz val="9"/>
            <color indexed="81"/>
            <rFont val="Tahoma"/>
            <family val="2"/>
          </rPr>
          <t>= 1 fixation is limited by soil water or nitrate content 
       or by crop growth stage.
= 0 fixation meets crop nitrogen uptake demand.</t>
        </r>
      </text>
    </comment>
    <comment ref="D53" authorId="1" shapeId="0" xr:uid="{00000000-0006-0000-0500-00000D000000}">
      <text>
        <r>
          <rPr>
            <sz val="9"/>
            <color indexed="81"/>
            <rFont val="Tahoma"/>
            <family val="2"/>
          </rPr>
          <t>WFX = PRMT(7) * WFX + (1. - PRMT(7)) * UNM</t>
        </r>
      </text>
    </comment>
    <comment ref="D54" authorId="1" shapeId="0" xr:uid="{00000000-0006-0000-0500-00000E000000}">
      <text>
        <r>
          <rPr>
            <sz val="9"/>
            <color indexed="81"/>
            <rFont val="Tahoma"/>
            <family val="2"/>
          </rPr>
          <t>CL = 10. * [1000. * X5 / WT(LD1,ISA)] / (PRMT(8) * [MAX(1., CPMX(ISA) - [1000. * X5 / WT(LD1,ISA)])])</t>
        </r>
      </text>
    </comment>
    <comment ref="D55" authorId="1" shapeId="0" xr:uid="{00000000-0006-0000-0500-00000F000000}">
      <text>
        <r>
          <rPr>
            <sz val="9"/>
            <color indexed="81"/>
            <rFont val="Tahoma"/>
            <family val="2"/>
          </rPr>
          <t>X1 = (ADRF - PRMT(9)) / 100</t>
        </r>
      </text>
    </comment>
    <comment ref="D56" authorId="1" shapeId="0" xr:uid="{00000000-0006-0000-0500-000010000000}">
      <text>
        <r>
          <rPr>
            <sz val="9"/>
            <color indexed="81"/>
            <rFont val="Tahoma"/>
            <family val="2"/>
          </rPr>
          <t>X2 = CV(ISA) - PRMT(10)</t>
        </r>
      </text>
    </comment>
    <comment ref="D58" authorId="1" shapeId="0" xr:uid="{00000000-0006-0000-0500-000011000000}">
      <text>
        <r>
          <rPr>
            <sz val="9"/>
            <color indexed="81"/>
            <rFont val="Tahoma"/>
            <family val="2"/>
          </rPr>
          <t>IF(PDSW(ISA)/PDAW(ISA) &gt; PRMT(11) .AND. HU(JJK,ISA) &gt; GMHU(JJK)) THEN JPL(JJK,ISA)=0 &amp; HU(JJK,ISA)=0</t>
        </r>
      </text>
    </comment>
    <comment ref="D59" authorId="1" shapeId="0" xr:uid="{00000000-0006-0000-0500-000012000000}">
      <text>
        <r>
          <rPr>
            <sz val="9"/>
            <color indexed="81"/>
            <rFont val="Tahoma"/>
            <family val="2"/>
          </rPr>
          <t>F = EXP(PRMT(12) * (SWST(ISL,ISA) - FC(ISL,ISA)) / XZ)</t>
        </r>
      </text>
    </comment>
    <comment ref="D60" authorId="1" shapeId="0" xr:uid="{00000000-0006-0000-0500-000013000000}">
      <text>
        <r>
          <rPr>
            <sz val="9"/>
            <color indexed="81"/>
            <rFont val="Tahoma"/>
            <family val="2"/>
          </rPr>
          <t>X1 = PRMT(13) * TLMF(ISA)</t>
        </r>
      </text>
    </comment>
    <comment ref="D61" authorId="1" shapeId="0" xr:uid="{00000000-0006-0000-0500-000014000000}">
      <text>
        <r>
          <rPr>
            <sz val="9"/>
            <color indexed="81"/>
            <rFont val="Tahoma"/>
            <family val="2"/>
          </rPr>
          <t>X4 = PKRZ(LD1) + PRMT(14) * (QVOL(IDO)+SSF(LD1,ISA)+VH)</t>
        </r>
      </text>
    </comment>
    <comment ref="E61" authorId="1" shapeId="0" xr:uid="{00000000-0006-0000-0500-000015000000}">
      <text>
        <r>
          <rPr>
            <sz val="9"/>
            <color indexed="81"/>
            <rFont val="Tahoma"/>
            <family val="2"/>
          </rPr>
          <t>CS = PRMT(14) * CO   &amp;   CSSL = PRMT(14) * COSL</t>
        </r>
      </text>
    </comment>
    <comment ref="D62" authorId="1" shapeId="0" xr:uid="{00000000-0006-0000-0500-000016000000}">
      <text>
        <r>
          <rPr>
            <sz val="9"/>
            <color indexed="81"/>
            <rFont val="Tahoma"/>
            <family val="2"/>
          </rPr>
          <t>X1 = PRMT(15) * (1. - RSD(LD1,ISA))</t>
        </r>
      </text>
    </comment>
    <comment ref="D63" authorId="1" shapeId="0" xr:uid="{00000000-0006-0000-0500-000017000000}">
      <text>
        <r>
          <rPr>
            <sz val="9"/>
            <color indexed="81"/>
            <rFont val="Tahoma"/>
            <family val="2"/>
          </rPr>
          <t>SMX(ISA) = 254. * PRMT(16) *(100./CN1-1.)</t>
        </r>
      </text>
    </comment>
    <comment ref="D64" authorId="1" shapeId="0" xr:uid="{00000000-0006-0000-0500-000018000000}">
      <text>
        <r>
          <rPr>
            <sz val="9"/>
            <color indexed="81"/>
            <rFont val="Tahoma"/>
            <family val="2"/>
          </rPr>
          <t>X1 = MAX(.4 * SMLA(ISA), PRMT(17) * (CV(ISA) + .1))</t>
        </r>
      </text>
    </comment>
    <comment ref="D65" authorId="1" shapeId="0" xr:uid="{00000000-0006-0000-0500-000019000000}">
      <text>
        <r>
          <rPr>
            <sz val="9"/>
            <color indexed="81"/>
            <rFont val="Tahoma"/>
            <family val="2"/>
          </rPr>
          <t>CYFP = PRMT(19) * VFP ** PRMT(18)</t>
        </r>
      </text>
    </comment>
    <comment ref="E65" authorId="1" shapeId="0" xr:uid="{00000000-0006-0000-0500-00001A000000}">
      <text>
        <r>
          <rPr>
            <sz val="9"/>
            <color indexed="81"/>
            <rFont val="Tahoma"/>
            <family val="2"/>
          </rPr>
          <t>CYCH = PRMT(19) *VCH ** PRMT(18)</t>
        </r>
      </text>
    </comment>
    <comment ref="D66" authorId="1" shapeId="0" xr:uid="{00000000-0006-0000-0500-00001B000000}">
      <text>
        <r>
          <rPr>
            <sz val="9"/>
            <color indexed="81"/>
            <rFont val="Tahoma"/>
            <family val="2"/>
          </rPr>
          <t>CYFP = PRMT(19) * VFP ** PRMT(18)</t>
        </r>
      </text>
    </comment>
    <comment ref="E66" authorId="1" shapeId="0" xr:uid="{00000000-0006-0000-0500-00001C000000}">
      <text>
        <r>
          <rPr>
            <sz val="9"/>
            <color indexed="81"/>
            <rFont val="Tahoma"/>
            <family val="2"/>
          </rPr>
          <t>CYCH = PRMT(19) *VCH ** PRMT(18)</t>
        </r>
      </text>
    </comment>
    <comment ref="D67" authorId="1" shapeId="0" xr:uid="{00000000-0006-0000-0500-00001D000000}">
      <text>
        <r>
          <rPr>
            <sz val="9"/>
            <color indexed="81"/>
            <rFont val="Tahoma"/>
            <family val="2"/>
          </rPr>
          <t xml:space="preserve">SCN2 = PRMT(20) * SCN </t>
        </r>
      </text>
    </comment>
    <comment ref="E67" authorId="1" shapeId="0" xr:uid="{00000000-0006-0000-0500-00001E000000}">
      <text>
        <r>
          <rPr>
            <sz val="9"/>
            <color indexed="81"/>
            <rFont val="Tahoma"/>
            <family val="2"/>
          </rPr>
          <t>QVOL(IDO) = X1 * X1 / (RFV(IRF(ISA)) + (1.-PRMT(20)) * SCN)</t>
        </r>
      </text>
    </comment>
    <comment ref="D69" authorId="1" shapeId="0" xr:uid="{00000000-0006-0000-0500-00001F000000}">
      <text>
        <r>
          <rPr>
            <sz val="9"/>
            <color indexed="81"/>
            <rFont val="Tahoma"/>
            <family val="2"/>
          </rPr>
          <t>X1 = MAX(5. * V , WT(LD1,ISA) * PRMT(21))</t>
        </r>
      </text>
    </comment>
    <comment ref="D70" authorId="1" shapeId="0" xr:uid="{00000000-0006-0000-0500-000020000000}">
      <text>
        <r>
          <rPr>
            <sz val="9"/>
            <color indexed="81"/>
            <rFont val="Tahoma"/>
            <family val="2"/>
          </rPr>
          <t>SCN = SCN * PRMT(22)</t>
        </r>
      </text>
    </comment>
    <comment ref="D71" authorId="1" shapeId="0" xr:uid="{00000000-0006-0000-0500-000021000000}">
      <text>
        <r>
          <rPr>
            <sz val="9"/>
            <color indexed="81"/>
            <rFont val="Tahoma"/>
            <family val="2"/>
          </rPr>
          <t>EO = MAX(0., PRMT(23) * RAMM * (TX+17.8) * (TMX(IRF(ISA)) - TMN(IRF(ISA)))**HGX)</t>
        </r>
      </text>
    </comment>
    <comment ref="D72" authorId="1" shapeId="0" xr:uid="{00000000-0006-0000-0500-000022000000}">
      <text>
        <r>
          <rPr>
            <sz val="9"/>
            <color indexed="81"/>
            <rFont val="Tahoma"/>
            <family val="2"/>
          </rPr>
          <t>CO = MIN(PSOL(K), VPST / (Y4 + PRMT(24) * (Y3+Y5+Y6+Y7)))</t>
        </r>
      </text>
    </comment>
    <comment ref="E72" authorId="1" shapeId="0" xr:uid="{00000000-0006-0000-0500-000023000000}">
      <text>
        <r>
          <rPr>
            <sz val="9"/>
            <color indexed="81"/>
            <rFont val="Tahoma"/>
            <family val="2"/>
          </rPr>
          <t>CS = PRMT(24) * CO</t>
        </r>
      </text>
    </comment>
    <comment ref="D73" authorId="1" shapeId="0" xr:uid="{00000000-0006-0000-0500-000024000000}">
      <text>
        <r>
          <rPr>
            <sz val="9"/>
            <color indexed="81"/>
            <rFont val="Tahoma"/>
            <family val="2"/>
          </rPr>
          <t>IF(RFV(IRF(ISA)) &gt; 0.) THEN SCN = SCN * EXP(PRMT(25) * (.2 - AL5))</t>
        </r>
      </text>
    </comment>
    <comment ref="D74" authorId="1" shapeId="0" xr:uid="{00000000-0006-0000-0500-000025000000}">
      <text>
        <r>
          <rPr>
            <sz val="9"/>
            <color indexed="81"/>
            <rFont val="Tahoma"/>
            <family val="2"/>
          </rPr>
          <t>HU(JJK,ISA) = XPHU * PRMT(26)</t>
        </r>
      </text>
    </comment>
    <comment ref="D75" authorId="1" shapeId="0" xr:uid="{00000000-0006-0000-0500-000026000000}">
      <text>
        <r>
          <rPr>
            <sz val="9"/>
            <color indexed="81"/>
            <rFont val="Tahoma"/>
            <family val="2"/>
          </rPr>
          <t>FCEC = MAX(PRMT(27), 1. - .038 * CEC(ISL,ISA))</t>
        </r>
      </text>
    </comment>
    <comment ref="D76" authorId="1" shapeId="0" xr:uid="{00000000-0006-0000-0500-000027000000}">
      <text>
        <r>
          <rPr>
            <sz val="9"/>
            <color indexed="81"/>
            <rFont val="Tahoma"/>
            <family val="2"/>
          </rPr>
          <t>WFX = MIN(PRMT(28), PRMT(7) * WFX + (1. - PRMT(7)) * UNM)</t>
        </r>
      </text>
    </comment>
    <comment ref="D77" authorId="1" shapeId="0" xr:uid="{00000000-0006-0000-0500-000028000000}">
      <text>
        <r>
          <rPr>
            <sz val="9"/>
            <color indexed="81"/>
            <rFont val="Tahoma"/>
            <family val="2"/>
          </rPr>
          <t>CBMX(ISL,ISA) = PRMT(29) * X2</t>
        </r>
      </text>
    </comment>
    <comment ref="E77" authorId="1" shapeId="0" xr:uid="{00000000-0006-0000-0500-000029000000}">
      <text>
        <r>
          <rPr>
            <sz val="9"/>
            <color indexed="81"/>
            <rFont val="Tahoma"/>
            <family val="2"/>
          </rPr>
          <t>CBMX(ISL,ISA) = PRMT(29) * X2 * RTO</t>
        </r>
      </text>
    </comment>
    <comment ref="D78" authorId="1" shapeId="0" xr:uid="{9CA1D2F1-85D1-4AD1-9095-2D1D0F9DB9B7}">
      <text>
        <r>
          <rPr>
            <sz val="9"/>
            <color indexed="81"/>
            <rFont val="Tahoma"/>
            <family val="2"/>
          </rPr>
          <t>XX=EXP(PRMT(30)*X3/TOPC(JJK))</t>
        </r>
      </text>
    </comment>
    <comment ref="D80" authorId="1" shapeId="0" xr:uid="{00000000-0006-0000-0500-00002B000000}">
      <text>
        <r>
          <rPr>
            <sz val="9"/>
            <color indexed="81"/>
            <rFont val="Tahoma"/>
            <family val="2"/>
          </rPr>
          <t>IF(Z(ISL,ISA) &lt; PRMT(31)) THEN CBMX(ISL,ISA) = PRMT(29) * X2</t>
        </r>
      </text>
    </comment>
    <comment ref="E80" authorId="1" shapeId="0" xr:uid="{00000000-0006-0000-0500-00002C000000}">
      <text>
        <r>
          <rPr>
            <sz val="9"/>
            <color indexed="81"/>
            <rFont val="Tahoma"/>
            <family val="2"/>
          </rPr>
          <t>RTO = (PRMT(31)-XX) / (Z(ISL,ISA) - XX)</t>
        </r>
      </text>
    </comment>
    <comment ref="D81" authorId="1" shapeId="0" xr:uid="{00000000-0006-0000-0500-00002D000000}">
      <text>
        <r>
          <rPr>
            <sz val="9"/>
            <color indexed="81"/>
            <rFont val="Tahoma"/>
            <family val="2"/>
          </rPr>
          <t>YP(IDO) = YEW * WPO(LD1,ISA) ** PRMT(32)</t>
        </r>
      </text>
    </comment>
    <comment ref="D82" authorId="1" shapeId="0" xr:uid="{00000000-0006-0000-0500-00002E000000}">
      <text>
        <r>
          <rPr>
            <sz val="9"/>
            <color indexed="81"/>
            <rFont val="Tahoma"/>
            <family val="2"/>
          </rPr>
          <t>YSD(1,IDO) = MIN(YLM, PRMT(33) * X1 * XX)</t>
        </r>
      </text>
    </comment>
    <comment ref="D83" authorId="1" shapeId="0" xr:uid="{00000000-0006-0000-0500-00002F000000}">
      <text>
        <r>
          <rPr>
            <sz val="9"/>
            <color indexed="81"/>
            <rFont val="Tahoma"/>
            <family val="2"/>
          </rPr>
          <t>IF(IET==4.AND.PRMT(34)&gt;0.) THEN HGX = PRMT(34)</t>
        </r>
      </text>
    </comment>
    <comment ref="E83" authorId="1" shapeId="0" xr:uid="{00000000-0006-0000-0500-000030000000}">
      <text>
        <r>
          <rPr>
            <sz val="9"/>
            <color indexed="81"/>
            <rFont val="Tahoma"/>
            <family val="2"/>
          </rPr>
          <t>EO = MAX(0., PRMT(23) * RAMM * (TX + 17.8) * (TMX(IRF(ISA)) - TMN(IRF(ISA))) ** HGX)</t>
        </r>
      </text>
    </comment>
    <comment ref="D84" authorId="1" shapeId="0" xr:uid="{00000000-0006-0000-0500-000031000000}">
      <text>
        <r>
          <rPr>
            <sz val="9"/>
            <color indexed="81"/>
            <rFont val="Tahoma"/>
            <family val="2"/>
          </rPr>
          <t>DNITMX=PRMT(35)*32.</t>
        </r>
      </text>
    </comment>
    <comment ref="D85" authorId="1" shapeId="0" xr:uid="{00000000-0006-0000-0500-000032000000}">
      <text>
        <r>
          <rPr>
            <sz val="9"/>
            <color indexed="81"/>
            <rFont val="Tahoma"/>
            <family val="2"/>
          </rPr>
          <t>X1 = MIN(PRMT(36), 1. - EXP(-CDG * WOC(ISL,ISA) / WT(ISL,ISA)))</t>
        </r>
      </text>
    </comment>
    <comment ref="E85" authorId="1" shapeId="0" xr:uid="{00000000-0006-0000-0500-000033000000}">
      <text>
        <r>
          <rPr>
            <sz val="9"/>
            <color indexed="81"/>
            <rFont val="Tahoma"/>
            <family val="2"/>
          </rPr>
          <t>WDN = .001 * D_F * (PARMT(36)*32) * WT(ISL,ISA)</t>
        </r>
      </text>
    </comment>
    <comment ref="D86" authorId="1" shapeId="0" xr:uid="{00000000-0006-0000-0500-000034000000}">
      <text>
        <r>
          <rPr>
            <sz val="9"/>
            <color indexed="81"/>
            <rFont val="Tahoma"/>
            <family val="2"/>
          </rPr>
          <t>DRSW = MIN(.95, (TCW/TCB) ** PRMT(37))</t>
        </r>
      </text>
    </comment>
    <comment ref="D87" authorId="1" shapeId="0" xr:uid="{00000000-0006-0000-0500-000035000000}">
      <text>
        <r>
          <rPr>
            <sz val="9"/>
            <color indexed="81"/>
            <rFont val="Tahoma"/>
            <family val="2"/>
          </rPr>
          <t>WS(ISA) = (1. - PRMT(38)) * WS(ISA) + PRMT(38) * AEP(JJK) / (EP(JJK) + 1.E-10)</t>
        </r>
      </text>
    </comment>
    <comment ref="D88" authorId="1" shapeId="0" xr:uid="{00000000-0006-0000-0500-000036000000}">
      <text>
        <r>
          <rPr>
            <sz val="9"/>
            <color indexed="81"/>
            <rFont val="Tahoma"/>
            <family val="2"/>
          </rPr>
          <t>IF(II==NHC(15)) THEN SATC(LID(2,ISA),ISA) = PRMT(39) ELSEIF(II==NHC(16)) THEN SATC(LID(2,ISA),ISA) = SATK(ISA)</t>
        </r>
      </text>
    </comment>
    <comment ref="D89" authorId="1" shapeId="0" xr:uid="{00000000-0006-0000-0500-000037000000}">
      <text>
        <r>
          <rPr>
            <sz val="9"/>
            <color indexed="81"/>
            <rFont val="Tahoma"/>
            <family val="2"/>
          </rPr>
          <t>IF(GWST(ISA) / GWMX(ISA) &lt; PRMT(40)) THEN X2 = 0. ELSE X2 = X1 * RFPK(ISA)</t>
        </r>
      </text>
    </comment>
    <comment ref="D91" authorId="1" shapeId="0" xr:uid="{00000000-0006-0000-0500-000038000000}">
      <text>
        <r>
          <rPr>
            <sz val="9"/>
            <color indexed="81"/>
            <rFont val="Tahoma"/>
            <family val="2"/>
          </rPr>
          <t>IF(XX &lt; 1.E-10) THEN RGS = 0. ELSEIF(XX &lt; 1.) THEN RG S = XX ** PRMT(41)</t>
        </r>
      </text>
    </comment>
    <comment ref="D92" authorId="1" shapeId="0" xr:uid="{00000000-0006-0000-0500-000039000000}">
      <text>
        <r>
          <rPr>
            <sz val="9"/>
            <color indexed="81"/>
            <rFont val="Tahoma"/>
            <family val="2"/>
          </rPr>
          <t>IF(IGO(ISA) &gt; 0) THEN X1 = MAX(AET, EO * EXP(-PRMT(42) * SCI(ISA) / SMX(ISA))) ELSE X1 = AET</t>
        </r>
      </text>
    </comment>
    <comment ref="D93" authorId="1" shapeId="0" xr:uid="{00000000-0006-0000-0500-00003A000000}">
      <text>
        <r>
          <rPr>
            <sz val="9"/>
            <color indexed="81"/>
            <rFont val="Tahoma"/>
            <family val="2"/>
          </rPr>
          <t>RTO = (PRMT(43) - Z(K2,ISA)) / (Z(KK,ISA) - Z(K2,ISA))</t>
        </r>
      </text>
    </comment>
    <comment ref="E93" authorId="1" shapeId="0" xr:uid="{00000000-0006-0000-0500-00003B000000}">
      <text>
        <r>
          <rPr>
            <sz val="9"/>
            <color indexed="81"/>
            <rFont val="Tahoma"/>
            <family val="2"/>
          </rPr>
          <t>IF (Z(ISL,ISA) &lt;= PRMT(43)) THEN …</t>
        </r>
      </text>
    </comment>
    <comment ref="D94" authorId="1" shapeId="0" xr:uid="{00000000-0006-0000-0500-00003C000000}">
      <text>
        <r>
          <rPr>
            <sz val="9"/>
            <color indexed="81"/>
            <rFont val="Tahoma"/>
            <family val="2"/>
          </rPr>
          <t>SCI(ISA) = MIN(MAX(3., SCI(ISA) + X1 - RFV(IRF(ISA)) + QVOL(IDO)), PRMT(44) * SMX(ISA))</t>
        </r>
      </text>
    </comment>
    <comment ref="D95" authorId="1" shapeId="0" xr:uid="{00000000-0006-0000-0500-00003D000000}">
      <text>
        <r>
          <rPr>
            <sz val="9"/>
            <color indexed="81"/>
            <rFont val="Tahoma"/>
            <family val="2"/>
          </rPr>
          <t>X7 = PRMT(45) * TRT * PSZM(IDN1)</t>
        </r>
      </text>
    </comment>
    <comment ref="E95" authorId="1" shapeId="0" xr:uid="{00000000-0006-0000-0500-00003E000000}">
      <text>
        <r>
          <rPr>
            <sz val="9"/>
            <color indexed="81"/>
            <rFont val="Tahoma"/>
            <family val="2"/>
          </rPr>
          <t>X7 = 2. * PRMT(45) * TRT</t>
        </r>
      </text>
    </comment>
    <comment ref="D96" authorId="1" shapeId="0" xr:uid="{00000000-0006-0000-0500-00003F000000}">
      <text>
        <r>
          <rPr>
            <sz val="9"/>
            <color indexed="81"/>
            <rFont val="Tahoma"/>
            <family val="2"/>
          </rPr>
          <t>IF(CVRS(ISA) &lt; 15.) THEN FRSD = EXP(-PRMT(46) * CVRS(ISA)) ELSE FRSD=.0001</t>
        </r>
      </text>
    </comment>
    <comment ref="D97" authorId="1" shapeId="0" xr:uid="{00000000-0006-0000-0500-000040000000}">
      <text>
        <r>
          <rPr>
            <sz val="9"/>
            <color indexed="81"/>
            <rFont val="Tahoma"/>
            <family val="2"/>
          </rPr>
          <t>FBIO = 1. - MAX(FGC(ISA), FGSL(ISA)) * EXP(-PRMT(47) * CHMX)</t>
        </r>
      </text>
    </comment>
    <comment ref="D98" authorId="1" shapeId="0" xr:uid="{E1C050DA-B689-4674-8450-CD627D74664B}">
      <text>
        <r>
          <rPr>
            <sz val="9"/>
            <color indexed="81"/>
            <rFont val="Tahoma"/>
            <family val="2"/>
          </rPr>
          <t>GZRF(ISA)=PRMT(48)</t>
        </r>
      </text>
    </comment>
    <comment ref="D99" authorId="1" shapeId="0" xr:uid="{A6156161-E8E5-4476-A603-71D515149741}">
      <text>
        <r>
          <rPr>
            <sz val="9"/>
            <color indexed="81"/>
            <rFont val="Tahoma"/>
            <family val="2"/>
          </rPr>
          <t>MIN(RFV(IRF(ISA)), PRMT(49) * (1. -EXP(-PRMT(50) * SQRT(TAGP(ISA) * SMLA(ISA)))))</t>
        </r>
      </text>
    </comment>
    <comment ref="D100" authorId="1" shapeId="0" xr:uid="{00000000-0006-0000-0500-000042000000}">
      <text>
        <r>
          <rPr>
            <sz val="9"/>
            <color indexed="81"/>
            <rFont val="Tahoma"/>
            <family val="2"/>
          </rPr>
          <t>XRFI(ISA) = MIN(RFV(IRF(ISA)), PRMT(49) * (1. - EXP(- PRMT(50) * SQRT(TAGP(ISA) * SMLA(ISA)))))</t>
        </r>
      </text>
    </comment>
    <comment ref="D102" authorId="1" shapeId="0" xr:uid="{00000000-0006-0000-0500-000043000000}">
      <text>
        <r>
          <rPr>
            <sz val="9"/>
            <color indexed="81"/>
            <rFont val="Tahoma"/>
            <family val="2"/>
          </rPr>
          <t>STLT(ISA) = PRMT(51) * RSD(LD1,ISA)</t>
        </r>
      </text>
    </comment>
    <comment ref="D103" authorId="1" shapeId="0" xr:uid="{00000000-0006-0000-0500-000044000000}">
      <text>
        <r>
          <rPr>
            <sz val="9"/>
            <color indexed="81"/>
            <rFont val="Tahoma"/>
            <family val="2"/>
          </rPr>
          <t>X2 = PRMT(52) * (BD(ISL,ISA) - BDP(ISL,ISA))</t>
        </r>
      </text>
    </comment>
    <comment ref="D104" authorId="1" shapeId="0" xr:uid="{00000000-0006-0000-0500-000045000000}">
      <text>
        <r>
          <rPr>
            <sz val="9"/>
            <color indexed="81"/>
            <rFont val="Tahoma"/>
            <family val="2"/>
          </rPr>
          <t>OX = 1. - PRMT(53) * Z5 / (Z5 + EXP(SCRP(20,1) - SCRP(20,2) * Z5))</t>
        </r>
      </text>
    </comment>
    <comment ref="D105" authorId="1" shapeId="0" xr:uid="{00000000-0006-0000-0500-000046000000}">
      <text>
        <r>
          <rPr>
            <sz val="9"/>
            <color indexed="81"/>
            <rFont val="Tahoma"/>
            <family val="2"/>
          </rPr>
          <t>ERTO = MIN(3.5, PRMT(54) / CIN ** PRMT(55))</t>
        </r>
      </text>
    </comment>
    <comment ref="E105" authorId="1" shapeId="0" xr:uid="{00000000-0006-0000-0500-000047000000}">
      <text>
        <r>
          <rPr>
            <sz val="9"/>
            <color indexed="81"/>
            <rFont val="Tahoma"/>
            <family val="2"/>
          </rPr>
          <t>ERTO = PRMT(54) / (CY+1.E-4)** PRMT(55)</t>
        </r>
      </text>
    </comment>
    <comment ref="D106" authorId="1" shapeId="0" xr:uid="{00000000-0006-0000-0500-000048000000}">
      <text>
        <r>
          <rPr>
            <sz val="9"/>
            <color indexed="81"/>
            <rFont val="Tahoma"/>
            <family val="2"/>
          </rPr>
          <t>ERTO = MIN(3.5, PRMT(54) / CIN ** PRMT(55))</t>
        </r>
      </text>
    </comment>
    <comment ref="E106" authorId="1" shapeId="0" xr:uid="{00000000-0006-0000-0500-000049000000}">
      <text>
        <r>
          <rPr>
            <sz val="9"/>
            <color indexed="81"/>
            <rFont val="Tahoma"/>
            <family val="2"/>
          </rPr>
          <t>ERTO = PRMT(54) / (CY+1.E-4)** PRMT(55)</t>
        </r>
      </text>
    </comment>
    <comment ref="D107" authorId="1" shapeId="0" xr:uid="{00000000-0006-0000-0500-00004A000000}">
      <text>
        <r>
          <rPr>
            <sz val="9"/>
            <color indexed="81"/>
            <rFont val="Tahoma"/>
            <family val="2"/>
          </rPr>
          <t xml:space="preserve">X1 = PRMT(56) * STL(J,ISA) </t>
        </r>
      </text>
    </comment>
    <comment ref="E107" authorId="1" shapeId="0" xr:uid="{00000000-0006-0000-0500-00004B000000}">
      <text>
        <r>
          <rPr>
            <sz val="9"/>
            <color indexed="81"/>
            <rFont val="Tahoma"/>
            <family val="2"/>
          </rPr>
          <t>X3 = PRMT(56) * UN1(J,ISA) * RTO</t>
        </r>
      </text>
    </comment>
    <comment ref="D108" authorId="1" shapeId="0" xr:uid="{00000000-0006-0000-0500-00004C000000}">
      <text>
        <r>
          <rPr>
            <sz val="9"/>
            <color indexed="81"/>
            <rFont val="Tahoma"/>
            <family val="2"/>
          </rPr>
          <t>ERTP = MIN(3.5, PRMT(57) / CIN ** PRMT(58))</t>
        </r>
      </text>
    </comment>
    <comment ref="E108" authorId="1" shapeId="0" xr:uid="{00000000-0006-0000-0500-00004D000000}">
      <text>
        <r>
          <rPr>
            <sz val="9"/>
            <color indexed="81"/>
            <rFont val="Tahoma"/>
            <family val="2"/>
          </rPr>
          <t>ERTP = PRMT(57) / (CY+1.E-4)** PRMT(58)</t>
        </r>
      </text>
    </comment>
    <comment ref="D109" authorId="1" shapeId="0" xr:uid="{00000000-0006-0000-0500-00004E000000}">
      <text>
        <r>
          <rPr>
            <sz val="9"/>
            <color indexed="81"/>
            <rFont val="Tahoma"/>
            <family val="2"/>
          </rPr>
          <t>ERTP = MIN(3.5, PRMT(57) / CIN ** PRMT(58))</t>
        </r>
      </text>
    </comment>
    <comment ref="E109" authorId="1" shapeId="0" xr:uid="{00000000-0006-0000-0500-00004F000000}">
      <text>
        <r>
          <rPr>
            <sz val="9"/>
            <color indexed="81"/>
            <rFont val="Tahoma"/>
            <family val="2"/>
          </rPr>
          <t>ERTP = PRMT(57) / (CY+1.E-4)** PRMT(58)</t>
        </r>
      </text>
    </comment>
    <comment ref="D110" authorId="1" shapeId="0" xr:uid="{00000000-0006-0000-0500-000050000000}">
      <text>
        <r>
          <rPr>
            <sz val="9"/>
            <color indexed="81"/>
            <rFont val="Tahoma"/>
            <family val="2"/>
          </rPr>
          <t>XX = WPML(ISL,ISA) * MIN(.75, PRMT(59) * SEV(ISL,ISA) / WT(ISL,ISA))</t>
        </r>
      </text>
    </comment>
    <comment ref="D111" authorId="1" shapeId="0" xr:uid="{00000000-0006-0000-0500-000051000000}">
      <text>
        <r>
          <rPr>
            <sz val="9"/>
            <color indexed="81"/>
            <rFont val="Tahoma"/>
            <family val="2"/>
          </rPr>
          <t>IF(IGZ(I1) &lt;= PRMT(60)) THEN IF(X1 &gt; GZLM(IHD,I1) .AND. NGZ(IHD,I1) &gt; 0) THEN CYCLE</t>
        </r>
      </text>
    </comment>
    <comment ref="D113" authorId="1" shapeId="0" xr:uid="{00000000-0006-0000-0500-000052000000}">
      <text>
        <r>
          <rPr>
            <sz val="9"/>
            <color indexed="81"/>
            <rFont val="Tahoma"/>
            <family val="2"/>
          </rPr>
          <t>SWST(L1,ISA) = SWST(L1,ISA) + [(SWST(ISL,ISA) - PO(ISL,ISA)) * MIN(PRMT(61), (T1 - T2) / T1, PKRZ(L1))]</t>
        </r>
      </text>
    </comment>
    <comment ref="D114" authorId="1" shapeId="0" xr:uid="{00000000-0006-0000-0500-000053000000}">
      <text>
        <r>
          <rPr>
            <sz val="9"/>
            <color indexed="81"/>
            <rFont val="Tahoma"/>
            <family val="2"/>
          </rPr>
          <t>YMNU(IDO) = MAX[0., MIN(.9 * RSDM(LD1,ISA), PRMT(62) * X1 * X2 * SLF(ISA) * PEC(ISA) * RSDM(LD1,ISA)** PRMT(68))]</t>
        </r>
      </text>
    </comment>
    <comment ref="D115" authorId="1" shapeId="0" xr:uid="{00000000-0006-0000-0500-000054000000}">
      <text>
        <r>
          <rPr>
            <sz val="9"/>
            <color indexed="81"/>
            <rFont val="Tahoma"/>
            <family val="2"/>
          </rPr>
          <t>X3 = MIN(.95, DRSW * PRMT(63))</t>
        </r>
      </text>
    </comment>
    <comment ref="D116" authorId="1" shapeId="0" xr:uid="{00000000-0006-0000-0500-000055000000}">
      <text>
        <r>
          <rPr>
            <sz val="9"/>
            <color indexed="81"/>
            <rFont val="Tahoma"/>
            <family val="2"/>
          </rPr>
          <t>X1 = PRMT(64) * [YT / (3.6 * U10(IRF(ISA)))] * 10.</t>
        </r>
      </text>
    </comment>
    <comment ref="D117" authorId="1" shapeId="0" xr:uid="{00000000-0006-0000-0500-000056000000}">
      <text>
        <r>
          <rPr>
            <sz val="9"/>
            <color indexed="81"/>
            <rFont val="Tahoma"/>
            <family val="2"/>
          </rPr>
          <t>SUM = .01 * PRMT(65) * [PSZX(1) * SAN() + PSZX(2) * SIL() + PSZX(3) * CLA()] / (QPR(IDO) + 1.E-5)</t>
        </r>
      </text>
    </comment>
    <comment ref="D118" authorId="1" shapeId="0" xr:uid="{00000000-0006-0000-0500-000057000000}">
      <text>
        <r>
          <rPr>
            <sz val="9"/>
            <color indexed="81"/>
            <rFont val="Tahoma"/>
            <family val="2"/>
          </rPr>
          <t>T2 = PRMT(66) * QPR(IDO) * STP(ISA)</t>
        </r>
      </text>
    </comment>
    <comment ref="D119" authorId="1" shapeId="0" xr:uid="{00000000-0006-0000-0500-000058000000}">
      <text>
        <r>
          <rPr>
            <sz val="9"/>
            <color indexed="81"/>
            <rFont val="Tahoma"/>
            <family val="2"/>
          </rPr>
          <t>IF(ABS(DIST * COS(BTA)) &gt; GRDX) THEN FX = (SIN(X2))** PRMT(67)</t>
        </r>
      </text>
    </comment>
    <comment ref="D120" authorId="1" shapeId="0" xr:uid="{00000000-0006-0000-0500-000059000000}">
      <text>
        <r>
          <rPr>
            <sz val="9"/>
            <color indexed="81"/>
            <rFont val="Tahoma"/>
            <family val="2"/>
          </rPr>
          <t>YMNU(IDO) = MAX[0., MIN(.9 * RSDM(LD1,ISA), PRMT(62) * X1 * X2 * SLF(ISA) * PEC(ISA) * RSDM(LD1,ISA)** PRMT(68))]</t>
        </r>
      </text>
    </comment>
    <comment ref="D121" authorId="1" shapeId="0" xr:uid="{00000000-0006-0000-0500-00005A000000}">
      <text>
        <r>
          <rPr>
            <sz val="9"/>
            <color indexed="81"/>
            <rFont val="Tahoma"/>
            <family val="2"/>
          </rPr>
          <t>CS = [PRMT(95) * PRMT(69) * CS * (1. + RSDM(LD1,ISA))] + [1. - PRMT(95)] OR CS = PRMT(69) * CS * (1. + RSDM(LD1,ISA))</t>
        </r>
      </text>
    </comment>
    <comment ref="D122" authorId="1" shapeId="0" xr:uid="{00000000-0006-0000-0500-00005B000000}">
      <text>
        <r>
          <rPr>
            <sz val="9"/>
            <color indexed="81"/>
            <rFont val="Tahoma"/>
            <family val="2"/>
          </rPr>
          <t>CS = MIN(10., PRMT(70) * SQRT(CDG * SUT) * OX * X1)</t>
        </r>
      </text>
    </comment>
    <comment ref="D124" authorId="1" shapeId="0" xr:uid="{00000000-0006-0000-0500-00005C000000}">
      <text>
        <r>
          <rPr>
            <sz val="9"/>
            <color indexed="81"/>
            <rFont val="Tahoma"/>
            <family val="2"/>
          </rPr>
          <t>YMNU(IDO) = MIN(.9 * RSDM(LD1,ISA), [SQRT(QQ)] * [PRMT(71) * AGPM(ISA)] * [PRMT(62) * SLF(ISA) * PEC(ISA) * RSDM(LD1,ISA)** PRMT(68))]</t>
        </r>
      </text>
    </comment>
    <comment ref="B125" authorId="1" shapeId="0" xr:uid="{00000000-0006-0000-0500-00005D000000}">
      <text>
        <r>
          <rPr>
            <sz val="9"/>
            <color indexed="81"/>
            <rFont val="Tahoma"/>
            <family val="2"/>
          </rPr>
          <t>Fraction of process allocated to volatilization.</t>
        </r>
      </text>
    </comment>
    <comment ref="D125" authorId="1" shapeId="0" xr:uid="{00000000-0006-0000-0500-00005E000000}">
      <text>
        <r>
          <rPr>
            <sz val="9"/>
            <color indexed="81"/>
            <rFont val="Tahoma"/>
            <family val="2"/>
          </rPr>
          <t>AVOL = PRMT(72) * {[MIN(PRMT(80), 1. - EXP(-[AKAV + AKAN]))] * WNMA(ISL,ISA)}</t>
        </r>
      </text>
    </comment>
    <comment ref="D126" authorId="1" shapeId="0" xr:uid="{00000000-0006-0000-0500-00005F000000}">
      <text>
        <r>
          <rPr>
            <sz val="9"/>
            <color indexed="81"/>
            <rFont val="Tahoma"/>
            <family val="2"/>
          </rPr>
          <t>REMOVED</t>
        </r>
      </text>
    </comment>
    <comment ref="B127" authorId="1" shapeId="0" xr:uid="{00000000-0006-0000-0500-000060000000}">
      <text>
        <r>
          <rPr>
            <sz val="9"/>
            <color indexed="81"/>
            <rFont val="Tahoma"/>
            <family val="2"/>
          </rPr>
          <t>For example:
If Parm 74 is set to 5, it means RSFN will be 5 times greater than DPKN.  
If Parm 74 is set to 0.2, then RSFN is only 0.2 times DPKN.</t>
        </r>
      </text>
    </comment>
    <comment ref="D127" authorId="1" shapeId="0" xr:uid="{00000000-0006-0000-0500-000061000000}">
      <text>
        <r>
          <rPr>
            <sz val="9"/>
            <color indexed="81"/>
            <rFont val="Tahoma"/>
            <family val="2"/>
          </rPr>
          <t>RSFN(IDO) = X2 * [PRMT(74) * [TNL / (X2 * PRMT(74) + VAR(71,ISA))]]</t>
        </r>
      </text>
    </comment>
    <comment ref="D128" authorId="1" shapeId="0" xr:uid="{00000000-0006-0000-0500-000062000000}">
      <text>
        <r>
          <rPr>
            <sz val="9"/>
            <color indexed="81"/>
            <rFont val="Tahoma"/>
            <family val="2"/>
          </rPr>
          <t>X4 = MIN(.95, PRMT(75) * [MIN(.95, (TCW / TCB)** PRMT(37))])</t>
        </r>
      </text>
    </comment>
    <comment ref="D129" authorId="1" shapeId="0" xr:uid="{00000000-0006-0000-0500-000063000000}">
      <text>
        <r>
          <rPr>
            <sz val="9"/>
            <color indexed="81"/>
            <rFont val="Tahoma"/>
            <family val="2"/>
          </rPr>
          <t>ZZ = MIN(.9, PRMT(76) * (1. + .1 * RFV(IRF(ISA))))</t>
        </r>
      </text>
    </comment>
    <comment ref="D130" authorId="1" shapeId="0" xr:uid="{00000000-0006-0000-0500-000064000000}">
      <text>
        <r>
          <rPr>
            <sz val="9"/>
            <color indexed="81"/>
            <rFont val="Tahoma"/>
            <family val="2"/>
          </rPr>
          <t>CASE(IHC(JT1) = 7) IF(RFV(IRF(ISA)) &gt; PRMT(77)) THEN KOMP(KT2,ISA) = 0 ELSE KOMP(KT2,ISA) = 1</t>
        </r>
      </text>
    </comment>
    <comment ref="D131" authorId="1" shapeId="0" xr:uid="{00000000-0006-0000-0500-000065000000}">
      <text>
        <r>
          <rPr>
            <sz val="9"/>
            <color indexed="81"/>
            <rFont val="Tahoma"/>
            <family val="2"/>
          </rPr>
          <t>IF(PDSW(ISA) / PDAW(ISA) &gt; PRMT(78) .AND. RSAE(ISA) &lt; 1.E-5 .AND. MO&lt; 12)THEN IF(KFL(1)&gt;0) WRITE ()</t>
        </r>
      </text>
    </comment>
    <comment ref="D132" authorId="1" shapeId="0" xr:uid="{00000000-0006-0000-0500-000066000000}">
      <text>
        <r>
          <rPr>
            <sz val="9"/>
            <color indexed="81"/>
            <rFont val="Tahoma"/>
            <family val="2"/>
          </rPr>
          <t>IF(AGPM(ISA) &lt; PRMT(79) .OR. NMW(ISA) &lt; IMW(ISA)) THEN EXIT</t>
        </r>
      </text>
    </comment>
    <comment ref="D133" authorId="1" shapeId="0" xr:uid="{00000000-0006-0000-0500-000067000000}">
      <text>
        <r>
          <rPr>
            <sz val="9"/>
            <color indexed="81"/>
            <rFont val="Tahoma"/>
            <family val="2"/>
          </rPr>
          <t>AVOL = PRMT(72) * {[MIN(PRMT(80), 1. - EXP(-[AKAV + AKAN]))] * WNMA(ISL,ISA)}</t>
        </r>
      </text>
    </comment>
    <comment ref="D135" authorId="1" shapeId="0" xr:uid="{00000000-0006-0000-0500-000068000000}">
      <text>
        <r>
          <rPr>
            <sz val="9"/>
            <color indexed="81"/>
            <rFont val="Tahoma"/>
            <family val="2"/>
          </rPr>
          <t>IF(PRMT(81) &gt; 0) THEN WRITE(KW(1), 'DYNAMIC TECHNOLOGY')</t>
        </r>
      </text>
    </comment>
    <comment ref="E135" authorId="1" shapeId="0" xr:uid="{00000000-0006-0000-0500-000069000000}">
      <text>
        <r>
          <rPr>
            <sz val="9"/>
            <color indexed="81"/>
            <rFont val="Tahoma"/>
            <family val="2"/>
          </rPr>
          <t>FT = MAX(.1, 1. + PRMT(81) * (IYR-2000))</t>
        </r>
      </text>
    </comment>
    <comment ref="D136" authorId="1" shapeId="0" xr:uid="{15A96721-7AB4-4BAD-9539-E2415002E9C1}">
      <text>
        <r>
          <rPr>
            <sz val="9"/>
            <color indexed="81"/>
            <rFont val="Tahoma"/>
            <family val="2"/>
          </rPr>
          <t>MAX(1.E-5, X5**PRMT(82))</t>
        </r>
      </text>
    </comment>
    <comment ref="D137" authorId="1" shapeId="0" xr:uid="{00000000-0006-0000-0500-00006B000000}">
      <text>
        <r>
          <rPr>
            <sz val="9"/>
            <color indexed="81"/>
            <rFont val="Tahoma"/>
            <family val="2"/>
          </rPr>
          <t>HCL(L,ISA) = MAX(PRMT(83) * SATC(L,ISA), (PO(L,ISA) - S15(L,ISA)) /( 24. * DRT(ISA)))</t>
        </r>
      </text>
    </comment>
    <comment ref="D138" authorId="1" shapeId="0" xr:uid="{00000000-0006-0000-0500-00006C000000}">
      <text>
        <r>
          <rPr>
            <sz val="9"/>
            <color indexed="81"/>
            <rFont val="Tahoma"/>
            <family val="2"/>
          </rPr>
          <t>RMN = PRMT(84) * (WPML(ISL,ISA) - WPMA(ISL,ISA) * RTO)</t>
        </r>
      </text>
    </comment>
    <comment ref="D139" authorId="1" shapeId="0" xr:uid="{00000000-0006-0000-0500-00006D000000}">
      <text>
        <r>
          <rPr>
            <sz val="9"/>
            <color indexed="81"/>
            <rFont val="Tahoma"/>
            <family val="2"/>
          </rPr>
          <t>IF(X1 &gt; 500.) THEN ROC = PRMT(85) * 10.**(LOG10(BK(ISL,ISA)) + LOG10(X1)) ELSE ROC = PRMT(85) * BK(ISL,ISA) * X1</t>
        </r>
      </text>
    </comment>
    <comment ref="B140" authorId="1" shapeId="0" xr:uid="{00000000-0006-0000-0500-00006E000000}">
      <text>
        <r>
          <rPr>
            <sz val="9"/>
            <color indexed="81"/>
            <rFont val="Tahoma"/>
            <family val="2"/>
          </rPr>
          <t>Increasing Parm 86 increases upward movement.</t>
        </r>
      </text>
    </comment>
    <comment ref="D140" authorId="1" shapeId="0" xr:uid="{00000000-0006-0000-0500-00006F000000}">
      <text>
        <r>
          <rPr>
            <sz val="9"/>
            <color indexed="81"/>
            <rFont val="Tahoma"/>
            <family val="2"/>
          </rPr>
          <t>XX = PRMT(86) * SEV(ISL,ISA) * WNMN(ISL,ISA) / (SWST(ISL,ISA) + SEV(ISL,ISA))</t>
        </r>
      </text>
    </comment>
    <comment ref="B141" authorId="1" shapeId="0" xr:uid="{00000000-0006-0000-0500-000070000000}">
      <text>
        <r>
          <rPr>
            <sz val="9"/>
            <color indexed="81"/>
            <rFont val="Tahoma"/>
            <family val="2"/>
          </rPr>
          <t>Small values slow the water table recession.</t>
        </r>
      </text>
    </comment>
    <comment ref="D141" authorId="1" shapeId="0" xr:uid="{00000000-0006-0000-0500-000071000000}">
      <text>
        <r>
          <rPr>
            <sz val="9"/>
            <color indexed="81"/>
            <rFont val="Tahoma"/>
            <family val="2"/>
          </rPr>
          <t>X2 = MIN(PRMT(88), ABS(RTO) * [PRMT(87) * (IDA / ND)** PRMT(89)])</t>
        </r>
      </text>
    </comment>
    <comment ref="D142" authorId="1" shapeId="0" xr:uid="{00000000-0006-0000-0500-000072000000}">
      <text>
        <r>
          <rPr>
            <sz val="9"/>
            <color indexed="81"/>
            <rFont val="Tahoma"/>
            <family val="2"/>
          </rPr>
          <t>X2 = MIN(PRMT(88), ABS(RTO) * [PRMT(87) * (IDA / ND)** PRMT(89)])</t>
        </r>
      </text>
    </comment>
    <comment ref="D143" authorId="1" shapeId="0" xr:uid="{00000000-0006-0000-0500-000073000000}">
      <text>
        <r>
          <rPr>
            <sz val="9"/>
            <color indexed="81"/>
            <rFont val="Tahoma"/>
            <family val="2"/>
          </rPr>
          <t>X2 = MIN(PRMT(88), ABS(RTO) * [PRMT(87) * (IDA / ND)** PRMT(89)])</t>
        </r>
      </text>
    </comment>
    <comment ref="B144" authorId="1" shapeId="0" xr:uid="{00000000-0006-0000-0500-000074000000}">
      <text>
        <r>
          <rPr>
            <sz val="9"/>
            <color indexed="81"/>
            <rFont val="Tahoma"/>
            <family val="2"/>
          </rPr>
          <t xml:space="preserve">Larger numbers allocate more flow to SSF and QRF. </t>
        </r>
      </text>
    </comment>
    <comment ref="D144" authorId="1" shapeId="0" xr:uid="{00000000-0006-0000-0500-000075000000}">
      <text>
        <r>
          <rPr>
            <sz val="9"/>
            <color indexed="81"/>
            <rFont val="Tahoma"/>
            <family val="2"/>
          </rPr>
          <t>Z2 = PRMT(90) * DZ * X2 / SPLG(ISA)</t>
        </r>
      </text>
    </comment>
    <comment ref="B146" authorId="1" shapeId="0" xr:uid="{00000000-0006-0000-0500-000076000000}">
      <text>
        <r>
          <rPr>
            <sz val="9"/>
            <color indexed="81"/>
            <rFont val="Tahoma"/>
            <family val="2"/>
          </rPr>
          <t>Small values reduce channel and floodplain evaporation</t>
        </r>
      </text>
    </comment>
    <comment ref="D146" authorId="1" shapeId="0" xr:uid="{00000000-0006-0000-0500-000077000000}">
      <text>
        <r>
          <rPr>
            <sz val="9"/>
            <color indexed="81"/>
            <rFont val="Tahoma"/>
            <family val="2"/>
          </rPr>
          <t>EVRT = MIN(Q2M3, 10. * PRMT(91) * EO * WSU)</t>
        </r>
      </text>
    </comment>
    <comment ref="B147" authorId="1" shapeId="0" xr:uid="{00000000-0006-0000-0500-000078000000}">
      <text>
        <r>
          <rPr>
            <sz val="9"/>
            <color indexed="81"/>
            <rFont val="Tahoma"/>
            <family val="2"/>
          </rPr>
          <t>= 1 (neutral); 
&gt;1 (decreases runoff); 
&lt;1 (increases runoff).
Typical setting is 1.0.</t>
        </r>
      </text>
    </comment>
    <comment ref="D147" authorId="1" shapeId="0" xr:uid="{00000000-0006-0000-0500-000079000000}">
      <text>
        <r>
          <rPr>
            <sz val="9"/>
            <color indexed="81"/>
            <rFont val="Tahoma"/>
            <family val="2"/>
          </rPr>
          <t>IF(PRMT(92) &gt; 0.) THEN SCNX(ISA) = PRMT(92) ELSE SCNX(ISA) = MAX(1., [MIN(1.7, 2. - X1 / (X1 + EXP(SCRP(28, 1) - SCRP(28, 2) * X1)))])</t>
        </r>
      </text>
    </comment>
    <comment ref="D148" authorId="1" shapeId="0" xr:uid="{00000000-0006-0000-0500-00007A000000}">
      <text>
        <r>
          <rPr>
            <sz val="9"/>
            <color indexed="81"/>
            <rFont val="Tahoma"/>
            <family val="2"/>
          </rPr>
          <t>IF(YSD(NDRV,IDO) &gt; PRMT(93)) THEN SMM(144,MO,MSA) = SMM(144,MO,MSA) + 1.</t>
        </r>
      </text>
    </comment>
    <comment ref="D149" authorId="1" shapeId="0" xr:uid="{00000000-0006-0000-0500-00007B000000}">
      <text>
        <r>
          <rPr>
            <sz val="9"/>
            <color indexed="81"/>
            <rFont val="Tahoma"/>
            <family val="2"/>
          </rPr>
          <t>IF(YW(IDO) &gt; PRMT(94)) THEN SMM(144,MO,MSA) = SMM(144,MO,MSA) + 1.</t>
        </r>
      </text>
    </comment>
    <comment ref="B150" authorId="1" shapeId="0" xr:uid="{00000000-0006-0000-0500-00007C000000}">
      <text>
        <r>
          <rPr>
            <sz val="9"/>
            <color indexed="81"/>
            <rFont val="Tahoma"/>
            <family val="2"/>
          </rPr>
          <t>Setting this parameter to 1 causes no effect.</t>
        </r>
      </text>
    </comment>
    <comment ref="D150" authorId="1" shapeId="0" xr:uid="{00000000-0006-0000-0500-00007D000000}">
      <text>
        <r>
          <rPr>
            <sz val="9"/>
            <color indexed="81"/>
            <rFont val="Tahoma"/>
            <family val="2"/>
          </rPr>
          <t>CS = PRMT(95) * PRMT(69) * CS * (1.+RSDM(LD1,ISA)) + [1.-PRMT(95)]</t>
        </r>
      </text>
    </comment>
    <comment ref="E150" authorId="1" shapeId="0" xr:uid="{00000000-0006-0000-0500-00007E000000}">
      <text>
        <r>
          <rPr>
            <sz val="9"/>
            <color indexed="81"/>
            <rFont val="Tahoma"/>
            <family val="2"/>
          </rPr>
          <t>RLM = PRMT(95) *.0405 + [1. - PRMT(95)] * .2 &amp; RLS = PRMT(95) * .0107 + [1.-PRMT(95)] * .2</t>
        </r>
      </text>
    </comment>
    <comment ref="B151" authorId="1" shapeId="0" xr:uid="{00000000-0006-0000-0500-00007F000000}">
      <text>
        <r>
          <rPr>
            <sz val="9"/>
            <color indexed="81"/>
            <rFont val="Tahoma"/>
            <family val="2"/>
          </rPr>
          <t>Setting this parameter to 1 causes no effect.</t>
        </r>
      </text>
    </comment>
    <comment ref="D151" authorId="1" shapeId="0" xr:uid="{00000000-0006-0000-0500-000080000000}">
      <text>
        <r>
          <rPr>
            <sz val="9"/>
            <color indexed="81"/>
            <rFont val="Tahoma"/>
            <family val="2"/>
          </rPr>
          <t>DK = PRMT(96) * [CLA(ISL,ISA)] / ([CLA(ISL,ISA)] + EXP(SCRP(29,1) - SCRP(29,2) * [CLA(ISL,ISA)]))</t>
        </r>
      </text>
    </comment>
    <comment ref="E151" authorId="1" shapeId="0" xr:uid="{00000000-0006-0000-0500-000081000000}">
      <text>
        <r>
          <rPr>
            <sz val="9"/>
            <color indexed="81"/>
            <rFont val="Tahoma"/>
            <family val="2"/>
          </rPr>
          <t>CL = 10. * [1000.  X2 / WT(ISL,ISA)] / (PRMT(96) * [MAX(1.,CPMX(ISA) - CS)])</t>
        </r>
      </text>
    </comment>
    <comment ref="B152" authorId="1" shapeId="0" xr:uid="{00000000-0006-0000-0500-000082000000}">
      <text>
        <r>
          <rPr>
            <sz val="9"/>
            <color indexed="81"/>
            <rFont val="Tahoma"/>
            <family val="2"/>
          </rPr>
          <t>=0.00 root mass adjusted based on yesterday's value; 
=1.00 root mass based on today's value</t>
        </r>
      </text>
    </comment>
    <comment ref="D152" authorId="1" shapeId="0" xr:uid="{00000000-0006-0000-0500-000083000000}">
      <text>
        <r>
          <rPr>
            <sz val="9"/>
            <color indexed="81"/>
            <rFont val="Tahoma"/>
            <family val="2"/>
          </rPr>
          <t>(PRMT(97)-X1) * RW(JJK,ISA) + (1.-PRMT(97)+X1) * RF * DM(JJK,ISA)</t>
        </r>
      </text>
    </comment>
    <comment ref="D153" authorId="1" shapeId="0" xr:uid="{00000000-0006-0000-0500-000084000000}">
      <text>
        <r>
          <rPr>
            <sz val="9"/>
            <color indexed="81"/>
            <rFont val="Tahoma"/>
            <family val="2"/>
          </rPr>
          <t>XX * X2 * EXP(PRMT(98) * HR1)</t>
        </r>
      </text>
    </comment>
    <comment ref="D154" authorId="1" shapeId="0" xr:uid="{00000000-0006-0000-0500-000085000000}">
      <text>
        <r>
          <rPr>
            <sz val="9"/>
            <color indexed="81"/>
            <rFont val="Tahoma"/>
            <family val="2"/>
          </rPr>
          <t xml:space="preserve">IF(PRMT(99)&gt;0.) </t>
        </r>
      </text>
    </comment>
    <comment ref="D155" authorId="1" shapeId="0" xr:uid="{00000000-0006-0000-0500-000086000000}">
      <text>
        <r>
          <rPr>
            <sz val="9"/>
            <color indexed="81"/>
            <rFont val="Tahoma"/>
            <family val="2"/>
          </rPr>
          <t xml:space="preserve">IF(X1 &gt; PRMT(100)) SMM(148,MO,MSA) = SMM(148, MO, MSA) + 1.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Javier M. Osorio</author>
  </authors>
  <commentList>
    <comment ref="A4" authorId="0" shapeId="0" xr:uid="{00000000-0006-0000-0600-000001000000}">
      <text>
        <r>
          <rPr>
            <sz val="9"/>
            <color indexed="81"/>
            <rFont val="Tahoma"/>
            <family val="2"/>
          </rPr>
          <t>Type the file name only. The extension will be assign from cell E4.
Leave blank if not new</t>
        </r>
      </text>
    </comment>
    <comment ref="A6" authorId="1" shapeId="0" xr:uid="{226C1A2F-4814-460B-BC8C-B9460AE63448}">
      <text>
        <r>
          <rPr>
            <sz val="9"/>
            <color indexed="81"/>
            <rFont val="Tahoma"/>
            <family val="2"/>
          </rPr>
          <t>JX (1) Year of operation (cols. 1-3) (Range: 1-100)</t>
        </r>
      </text>
    </comment>
    <comment ref="B6" authorId="1" shapeId="0" xr:uid="{B81E9F36-A449-4D54-B55E-A902A7562A60}">
      <text>
        <r>
          <rPr>
            <sz val="9"/>
            <color indexed="81"/>
            <rFont val="Tahoma"/>
            <family val="2"/>
          </rPr>
          <t>JX (2) Month of operation (cols. 4-6) (Range: 1-12)</t>
        </r>
      </text>
    </comment>
    <comment ref="C6" authorId="1" shapeId="0" xr:uid="{83E3D4D2-B0F8-4197-B89D-CAABDDE3E5E6}">
      <text>
        <r>
          <rPr>
            <sz val="9"/>
            <color indexed="81"/>
            <rFont val="Tahoma"/>
            <family val="2"/>
          </rPr>
          <t>JX (3) Day of operation (cols. 7-9) (Range: 1-31)</t>
        </r>
      </text>
    </comment>
    <comment ref="D6" authorId="1" shapeId="0" xr:uid="{B5E7AC6D-3469-4566-998B-960914237309}">
      <text>
        <r>
          <rPr>
            <sz val="9"/>
            <color indexed="81"/>
            <rFont val="Tahoma"/>
            <family val="2"/>
          </rPr>
          <t>Select Tillage ID from TILL.DAT table</t>
        </r>
      </text>
    </comment>
    <comment ref="E6" authorId="1" shapeId="0" xr:uid="{54BCB486-B5F6-4F03-A3C9-CD92C573AC73}">
      <text>
        <r>
          <rPr>
            <sz val="9"/>
            <color indexed="81"/>
            <rFont val="Tahoma"/>
            <family val="2"/>
          </rPr>
          <t>Machine ID from TILL.DAT table</t>
        </r>
      </text>
    </comment>
    <comment ref="F6" authorId="1" shapeId="0" xr:uid="{985C3B2B-7ED8-41A8-B0C3-36520C67E504}">
      <text>
        <r>
          <rPr>
            <sz val="9"/>
            <color indexed="81"/>
            <rFont val="Tahoma"/>
            <family val="2"/>
          </rPr>
          <t>Select crop ID from CROP.DAT table</t>
        </r>
      </text>
    </comment>
    <comment ref="N6" authorId="1" shapeId="0" xr:uid="{B4C7D1D8-9B45-44B5-9AE5-29FB19C6F6F2}">
      <text>
        <r>
          <rPr>
            <sz val="9"/>
            <color indexed="81"/>
            <rFont val="Tahoma"/>
            <family val="2"/>
          </rPr>
          <t>Heat Unit Scheduling (optional)</t>
        </r>
      </text>
    </comment>
    <comment ref="I7" authorId="1" shapeId="0" xr:uid="{F4AB8E09-29A5-45D7-A9C5-B053099897F2}">
      <text>
        <r>
          <rPr>
            <sz val="9"/>
            <color indexed="81"/>
            <rFont val="Tahoma"/>
            <family val="2"/>
          </rPr>
          <t>Land Condition (optional)</t>
        </r>
      </text>
    </comment>
    <comment ref="I8" authorId="1" shapeId="0" xr:uid="{ADE9D649-F3C4-4448-971B-3216363B9889}">
      <text>
        <r>
          <rPr>
            <sz val="9"/>
            <color indexed="81"/>
            <rFont val="Tahoma"/>
            <family val="2"/>
          </rPr>
          <t>Land Condition (optional)</t>
        </r>
      </text>
    </comment>
    <comment ref="I9" authorId="1" shapeId="0" xr:uid="{E84B9B74-2172-4D2D-AC2C-5BA0896C98F0}">
      <text>
        <r>
          <rPr>
            <sz val="9"/>
            <color indexed="81"/>
            <rFont val="Tahoma"/>
            <family val="2"/>
          </rPr>
          <t>Land Condition (optional)</t>
        </r>
      </text>
    </comment>
    <comment ref="G10" authorId="1" shapeId="0" xr:uid="{E6D76F70-87F9-4662-9EAC-B9ECCD46596E}">
      <text>
        <r>
          <rPr>
            <sz val="9"/>
            <color indexed="81"/>
            <rFont val="Tahoma"/>
            <family val="2"/>
          </rPr>
          <t xml:space="preserve">Years to Harvest </t>
        </r>
      </text>
    </comment>
    <comment ref="I10" authorId="1" shapeId="0" xr:uid="{439F7814-846C-4517-BA0F-99B6AA3704B3}">
      <text>
        <r>
          <rPr>
            <sz val="9"/>
            <color indexed="81"/>
            <rFont val="Tahoma"/>
            <family val="2"/>
          </rPr>
          <t>Land Condition (optional)</t>
        </r>
      </text>
    </comment>
    <comment ref="H11" authorId="1" shapeId="0" xr:uid="{B763E697-DED8-4A6F-BABD-FEABD4EC03E7}">
      <text>
        <r>
          <rPr>
            <sz val="9"/>
            <color indexed="81"/>
            <rFont val="Tahoma"/>
            <family val="2"/>
          </rPr>
          <t xml:space="preserve">Potential Heat Units  </t>
        </r>
      </text>
    </comment>
    <comment ref="I11" authorId="1" shapeId="0" xr:uid="{E7CAC762-226A-4E2E-86A1-446583C946CE}">
      <text>
        <r>
          <rPr>
            <sz val="9"/>
            <color indexed="81"/>
            <rFont val="Tahoma"/>
            <family val="2"/>
          </rPr>
          <t>Land Condition (optional)</t>
        </r>
      </text>
    </comment>
    <comment ref="L11" authorId="1" shapeId="0" xr:uid="{F9816EBD-AB29-4512-8772-A815DEBBD8D2}">
      <text>
        <r>
          <rPr>
            <sz val="9"/>
            <color indexed="81"/>
            <rFont val="Tahoma"/>
            <family val="2"/>
          </rPr>
          <t xml:space="preserve">Plant Population (plants/m^2) </t>
        </r>
      </text>
    </comment>
    <comment ref="M11" authorId="1" shapeId="0" xr:uid="{58EEA688-3B4D-414E-9DE9-DFBCAC954C1F}">
      <text>
        <r>
          <rPr>
            <sz val="9"/>
            <color indexed="81"/>
            <rFont val="Tahoma"/>
            <family val="2"/>
          </rPr>
          <t>Maximum Annual Fertilizer</t>
        </r>
      </text>
    </comment>
    <comment ref="G12" authorId="1" shapeId="0" xr:uid="{81BA9411-C8A7-43D3-B8DB-FCB7C7390AF8}">
      <text>
        <r>
          <rPr>
            <sz val="9"/>
            <color indexed="81"/>
            <rFont val="Tahoma"/>
            <family val="2"/>
          </rPr>
          <t>Years to Maturity</t>
        </r>
      </text>
    </comment>
    <comment ref="I12" authorId="1" shapeId="0" xr:uid="{5C005F02-0615-48AF-879A-7B6D1B87E397}">
      <text>
        <r>
          <rPr>
            <sz val="9"/>
            <color indexed="81"/>
            <rFont val="Tahoma"/>
            <family val="2"/>
          </rPr>
          <t>Land Condition (optional)</t>
        </r>
      </text>
    </comment>
    <comment ref="J12" authorId="1" shapeId="0" xr:uid="{BEC12F39-0A96-4BCF-988D-65F49164DDDA}">
      <text>
        <r>
          <rPr>
            <sz val="9"/>
            <color indexed="81"/>
            <rFont val="Tahoma"/>
            <family val="2"/>
          </rPr>
          <t>Initial Leaf Area Index (TRANSPLANTS ONLY)</t>
        </r>
      </text>
    </comment>
    <comment ref="L12" authorId="1" shapeId="0" xr:uid="{2CA5084D-973B-4984-A336-A1959535716C}">
      <text>
        <r>
          <rPr>
            <sz val="9"/>
            <color indexed="81"/>
            <rFont val="Tahoma"/>
            <family val="2"/>
          </rPr>
          <t xml:space="preserve">Plant Population (plants/m^2) </t>
        </r>
      </text>
    </comment>
    <comment ref="M12" authorId="1" shapeId="0" xr:uid="{B9D53C93-1B15-4E7D-8C2F-77218B0CBAAE}">
      <text>
        <r>
          <rPr>
            <sz val="9"/>
            <color indexed="81"/>
            <rFont val="Tahoma"/>
            <family val="2"/>
          </rPr>
          <t>Maximum Annual Fertilizer</t>
        </r>
      </text>
    </comment>
    <comment ref="G13" authorId="1" shapeId="0" xr:uid="{DD4FE441-0AED-4FAE-A223-4F1392826ABA}">
      <text>
        <r>
          <rPr>
            <sz val="9"/>
            <color indexed="81"/>
            <rFont val="Tahoma"/>
            <family val="2"/>
          </rPr>
          <t>Pesticide ID</t>
        </r>
      </text>
    </comment>
    <comment ref="H13" authorId="1" shapeId="0" xr:uid="{3719475C-DDE6-4A80-B8E0-57EF3995FDFD}">
      <text>
        <r>
          <rPr>
            <sz val="9"/>
            <color indexed="81"/>
            <rFont val="Tahoma"/>
            <family val="2"/>
          </rPr>
          <t>Application Rate</t>
        </r>
      </text>
    </comment>
    <comment ref="I13" authorId="1" shapeId="0" xr:uid="{6A85F5A6-BEAA-4823-9A75-34048D5172CE}">
      <text>
        <r>
          <rPr>
            <sz val="9"/>
            <color indexed="81"/>
            <rFont val="Tahoma"/>
            <family val="2"/>
          </rPr>
          <t>Pest Control Factor
If this factor is set to 0.99, 99% of the pests will be killed</t>
        </r>
      </text>
    </comment>
    <comment ref="H14" authorId="1" shapeId="0" xr:uid="{89110A09-A970-4FA0-920D-A99A5F554D23}">
      <text>
        <r>
          <rPr>
            <sz val="9"/>
            <color indexed="81"/>
            <rFont val="Tahoma"/>
            <family val="2"/>
          </rPr>
          <t>Application Rate</t>
        </r>
      </text>
    </comment>
    <comment ref="J14" authorId="1" shapeId="0" xr:uid="{FD453517-256E-40CA-B695-0E6073B39F6E}">
      <text>
        <r>
          <rPr>
            <sz val="9"/>
            <color indexed="81"/>
            <rFont val="Tahoma"/>
            <family val="2"/>
          </rPr>
          <t>Automatic Irrigation Trigger</t>
        </r>
      </text>
    </comment>
    <comment ref="K14" authorId="1" shapeId="0" xr:uid="{C6E1BBCE-A4BD-4A31-AF62-E3AE596EE26D}">
      <text>
        <r>
          <rPr>
            <sz val="9"/>
            <color indexed="81"/>
            <rFont val="Tahoma"/>
            <family val="2"/>
          </rPr>
          <t>Irrigation Runoff Fraction (0-1)
The irrigation runoff ratio specifies the fraction of
each irrigation application that is lost to runoff.</t>
        </r>
      </text>
    </comment>
    <comment ref="L14" authorId="1" shapeId="0" xr:uid="{00C3EEAF-71F8-4BD9-8193-9C22552F9B2B}">
      <text>
        <r>
          <rPr>
            <sz val="9"/>
            <color indexed="81"/>
            <rFont val="Tahoma"/>
            <family val="2"/>
          </rPr>
          <t>Factor to adjust Auto Irrig.</t>
        </r>
      </text>
    </comment>
    <comment ref="H15" authorId="1" shapeId="0" xr:uid="{7E3D7301-76CA-4039-930B-AD12CE3C73F3}">
      <text>
        <r>
          <rPr>
            <sz val="9"/>
            <color indexed="81"/>
            <rFont val="Tahoma"/>
            <family val="2"/>
          </rPr>
          <t>Application Rate</t>
        </r>
      </text>
    </comment>
    <comment ref="J15" authorId="1" shapeId="0" xr:uid="{3F47E653-172F-48F9-93CA-E4759AD82B98}">
      <text>
        <r>
          <rPr>
            <sz val="9"/>
            <color indexed="81"/>
            <rFont val="Tahoma"/>
            <family val="2"/>
          </rPr>
          <t>Automatic Irrigation Trigger</t>
        </r>
      </text>
    </comment>
    <comment ref="K15" authorId="1" shapeId="0" xr:uid="{F9D57CAF-8FDE-4534-8B8D-A963CEB4F43F}">
      <text>
        <r>
          <rPr>
            <sz val="9"/>
            <color indexed="81"/>
            <rFont val="Tahoma"/>
            <family val="2"/>
          </rPr>
          <t>Irrigation Runoff Fraction (0-1)
The irrigation runoff ratio specifies the fraction of
each irrigation application that is lost to runoff.</t>
        </r>
      </text>
    </comment>
    <comment ref="L15" authorId="1" shapeId="0" xr:uid="{CA8E0878-686F-4DE6-B60D-6AF58E87EA4C}">
      <text>
        <r>
          <rPr>
            <sz val="9"/>
            <color indexed="81"/>
            <rFont val="Tahoma"/>
            <family val="2"/>
          </rPr>
          <t>Factor to adjust Auto Irrig.</t>
        </r>
      </text>
    </comment>
    <comment ref="G16" authorId="1" shapeId="0" xr:uid="{99FDD56D-590A-43CE-9CA5-7B0D737C0F11}">
      <text>
        <r>
          <rPr>
            <sz val="9"/>
            <color indexed="81"/>
            <rFont val="Tahoma"/>
            <family val="2"/>
          </rPr>
          <t>Enter: LYR - Time plant-harvest | XMTU - Time plant-maturity | Pest ID (PEST.DAT) | Fert ID (FERT.DAT)</t>
        </r>
      </text>
    </comment>
    <comment ref="H16" authorId="1" shapeId="0" xr:uid="{EC0A3DC1-0444-4C6D-8223-22FACA1C4FC5}">
      <text>
        <r>
          <rPr>
            <sz val="9"/>
            <color indexed="81"/>
            <rFont val="Tahoma"/>
            <family val="2"/>
          </rPr>
          <t>Pot Heat Units | Pest App (kg/ha) | Irr App (mm) | Fert App (kg/ha) | Stock Rate (ha/an) | Lime App (t/ha)</t>
        </r>
      </text>
    </comment>
    <comment ref="I16" authorId="1" shapeId="0" xr:uid="{BF220F58-F181-447A-8A66-2EC0F750D82D}">
      <text>
        <r>
          <rPr>
            <sz val="9"/>
            <color indexed="81"/>
            <rFont val="Tahoma"/>
            <family val="2"/>
          </rPr>
          <t>Land Condition (optional)</t>
        </r>
      </text>
    </comment>
    <comment ref="I21" authorId="1" shapeId="0" xr:uid="{8EA4B5B3-7C96-4B1E-A17D-AC49BF551E63}">
      <text>
        <r>
          <rPr>
            <sz val="9"/>
            <color indexed="81"/>
            <rFont val="Tahoma"/>
            <family val="2"/>
          </rPr>
          <t>Land Condition (optional)</t>
        </r>
      </text>
    </comment>
    <comment ref="H22" authorId="1" shapeId="0" xr:uid="{0D504AB2-FE6F-473A-8DAC-D7718338EB65}">
      <text>
        <r>
          <rPr>
            <sz val="9"/>
            <color indexed="81"/>
            <rFont val="Tahoma"/>
            <family val="2"/>
          </rPr>
          <t>Target ponding depth</t>
        </r>
      </text>
    </comment>
    <comment ref="M22" authorId="1" shapeId="0" xr:uid="{67FB9854-AF8B-42DD-A4C4-240617A0E766}">
      <text>
        <r>
          <rPr>
            <sz val="9"/>
            <color indexed="81"/>
            <rFont val="Tahoma"/>
            <family val="2"/>
          </rPr>
          <t>Minimum ponding depth to trigger paddy irrigation</t>
        </r>
      </text>
    </comment>
    <comment ref="H23" authorId="1" shapeId="0" xr:uid="{2E351880-7C13-4495-B610-0E3A9619EA09}">
      <text>
        <r>
          <rPr>
            <sz val="9"/>
            <color indexed="81"/>
            <rFont val="Tahoma"/>
            <family val="2"/>
          </rPr>
          <t>Target ponding depth</t>
        </r>
      </text>
    </comment>
    <comment ref="M23" authorId="1" shapeId="0" xr:uid="{333F847C-36B0-4EA0-9B5B-23782C0D0BDF}">
      <text>
        <r>
          <rPr>
            <sz val="9"/>
            <color indexed="81"/>
            <rFont val="Tahoma"/>
            <family val="2"/>
          </rPr>
          <t>Minimum ponding depth to trigger paddy irrigation</t>
        </r>
      </text>
    </comment>
    <comment ref="G26" authorId="1" shapeId="0" xr:uid="{6D4C9E06-4791-4E9C-91B5-727BD2262BAB}">
      <text>
        <r>
          <rPr>
            <sz val="9"/>
            <color indexed="81"/>
            <rFont val="Tahoma"/>
            <family val="2"/>
          </rPr>
          <t>Herd Id in the HERD file</t>
        </r>
      </text>
    </comment>
    <comment ref="H26" authorId="1" shapeId="0" xr:uid="{6D7ABC24-6386-417D-BDEA-E07BF2A0BA50}">
      <text>
        <r>
          <rPr>
            <sz val="9"/>
            <color indexed="81"/>
            <rFont val="Tahoma"/>
            <family val="2"/>
          </rPr>
          <t>Stocking Rate (ha/head)</t>
        </r>
      </text>
    </comment>
    <comment ref="I26" authorId="1" shapeId="0" xr:uid="{B46B0240-82AF-4EEA-9053-62A95A8F8F38}">
      <text>
        <r>
          <rPr>
            <sz val="9"/>
            <color indexed="81"/>
            <rFont val="Tahoma"/>
            <family val="2"/>
          </rPr>
          <t>Land Condition (optional)</t>
        </r>
      </text>
    </comment>
    <comment ref="G27" authorId="1" shapeId="0" xr:uid="{6B2A4E1C-D000-41E0-9846-0B0E23BC79E0}">
      <text>
        <r>
          <rPr>
            <sz val="9"/>
            <color indexed="81"/>
            <rFont val="Tahoma"/>
            <family val="2"/>
          </rPr>
          <t>Herd Id in the HERD file</t>
        </r>
      </text>
    </comment>
    <comment ref="H27" authorId="1" shapeId="0" xr:uid="{4C143E93-1E7C-4573-B3BE-64340AC2DD29}">
      <text>
        <r>
          <rPr>
            <sz val="9"/>
            <color indexed="81"/>
            <rFont val="Tahoma"/>
            <family val="2"/>
          </rPr>
          <t>Stocking Rate (ha/head)</t>
        </r>
      </text>
    </comment>
    <comment ref="I27" authorId="1" shapeId="0" xr:uid="{ADF24F34-695F-44A5-86F0-E6E16144644C}">
      <text>
        <r>
          <rPr>
            <sz val="9"/>
            <color indexed="81"/>
            <rFont val="Tahoma"/>
            <family val="2"/>
          </rPr>
          <t>Land Condition (optional)</t>
        </r>
      </text>
    </comment>
    <comment ref="I28" authorId="1" shapeId="0" xr:uid="{41ABA794-A94B-4F66-87BE-FF8EEE2C6407}">
      <text>
        <r>
          <rPr>
            <sz val="9"/>
            <color indexed="81"/>
            <rFont val="Tahoma"/>
            <family val="2"/>
          </rPr>
          <t>Land Condition (optional)</t>
        </r>
      </text>
    </comment>
    <comment ref="I29" authorId="1" shapeId="0" xr:uid="{1C0CEE55-7C9F-46D6-A3D3-A9821EF60E04}">
      <text>
        <r>
          <rPr>
            <sz val="9"/>
            <color indexed="81"/>
            <rFont val="Tahoma"/>
            <family val="2"/>
          </rPr>
          <t>Land Condition (optional)</t>
        </r>
      </text>
    </comment>
    <comment ref="I30" authorId="1" shapeId="0" xr:uid="{0A3A20C8-E248-4464-8027-E3A55FFB51C8}">
      <text>
        <r>
          <rPr>
            <sz val="9"/>
            <color indexed="81"/>
            <rFont val="Tahoma"/>
            <family val="2"/>
          </rPr>
          <t>Land Condition (optional)</t>
        </r>
      </text>
    </comment>
    <comment ref="I31" authorId="1" shapeId="0" xr:uid="{719BB042-0B8A-4A28-923A-A03762D2F61F}">
      <text>
        <r>
          <rPr>
            <sz val="9"/>
            <color indexed="81"/>
            <rFont val="Tahoma"/>
            <family val="2"/>
          </rPr>
          <t>Land Condition (optional)</t>
        </r>
      </text>
    </comment>
    <comment ref="H35" authorId="1" shapeId="0" xr:uid="{4DC533B3-65AE-4EF2-B4D9-F7FD5857BDAE}">
      <text>
        <r>
          <rPr>
            <sz val="9"/>
            <color indexed="81"/>
            <rFont val="Tahoma"/>
            <family val="2"/>
          </rPr>
          <t>Application Rate</t>
        </r>
      </text>
    </comment>
    <comment ref="A45" authorId="1" shapeId="0" xr:uid="{00000000-0006-0000-0600-000002000000}">
      <text>
        <r>
          <rPr>
            <sz val="9"/>
            <color indexed="81"/>
            <rFont val="Tahoma"/>
            <family val="2"/>
          </rPr>
          <t>JX (1) Year of operation (cols. 1-3) (Range: 1-100)</t>
        </r>
      </text>
    </comment>
    <comment ref="B45" authorId="1" shapeId="0" xr:uid="{00000000-0006-0000-0600-000003000000}">
      <text>
        <r>
          <rPr>
            <sz val="9"/>
            <color indexed="81"/>
            <rFont val="Tahoma"/>
            <family val="2"/>
          </rPr>
          <t>JX (2) Month of operation (cols. 4-6) (Range: 1-12)</t>
        </r>
      </text>
    </comment>
    <comment ref="C45" authorId="1" shapeId="0" xr:uid="{00000000-0006-0000-0600-000004000000}">
      <text>
        <r>
          <rPr>
            <sz val="9"/>
            <color indexed="81"/>
            <rFont val="Tahoma"/>
            <family val="2"/>
          </rPr>
          <t>JX (3) Day of operation (cols. 7-9) (Range: 1-31)</t>
        </r>
      </text>
    </comment>
    <comment ref="D45" authorId="1" shapeId="0" xr:uid="{ABC46BC3-1A6E-4F7D-AF5E-B74792D8D403}">
      <text>
        <r>
          <rPr>
            <sz val="9"/>
            <color indexed="81"/>
            <rFont val="Tahoma"/>
            <family val="2"/>
          </rPr>
          <t>Select Tillage ID from TILL.DAT table</t>
        </r>
      </text>
    </comment>
    <comment ref="E45" authorId="2" shapeId="0" xr:uid="{BBBA606E-6B25-4ECF-A719-9B98A4F51D4D}">
      <text>
        <r>
          <rPr>
            <sz val="9"/>
            <color indexed="81"/>
            <rFont val="Tahoma"/>
            <family val="2"/>
          </rPr>
          <t>Select Machine ID from TILL.DAT table</t>
        </r>
      </text>
    </comment>
    <comment ref="F45" authorId="2" shapeId="0" xr:uid="{200BAD65-F455-4032-BBA0-DA87E0589536}">
      <text>
        <r>
          <rPr>
            <sz val="9"/>
            <color indexed="81"/>
            <rFont val="Tahoma"/>
            <family val="2"/>
          </rPr>
          <t>Select crop ID from CROP.DAT table</t>
        </r>
      </text>
    </comment>
    <comment ref="G45" authorId="2" shapeId="0" xr:uid="{67C28438-CC07-4D7F-A529-D3F04EC584A8}">
      <text>
        <r>
          <rPr>
            <sz val="9"/>
            <color indexed="81"/>
            <rFont val="Tahoma"/>
            <family val="2"/>
          </rPr>
          <t>Enter: LYR - Time plant-harvest | XMTU - Time plant-maturity | Pest ID (PEST.DAT) | Fert ID (FERT.DAT)</t>
        </r>
      </text>
    </comment>
    <comment ref="H45" authorId="2" shapeId="0" xr:uid="{626A1462-F032-4B86-897F-AC907413BFE2}">
      <text>
        <r>
          <rPr>
            <sz val="9"/>
            <color indexed="81"/>
            <rFont val="Tahoma"/>
            <family val="2"/>
          </rPr>
          <t>Pot Heat Units | Pest App (kg/ha) | Irr App (mm) | Fert App (kg/ha) | Stock Rate (ha/an) | Lime App (t/ha)</t>
        </r>
      </text>
    </comment>
    <comment ref="I45" authorId="1" shapeId="0" xr:uid="{622CECD3-C40D-420C-AF71-D626681848AE}">
      <text>
        <r>
          <rPr>
            <b/>
            <sz val="9"/>
            <color indexed="81"/>
            <rFont val="Tahoma"/>
            <family val="2"/>
          </rPr>
          <t>1</t>
        </r>
        <r>
          <rPr>
            <sz val="9"/>
            <color indexed="81"/>
            <rFont val="Tahoma"/>
            <family val="2"/>
          </rPr>
          <t xml:space="preserve"> Condition to ovrride SCS Runoff Curve number, or Land Use number (optional). (Range: 1-35)
</t>
        </r>
        <r>
          <rPr>
            <b/>
            <sz val="9"/>
            <color indexed="81"/>
            <rFont val="Tahoma"/>
            <family val="2"/>
          </rPr>
          <t xml:space="preserve">2 </t>
        </r>
        <r>
          <rPr>
            <sz val="9"/>
            <color indexed="81"/>
            <rFont val="Tahoma"/>
            <family val="2"/>
          </rPr>
          <t xml:space="preserve">Pest Control factor for Pest application (fraction of pests controlled). (Range: 0-1)
  • 0.99 = 99% of the pests will be killed. 
  • Default minimal damage is caused - no reduce yield.
</t>
        </r>
        <r>
          <rPr>
            <b/>
            <sz val="9"/>
            <color indexed="81"/>
            <rFont val="Tahoma"/>
            <family val="2"/>
          </rPr>
          <t>3</t>
        </r>
        <r>
          <rPr>
            <sz val="9"/>
            <color indexed="81"/>
            <rFont val="Tahoma"/>
            <family val="2"/>
          </rPr>
          <t xml:space="preserve"> Initial Grazer weight (overrides value in the HERD file)</t>
        </r>
      </text>
    </comment>
    <comment ref="J45" authorId="1" shapeId="0" xr:uid="{00000000-0006-0000-0600-00000B000000}">
      <text>
        <r>
          <rPr>
            <sz val="9"/>
            <color indexed="81"/>
            <rFont val="Tahoma"/>
            <family val="2"/>
          </rPr>
          <t xml:space="preserve">Automatic Irrigation Trigger. Can override subarea file (Range: -1000 to 1000)
Automatic irrigation, the water stress factor is set:
  0 manual irrigation or model uses BIR set in subarea file
  0 – 1.0 Plant water stress factor.  
  1.0  Does not allow water stress
  &lt; 0.0 Plant available water deficit in root zone (number is in mm must be negative)
  &gt; 1.0 Soil water tension in top 200mm (Absolute number in kilopascals)           
  -1000 Sets water deficit high enough that only manual irrigations will occur
(cols. 46-53) 
</t>
        </r>
      </text>
    </comment>
    <comment ref="K45" authorId="1" shapeId="0" xr:uid="{00000000-0006-0000-0600-00000C000000}">
      <text>
        <r>
          <rPr>
            <sz val="9"/>
            <color indexed="81"/>
            <rFont val="Tahoma"/>
            <family val="2"/>
          </rPr>
          <t xml:space="preserve">Runoff vol/vol irrigation water applied. (Range: 0-1)
The irrigation runoff ratio specifies the fraction of each irrigation application that is lost to runoff.
Setting the runoff fraction (EFI) within the operation schedule overrides the subarea file.  
(cols. 54-61) </t>
        </r>
      </text>
    </comment>
    <comment ref="L45" authorId="1" shapeId="0" xr:uid="{00000000-0006-0000-0600-00000D000000}">
      <text>
        <r>
          <rPr>
            <sz val="9"/>
            <color indexed="81"/>
            <rFont val="Tahoma"/>
            <family val="2"/>
          </rPr>
          <t>1 Plant population for planting operation only (plants/m2 or plants/ha if plants/m2 &lt; 1.; e.g. trees) (Range: 0-500)
2 Factor to adjust automatic irrigation volume (FIRG*F). 
(cols. 62-69)</t>
        </r>
      </text>
    </comment>
    <comment ref="M45" authorId="1" shapeId="0" xr:uid="{00000000-0006-0000-0600-00000E000000}">
      <text>
        <r>
          <rPr>
            <sz val="9"/>
            <color indexed="81"/>
            <rFont val="Tahoma"/>
            <family val="2"/>
          </rPr>
          <t>Maximum annual N fertilizer applied to a crop  (Range: 0 - 1000)
(cols. 70-77)</t>
        </r>
      </text>
    </comment>
    <comment ref="N45" authorId="1" shapeId="0" xr:uid="{00000000-0006-0000-0600-00000F000000}">
      <text>
        <r>
          <rPr>
            <sz val="9"/>
            <color indexed="81"/>
            <rFont val="Tahoma"/>
            <family val="2"/>
          </rPr>
          <t xml:space="preserve">Heat unit scheduling. Time of operation as fraction of growing season (Range: 0-1.5)
Heat unit scheduling can be used to schedule operations at a particular stage of growth.  
(cols. 78-85)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5" authorId="0" shapeId="0" xr:uid="{00000000-0006-0000-0700-000001000000}">
      <text>
        <r>
          <rPr>
            <sz val="9"/>
            <color indexed="81"/>
            <rFont val="Tahoma"/>
            <family val="2"/>
          </rPr>
          <t>Type the file name only. The extension will be assign from cell E4.
Leave blank if not new</t>
        </r>
      </text>
    </comment>
    <comment ref="A9" authorId="1" shapeId="0" xr:uid="{00000000-0006-0000-0700-000002000000}">
      <text>
        <r>
          <rPr>
            <sz val="9"/>
            <color indexed="81"/>
            <rFont val="Tahoma"/>
            <family val="2"/>
          </rPr>
          <t>Soil albedo (fraction) (cols.1-8 ) (Range: 0-1)</t>
        </r>
      </text>
    </comment>
    <comment ref="C9" authorId="1" shapeId="0" xr:uid="{00000000-0006-0000-0700-000003000000}">
      <text>
        <r>
          <rPr>
            <sz val="9"/>
            <color indexed="81"/>
            <rFont val="Tahoma"/>
            <family val="2"/>
          </rPr>
          <t>Soil hydrologic group (1=A, 2=B, 3=C, or 4=D). (cols. 9-16) (Range: 1-4)</t>
        </r>
      </text>
    </comment>
    <comment ref="E9" authorId="1" shapeId="0" xr:uid="{00000000-0006-0000-0700-000004000000}">
      <text>
        <r>
          <rPr>
            <sz val="9"/>
            <color indexed="81"/>
            <rFont val="Tahoma"/>
            <family val="2"/>
          </rPr>
          <t>Initial Soil Water Content (cols. 17-24) (Range: 0-1)</t>
        </r>
      </text>
    </comment>
    <comment ref="G9" authorId="1" shapeId="0" xr:uid="{DF262A04-EFB9-45B5-AC69-A93E847D6479}">
      <text>
        <r>
          <rPr>
            <sz val="9"/>
            <color indexed="81"/>
            <rFont val="Tahoma"/>
            <family val="2"/>
          </rPr>
          <t>Minimum depth to water table (m) (cols. 25-32) (Range: 0-100)</t>
        </r>
      </text>
    </comment>
    <comment ref="I9" authorId="1" shapeId="0" xr:uid="{FC04515C-F0A7-44D7-B595-C11375120998}">
      <text>
        <r>
          <rPr>
            <sz val="9"/>
            <color indexed="81"/>
            <rFont val="Tahoma"/>
            <family val="2"/>
          </rPr>
          <t>Maximum depth to water table (m) (cols. 33-40) (Range: 0-100)</t>
        </r>
      </text>
    </comment>
    <comment ref="K9" authorId="1" shapeId="0" xr:uid="{B2B7F599-67C6-4612-A96F-C62AFDEEBEE3}">
      <text>
        <r>
          <rPr>
            <sz val="9"/>
            <color indexed="81"/>
            <rFont val="Tahoma"/>
            <family val="2"/>
          </rPr>
          <t>Initial water table height (m) (cols. 41-48) (Range: 0-100)</t>
        </r>
      </text>
    </comment>
    <comment ref="M9" authorId="1" shapeId="0" xr:uid="{54F308DB-B451-45CD-81B9-5E13AD52E102}">
      <text>
        <r>
          <rPr>
            <sz val="9"/>
            <color indexed="81"/>
            <rFont val="Tahoma"/>
            <family val="2"/>
          </rPr>
          <t>Groundwater storage (mm) (cols. 49-56) (Range: 0-200) 0 if unknown</t>
        </r>
      </text>
    </comment>
    <comment ref="O9" authorId="1" shapeId="0" xr:uid="{6FA52854-0C0D-4796-90DF-EC9A6A091182}">
      <text>
        <r>
          <rPr>
            <sz val="9"/>
            <color indexed="81"/>
            <rFont val="Tahoma"/>
            <family val="2"/>
          </rPr>
          <t>Maximum groundwater storage (cols. 57-64) (Range: 10-500) 0 if unknown</t>
        </r>
      </text>
    </comment>
    <comment ref="Q9" authorId="0" shapeId="0" xr:uid="{EFF8205D-8F09-442E-A35F-F70054658176}">
      <text>
        <r>
          <rPr>
            <b/>
            <sz val="9"/>
            <color indexed="81"/>
            <rFont val="Tahoma"/>
            <family val="2"/>
          </rPr>
          <t>::</t>
        </r>
        <r>
          <rPr>
            <sz val="9"/>
            <color indexed="81"/>
            <rFont val="Tahoma"/>
            <family val="2"/>
          </rPr>
          <t xml:space="preserve">
Groundwater residence time in days (cols. 65-72) (Range: 1-365) 0 if unknown</t>
        </r>
      </text>
    </comment>
    <comment ref="S9" authorId="0" shapeId="0" xr:uid="{80593A99-F399-4DF3-B815-AB082D071FBD}">
      <text>
        <r>
          <rPr>
            <b/>
            <sz val="9"/>
            <color indexed="81"/>
            <rFont val="Tahoma"/>
            <family val="2"/>
          </rPr>
          <t>::</t>
        </r>
        <r>
          <rPr>
            <sz val="9"/>
            <color indexed="81"/>
            <rFont val="Tahoma"/>
            <family val="2"/>
          </rPr>
          <t xml:space="preserve">
Return flow/(return flow + deep percolation) (cols. 73-80) (Range: 0.01-0.99) (Blank if unknown)</t>
        </r>
      </text>
    </comment>
    <comment ref="A10" authorId="0" shapeId="0" xr:uid="{00000000-0006-0000-0700-000005000000}">
      <text>
        <r>
          <rPr>
            <b/>
            <sz val="9"/>
            <color indexed="81"/>
            <rFont val="Tahoma"/>
            <family val="2"/>
          </rPr>
          <t>::</t>
        </r>
        <r>
          <rPr>
            <sz val="9"/>
            <color indexed="81"/>
            <rFont val="Tahoma"/>
            <family val="2"/>
          </rPr>
          <t xml:space="preserve">
Maximum number of soil layers after splitting (cols. 1-8) (Range: 3-10)</t>
        </r>
      </text>
    </comment>
    <comment ref="C10" authorId="0" shapeId="0" xr:uid="{00000000-0006-0000-0700-000006000000}">
      <text>
        <r>
          <rPr>
            <b/>
            <sz val="9"/>
            <color indexed="81"/>
            <rFont val="Tahoma"/>
            <family val="2"/>
          </rPr>
          <t>::</t>
        </r>
        <r>
          <rPr>
            <sz val="9"/>
            <color indexed="81"/>
            <rFont val="Tahoma"/>
            <family val="2"/>
          </rPr>
          <t xml:space="preserve">
Soil weathering code. (cols. 9-16) (Range: 0-4)
0 Calcareous and non-calcareous soils without weathering information.
1 Non CaCO3 slightly weathered.
2 Non CaCO3 moderately weathered.
3 Non CaCO3 highly weathered.
4 Input Phosphorus sorption ratio (PSP) or active + stable mineral P (kg/ha)</t>
        </r>
      </text>
    </comment>
    <comment ref="E10" authorId="0" shapeId="0" xr:uid="{00000000-0006-0000-0700-000007000000}">
      <text>
        <r>
          <rPr>
            <b/>
            <sz val="9"/>
            <color indexed="81"/>
            <rFont val="Tahoma"/>
            <family val="2"/>
          </rPr>
          <t>::</t>
        </r>
        <r>
          <rPr>
            <sz val="9"/>
            <color indexed="81"/>
            <rFont val="Tahoma"/>
            <family val="2"/>
          </rPr>
          <t xml:space="preserve">
Number of Years of Cultivation at Start of Simulation (cols. 17-24) (Range: 0-300)</t>
        </r>
      </text>
    </comment>
    <comment ref="G10" authorId="0" shapeId="0" xr:uid="{00000000-0006-0000-0700-000008000000}">
      <text>
        <r>
          <rPr>
            <b/>
            <sz val="9"/>
            <color indexed="81"/>
            <rFont val="Tahoma"/>
            <family val="2"/>
          </rPr>
          <t>::</t>
        </r>
        <r>
          <rPr>
            <sz val="9"/>
            <color indexed="81"/>
            <rFont val="Tahoma"/>
            <family val="2"/>
          </rPr>
          <t xml:space="preserve">
Soil Grouping (cols. 25-32) (Range: 1-3)
1 Kaolinitic soil group.
2 Mixed soil group.
3 Smectitic soil group.</t>
        </r>
      </text>
    </comment>
    <comment ref="I10" authorId="0" shapeId="0" xr:uid="{00000000-0006-0000-0700-000009000000}">
      <text>
        <r>
          <rPr>
            <b/>
            <sz val="9"/>
            <color indexed="81"/>
            <rFont val="Tahoma"/>
            <family val="2"/>
          </rPr>
          <t>::</t>
        </r>
        <r>
          <rPr>
            <sz val="9"/>
            <color indexed="81"/>
            <rFont val="Tahoma"/>
            <family val="2"/>
          </rPr>
          <t xml:space="preserve">
Minimum Thickness of Maximum Layer (m) (cols. 33-40) (Range: 0.01-0.25) Default to 0.1 m</t>
        </r>
      </text>
    </comment>
    <comment ref="K10" authorId="0" shapeId="0" xr:uid="{00000000-0006-0000-0700-00000A000000}">
      <text>
        <r>
          <rPr>
            <b/>
            <sz val="9"/>
            <color indexed="81"/>
            <rFont val="Tahoma"/>
            <family val="2"/>
          </rPr>
          <t>::</t>
        </r>
        <r>
          <rPr>
            <sz val="9"/>
            <color indexed="81"/>
            <rFont val="Tahoma"/>
            <family val="2"/>
          </rPr>
          <t xml:space="preserve">
Minimum profile thickness (cols. 41-48) (Range: 0.05-0.25)
</t>
        </r>
      </text>
    </comment>
    <comment ref="M10" authorId="0" shapeId="0" xr:uid="{00000000-0006-0000-0700-00000B000000}">
      <text>
        <r>
          <rPr>
            <b/>
            <sz val="9"/>
            <color indexed="81"/>
            <rFont val="Tahoma"/>
            <family val="2"/>
          </rPr>
          <t>::</t>
        </r>
        <r>
          <rPr>
            <sz val="9"/>
            <color indexed="81"/>
            <rFont val="Tahoma"/>
            <family val="2"/>
          </rPr>
          <t xml:space="preserve">
Minimum layer thickness for beginning simulation layer. (cols. 49-56) (Range: 0.05-0.25)</t>
        </r>
      </text>
    </comment>
    <comment ref="O10" authorId="0" shapeId="0" xr:uid="{00000000-0006-0000-0700-00000C000000}">
      <text>
        <r>
          <rPr>
            <b/>
            <sz val="9"/>
            <color indexed="81"/>
            <rFont val="Tahoma"/>
            <family val="2"/>
          </rPr>
          <t>::</t>
        </r>
        <r>
          <rPr>
            <sz val="9"/>
            <color indexed="81"/>
            <rFont val="Tahoma"/>
            <family val="2"/>
          </rPr>
          <t xml:space="preserve">
Fraction of Org C in biomass Pool (cols. 57-64) (Range: 0.03 – 0.05)</t>
        </r>
      </text>
    </comment>
    <comment ref="Q10" authorId="0" shapeId="0" xr:uid="{00000000-0006-0000-0700-00000D000000}">
      <text>
        <r>
          <rPr>
            <b/>
            <sz val="9"/>
            <color indexed="81"/>
            <rFont val="Tahoma"/>
            <family val="2"/>
          </rPr>
          <t>::</t>
        </r>
        <r>
          <rPr>
            <sz val="9"/>
            <color indexed="81"/>
            <rFont val="Tahoma"/>
            <family val="2"/>
          </rPr>
          <t xml:space="preserve">
Fraction of Org C in passive Pool (cols. 65-72) (Range: 0.3 – 0.7)
</t>
        </r>
      </text>
    </comment>
    <comment ref="S10" authorId="0" shapeId="0" xr:uid="{00000000-0006-0000-0700-00000E000000}">
      <text>
        <r>
          <rPr>
            <b/>
            <sz val="9"/>
            <color indexed="81"/>
            <rFont val="Tahoma"/>
            <family val="2"/>
          </rPr>
          <t>::</t>
        </r>
        <r>
          <rPr>
            <sz val="9"/>
            <color indexed="81"/>
            <rFont val="Tahoma"/>
            <family val="2"/>
          </rPr>
          <t xml:space="preserve">
Code written automatically by .SOT (NOT USER INPUTTED) (cols. 73-80)</t>
        </r>
      </text>
    </comment>
    <comment ref="A14" authorId="1" shapeId="0" xr:uid="{00000000-0006-0000-0700-00000F000000}">
      <text>
        <r>
          <rPr>
            <sz val="9"/>
            <color indexed="81"/>
            <rFont val="Tahoma"/>
            <family val="2"/>
          </rPr>
          <t>Must have</t>
        </r>
      </text>
    </comment>
    <comment ref="A16" authorId="1" shapeId="0" xr:uid="{00000000-0006-0000-0700-000010000000}">
      <text>
        <r>
          <rPr>
            <sz val="9"/>
            <color indexed="81"/>
            <rFont val="Tahoma"/>
            <family val="2"/>
          </rPr>
          <t>Preferred but can be estimated</t>
        </r>
      </text>
    </comment>
    <comment ref="A17" authorId="1" shapeId="0" xr:uid="{00000000-0006-0000-0700-000011000000}">
      <text>
        <r>
          <rPr>
            <sz val="9"/>
            <color indexed="81"/>
            <rFont val="Tahoma"/>
            <family val="2"/>
          </rPr>
          <t>Preferred but can be estimated</t>
        </r>
      </text>
    </comment>
    <comment ref="A22" authorId="1" shapeId="0" xr:uid="{00000000-0006-0000-0700-000012000000}">
      <text>
        <r>
          <rPr>
            <sz val="9"/>
            <color indexed="81"/>
            <rFont val="Tahoma"/>
            <family val="2"/>
          </rPr>
          <t>Zero or null is acceptable</t>
        </r>
      </text>
    </comment>
    <comment ref="A24" authorId="1" shapeId="0" xr:uid="{00000000-0006-0000-0700-000013000000}">
      <text>
        <r>
          <rPr>
            <sz val="9"/>
            <color indexed="81"/>
            <rFont val="Tahoma"/>
            <family val="2"/>
          </rPr>
          <t>Zero or null is acceptable</t>
        </r>
      </text>
    </comment>
    <comment ref="A25" authorId="1" shapeId="0" xr:uid="{00000000-0006-0000-0700-000014000000}">
      <text>
        <r>
          <rPr>
            <sz val="9"/>
            <color indexed="81"/>
            <rFont val="Tahoma"/>
            <family val="2"/>
          </rPr>
          <t>Preferred but can be estimated</t>
        </r>
      </text>
    </comment>
    <comment ref="A26" authorId="1" shapeId="0" xr:uid="{00000000-0006-0000-0700-000015000000}">
      <text>
        <r>
          <rPr>
            <sz val="9"/>
            <color indexed="81"/>
            <rFont val="Tahoma"/>
            <family val="2"/>
          </rPr>
          <t>Zero or null is acceptable</t>
        </r>
      </text>
    </comment>
    <comment ref="A32" authorId="1" shapeId="0" xr:uid="{00000000-0006-0000-0700-000016000000}">
      <text>
        <r>
          <rPr>
            <sz val="9"/>
            <color indexed="81"/>
            <rFont val="Tahoma"/>
            <family val="2"/>
          </rPr>
          <t>Zero or null is acceptable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Javier M. Osorio</author>
  </authors>
  <commentList>
    <comment ref="A3" authorId="0" shapeId="0" xr:uid="{00000000-0006-0000-0800-000001000000}">
      <text>
        <r>
          <rPr>
            <sz val="9"/>
            <color indexed="81"/>
            <rFont val="Tahoma"/>
            <family val="2"/>
          </rPr>
          <t>Type the file name only. The extension will be assign from cell E2. Leave blank if not new</t>
        </r>
      </text>
    </comment>
    <comment ref="A11" authorId="1" shapeId="0" xr:uid="{A9FE2F04-3BE8-4855-AFD8-7CC472A75ABA}">
      <text>
        <r>
          <rPr>
            <sz val="9"/>
            <color indexed="81"/>
            <rFont val="Tahoma"/>
            <family val="2"/>
          </rPr>
          <t xml:space="preserve">= 0 For non feeding areas
= Herd # for feeding areas
</t>
        </r>
      </text>
    </comment>
    <comment ref="A12" authorId="1" shapeId="0" xr:uid="{57813EA9-8933-4C54-9EF2-424DED9BAF2F}">
      <text>
        <r>
          <rPr>
            <sz val="9"/>
            <color indexed="81"/>
            <rFont val="Tahoma"/>
            <family val="2"/>
          </rPr>
          <t xml:space="preserve">= 0 For non manure appl areas
= - Feed area ID # = 0 For non feeding areas
=   Feed area ID # = Herd # for feeding areas
</t>
        </r>
      </text>
    </comment>
    <comment ref="A14" authorId="1" shapeId="0" xr:uid="{3379F223-D6AB-4E7E-834F-8BA5E0A34063}">
      <text>
        <r>
          <rPr>
            <sz val="9"/>
            <color indexed="81"/>
            <rFont val="Tahoma"/>
            <family val="2"/>
          </rPr>
          <t>= 0 Variable daily CN nonlinear CN/SW with depth soil water weighting
= 1 Variable daily CN nonlinear CN/SW no depth weighting
= 2 Variable daily CN linear CN/SW NO depth weighting
= 3 Non-varying CN--CN2 used for all storms
= 4 Variable daily CN SMI(Soil moisture index)</t>
        </r>
      </text>
    </comment>
    <comment ref="A17" authorId="1" shapeId="0" xr:uid="{F9A9CAF2-D4D8-4BB6-8CFA-939D316F2AA7}">
      <text>
        <r>
          <rPr>
            <sz val="9"/>
            <color indexed="81"/>
            <rFont val="Tahoma"/>
            <family val="2"/>
          </rPr>
          <t xml:space="preserve">= 0 For normal res principal spillway release
= ID of subarea receiving outflow from burried pipe outlet
</t>
        </r>
      </text>
    </comment>
    <comment ref="A18" authorId="1" shapeId="0" xr:uid="{B56A25D8-8E2E-4CCC-A81C-ADDA83B775B5}">
      <text>
        <r>
          <rPr>
            <sz val="9"/>
            <color indexed="81"/>
            <rFont val="Tahoma"/>
            <family val="2"/>
          </rPr>
          <t>Overrides LUN in .OPC file.</t>
        </r>
      </text>
    </comment>
    <comment ref="A28" authorId="1" shapeId="0" xr:uid="{D2FE3C64-AE7C-4387-957F-DE272B51A51F}">
      <text>
        <r>
          <rPr>
            <sz val="9"/>
            <color indexed="81"/>
            <rFont val="Tahoma"/>
            <family val="2"/>
          </rPr>
          <t>Blank if unknown</t>
        </r>
      </text>
    </comment>
    <comment ref="A29" authorId="1" shapeId="0" xr:uid="{4DB93F96-6788-40DB-885A-33A1EC4A9C85}">
      <text>
        <r>
          <rPr>
            <sz val="9"/>
            <color indexed="81"/>
            <rFont val="Tahoma"/>
            <family val="2"/>
          </rPr>
          <t>Blank if unknown</t>
        </r>
      </text>
    </comment>
    <comment ref="A30" authorId="1" shapeId="0" xr:uid="{BA28AB09-0A84-43BB-A5EB-7296BAC690A8}">
      <text>
        <r>
          <rPr>
            <sz val="9"/>
            <color indexed="81"/>
            <rFont val="Tahoma"/>
            <family val="2"/>
          </rPr>
          <t>Blank if unknown</t>
        </r>
      </text>
    </comment>
    <comment ref="A36" authorId="1" shapeId="0" xr:uid="{2A368ACC-3BB2-461E-B5C7-43785BA037B5}">
      <text>
        <r>
          <rPr>
            <sz val="9"/>
            <color indexed="81"/>
            <rFont val="Tahoma"/>
            <family val="2"/>
          </rPr>
          <t>Blank if unknown</t>
        </r>
      </text>
    </comment>
    <comment ref="A37" authorId="1" shapeId="0" xr:uid="{B9C3FABD-E4F4-428A-83DC-7887802C8C81}">
      <text>
        <r>
          <rPr>
            <sz val="9"/>
            <color indexed="81"/>
            <rFont val="Tahoma"/>
            <family val="2"/>
          </rPr>
          <t>Blank if unknown</t>
        </r>
      </text>
    </comment>
    <comment ref="A38" authorId="1" shapeId="0" xr:uid="{AFCD157D-70FB-4BAC-9DA1-BEAFE8B26711}">
      <text>
        <r>
          <rPr>
            <sz val="9"/>
            <color indexed="81"/>
            <rFont val="Tahoma"/>
            <family val="2"/>
          </rPr>
          <t>Blank if unknown</t>
        </r>
      </text>
    </comment>
    <comment ref="A41" authorId="1" shapeId="0" xr:uid="{943776A5-48DE-4FAD-A69A-9519C15EA840}">
      <text>
        <r>
          <rPr>
            <sz val="9"/>
            <color indexed="81"/>
            <rFont val="Tahoma"/>
            <family val="2"/>
          </rPr>
          <t>Blank if unknown</t>
        </r>
      </text>
    </comment>
    <comment ref="A47" authorId="1" shapeId="0" xr:uid="{F799D6C6-2954-4A18-B3D1-EAE753D6AA50}">
      <text>
        <r>
          <rPr>
            <sz val="9"/>
            <color indexed="81"/>
            <rFont val="Tahoma"/>
            <family val="2"/>
          </rPr>
          <t>Blank if unknown</t>
        </r>
      </text>
    </comment>
    <comment ref="A48" authorId="1" shapeId="0" xr:uid="{BED9BAEA-B2B9-43BF-92C5-FD9D25DAE883}">
      <text>
        <r>
          <rPr>
            <sz val="9"/>
            <color indexed="81"/>
            <rFont val="Tahoma"/>
            <family val="2"/>
          </rPr>
          <t>Blank if unknown</t>
        </r>
      </text>
    </comment>
    <comment ref="A49" authorId="1" shapeId="0" xr:uid="{E4656ECC-F6E5-4521-BB7E-9FC850E710CD}">
      <text>
        <r>
          <rPr>
            <sz val="9"/>
            <color indexed="81"/>
            <rFont val="Tahoma"/>
            <family val="2"/>
          </rPr>
          <t>Blank if unknown</t>
        </r>
      </text>
    </comment>
    <comment ref="A50" authorId="1" shapeId="0" xr:uid="{BE0406CC-9465-40C7-BB80-269B5D3195B3}">
      <text>
        <r>
          <rPr>
            <sz val="9"/>
            <color indexed="81"/>
            <rFont val="Tahoma"/>
            <family val="2"/>
          </rPr>
          <t>Blank if unknown</t>
        </r>
      </text>
    </comment>
    <comment ref="A51" authorId="1" shapeId="0" xr:uid="{7D06BE1D-C0B9-4192-8520-51F5423C9058}">
      <text>
        <r>
          <rPr>
            <sz val="9"/>
            <color indexed="81"/>
            <rFont val="Tahoma"/>
            <family val="2"/>
          </rPr>
          <t>Blank if unknown</t>
        </r>
      </text>
    </comment>
    <comment ref="A54" authorId="1" shapeId="0" xr:uid="{8989B766-7D42-400C-918E-86326C6A301B}">
      <text>
        <r>
          <rPr>
            <sz val="9"/>
            <color indexed="81"/>
            <rFont val="Tahoma"/>
            <family val="2"/>
          </rPr>
          <t>Blank if unknown</t>
        </r>
      </text>
    </comment>
    <comment ref="A55" authorId="1" shapeId="0" xr:uid="{984A28E6-9DC8-4627-A098-4515B6CA5F9F}">
      <text>
        <r>
          <rPr>
            <sz val="9"/>
            <color indexed="81"/>
            <rFont val="Tahoma"/>
            <family val="2"/>
          </rPr>
          <t>Blank if unknown</t>
        </r>
      </text>
    </comment>
    <comment ref="A60" authorId="2" shapeId="0" xr:uid="{6751EEAE-530C-4242-B8AF-43883C1AA58E}">
      <text>
        <r>
          <rPr>
            <sz val="9"/>
            <color indexed="81"/>
            <rFont val="Tahoma"/>
            <family val="2"/>
          </rPr>
          <t>Line 6 starts here</t>
        </r>
      </text>
    </comment>
    <comment ref="A87" authorId="1" shapeId="0" xr:uid="{DB4562B9-75CB-48BA-84EE-7255D3F33B1A}">
      <text>
        <r>
          <rPr>
            <sz val="9"/>
            <color indexed="81"/>
            <rFont val="Tahoma"/>
            <family val="2"/>
          </rPr>
          <t>0 For flexible (variable) applications. 
1 For rigid (fixed) applications.</t>
        </r>
      </text>
    </comment>
    <comment ref="B87" authorId="1" shapeId="0" xr:uid="{54FB57CF-F44B-462C-83B5-06F2F2651E0D}">
      <text>
        <r>
          <rPr>
            <sz val="9"/>
            <color indexed="81"/>
            <rFont val="Tahoma"/>
            <family val="2"/>
          </rPr>
          <t>Line 8 startas here</t>
        </r>
      </text>
    </comment>
    <comment ref="A88" authorId="1" shapeId="0" xr:uid="{AE2288BA-760C-40C1-81F0-0E2CB68ED0CC}">
      <text>
        <r>
          <rPr>
            <sz val="9"/>
            <color indexed="81"/>
            <rFont val="Tahoma"/>
            <family val="2"/>
          </rPr>
          <t>0 for dryland
1 for sprinkler irrigation
2 for furrow/flood irrigation
3 for fertigation (irrigation with fertilizer added)
4 for lagoon (irrigation from a lagoon)
5 for drip irrigation</t>
        </r>
      </text>
    </comment>
    <comment ref="A91" authorId="1" shapeId="0" xr:uid="{954F598A-BC89-4A50-85BA-2648FC3DE26B}">
      <text>
        <r>
          <rPr>
            <sz val="9"/>
            <color indexed="81"/>
            <rFont val="Tahoma"/>
            <family val="2"/>
          </rPr>
          <t xml:space="preserve">= 0 Applies lime         
= 1 Does not apply lime  
</t>
        </r>
      </text>
    </comment>
    <comment ref="A92" authorId="1" shapeId="0" xr:uid="{FB285ECB-01BF-4D10-83C8-0D6FDF8792C6}">
      <text>
        <r>
          <rPr>
            <sz val="9"/>
            <color indexed="81"/>
            <rFont val="Tahoma"/>
            <family val="2"/>
          </rPr>
          <t xml:space="preserve">= 0 Without furrow dikes
= 1 With furrow dikes   
</t>
        </r>
      </text>
    </comment>
    <comment ref="A93" authorId="1" shapeId="0" xr:uid="{202444BD-964A-4E23-AC34-0671329A754E}">
      <text>
        <r>
          <rPr>
            <sz val="9"/>
            <color indexed="81"/>
            <rFont val="Tahoma"/>
            <family val="2"/>
          </rPr>
          <t xml:space="preserve">= 0 No drainage (Tile system)  
= Depth of drainage system(mm) 
</t>
        </r>
      </text>
    </comment>
    <comment ref="B93" authorId="1" shapeId="0" xr:uid="{02B7EFE0-D53D-4135-9FBF-CDCCD84DBA48}">
      <text>
        <r>
          <rPr>
            <sz val="9"/>
            <color indexed="81"/>
            <rFont val="Tahoma"/>
            <family val="2"/>
          </rPr>
          <t>Tiles
Perforated pipes
Open dith drains</t>
        </r>
      </text>
    </comment>
    <comment ref="A94" authorId="1" shapeId="0" xr:uid="{A7A016FE-FE9B-4605-85BE-0D51627B2A07}">
      <text>
        <r>
          <rPr>
            <sz val="9"/>
            <color indexed="81"/>
            <rFont val="Tahoma"/>
            <family val="2"/>
          </rPr>
          <t>= 0 To turn it off
= n Number of fertilization source from FERT table</t>
        </r>
      </text>
    </comment>
    <comment ref="A95" authorId="1" shapeId="0" xr:uid="{28B9386A-4079-4502-8DBF-1B7381E9A7D4}">
      <text>
        <r>
          <rPr>
            <sz val="9"/>
            <color indexed="81"/>
            <rFont val="Tahoma"/>
            <family val="2"/>
          </rPr>
          <t>= 0 To turn it off
= n Number of fertilization source from FERT table</t>
        </r>
      </text>
    </comment>
    <comment ref="A96" authorId="1" shapeId="0" xr:uid="{0C31B20C-88A1-4229-BD6C-1226C13D3BF5}">
      <text>
        <r>
          <rPr>
            <sz val="9"/>
            <color indexed="81"/>
            <rFont val="Tahoma"/>
            <family val="2"/>
          </rPr>
          <t>= 0 To turn it off
= n Number of fertilization source from FERT table</t>
        </r>
      </text>
    </comment>
    <comment ref="A97" authorId="1" shapeId="0" xr:uid="{D919063F-CE60-4877-B664-388FFE10077E}">
      <text>
        <r>
          <rPr>
            <sz val="9"/>
            <color indexed="81"/>
            <rFont val="Tahoma"/>
            <family val="2"/>
          </rPr>
          <t>= 0 To turn it off
= n Number of fertilization source from FERT table</t>
        </r>
      </text>
    </comment>
    <comment ref="A98" authorId="1" shapeId="0" xr:uid="{05436F4E-0218-4798-92F7-AD64D3E4694C}">
      <text>
        <r>
          <rPr>
            <sz val="9"/>
            <color indexed="81"/>
            <rFont val="Tahoma"/>
            <family val="2"/>
          </rPr>
          <t>= 0 To turn it off
= n Number of fertilization source from FERT table</t>
        </r>
      </text>
    </comment>
    <comment ref="A99" authorId="1" shapeId="0" xr:uid="{1B08E19B-10BB-4EE6-823A-A70C481DA2D4}">
      <text>
        <r>
          <rPr>
            <sz val="9"/>
            <color indexed="81"/>
            <rFont val="Tahoma"/>
            <family val="2"/>
          </rPr>
          <t>= 0 To turn it off
= n Number of fertilization source from FERT table</t>
        </r>
      </text>
    </comment>
    <comment ref="A100" authorId="1" shapeId="0" xr:uid="{2108E5A5-08C7-4F07-8B57-0226444DC691}">
      <text>
        <r>
          <rPr>
            <sz val="9"/>
            <color indexed="81"/>
            <rFont val="Tahoma"/>
            <family val="2"/>
          </rPr>
          <t xml:space="preserve">= 0 No reservoir supply or no irrigation  
= ID of SA supplying irrigation water from a reservoir
</t>
        </r>
      </text>
    </comment>
    <comment ref="A101" authorId="1" shapeId="0" xr:uid="{1642B000-E991-4D7F-AA1D-1EC8B1D5395F}">
      <text>
        <r>
          <rPr>
            <sz val="9"/>
            <color indexed="81"/>
            <rFont val="Tahoma"/>
            <family val="2"/>
          </rPr>
          <t>= 0 No well supply or no irrigation  
= ID of SA supplying irrigation water from a well</t>
        </r>
      </text>
    </comment>
    <comment ref="A104" authorId="1" shapeId="0" xr:uid="{EFCC3B8D-53D1-41DD-BDC3-07D33AD2AB28}">
      <text>
        <r>
          <rPr>
            <sz val="9"/>
            <color indexed="81"/>
            <rFont val="Tahoma"/>
            <family val="2"/>
          </rPr>
          <t>0 manual irrigation
0 – 1.0 Plant water stress factor. (1 – BIR) fraction of plant water stress allowed
1.0 Does not allow water stress
&lt; 0.0 Plant available water deficit in root zone (number is in mm and must be negative)
&gt; 1.0 Soil water tension in top 200mm (Absolute number is in kilopascals)
-1000 Sets water deficit high enough that only manual irrigations will occur (Turns auto irrigation off)</t>
        </r>
      </text>
    </comment>
    <comment ref="B104" authorId="1" shapeId="0" xr:uid="{B2FE80AD-6706-49CD-B827-F79FD190D856}">
      <text>
        <r>
          <rPr>
            <sz val="9"/>
            <color indexed="81"/>
            <rFont val="Tahoma"/>
            <family val="2"/>
          </rPr>
          <t>Line 9 starts here</t>
        </r>
      </text>
    </comment>
    <comment ref="A105" authorId="1" shapeId="0" xr:uid="{2B5470C7-2CF8-4AEC-93EB-9B285A82B112}">
      <text>
        <r>
          <rPr>
            <sz val="9"/>
            <color indexed="81"/>
            <rFont val="Tahoma"/>
            <family val="2"/>
          </rPr>
          <t>Set to 0 if IRR = 0</t>
        </r>
      </text>
    </comment>
    <comment ref="A109" authorId="1" shapeId="0" xr:uid="{28F9C3F9-CD68-49C1-ACF1-A334D29A6E31}">
      <text>
        <r>
          <rPr>
            <sz val="9"/>
            <color indexed="81"/>
            <rFont val="Tahoma"/>
            <family val="2"/>
          </rPr>
          <t xml:space="preserve">= 0.00 For manual fertilizer
= 0 – 1 Allows percentage of plant nitrogen stress (1 – BFT) 
   equals the fraction of N stress allowed.
= 1.00 No N stress, auto-fertilization when needed.
&gt; 1 If BFT is greater than 1, BFT is the PPM(g/t) N in soil at 
   which automatic fertilizer is triggered
</t>
        </r>
      </text>
    </comment>
    <comment ref="A114" authorId="1" shapeId="0" xr:uid="{100C77F2-5847-4D9F-8165-3418DF1709DB}">
      <text>
        <r>
          <rPr>
            <sz val="9"/>
            <color indexed="81"/>
            <rFont val="Tahoma"/>
            <family val="2"/>
          </rPr>
          <t>= 0.1 to 0.9 f() of effectiveness of the conservation practice. 
= 1.0 Default for non-contoured fields. 
= 0.0 to eliminate water erosion entirely. 
&gt; 1 erosion rates are increased X times to improve log-term simulation efficiency.</t>
        </r>
      </text>
    </comment>
    <comment ref="B114" authorId="1" shapeId="0" xr:uid="{9D9E1C31-BB20-4003-9FEE-1781604865C0}">
      <text>
        <r>
          <rPr>
            <sz val="9"/>
            <color indexed="81"/>
            <rFont val="Tahoma"/>
            <family val="2"/>
          </rPr>
          <t>Line 10 starts here</t>
        </r>
      </text>
    </comment>
    <comment ref="A115" authorId="1" shapeId="0" xr:uid="{C2A44BF1-1303-4CD1-AA15-00E3D3706870}">
      <text>
        <r>
          <rPr>
            <sz val="9"/>
            <color indexed="81"/>
            <rFont val="Tahoma"/>
            <family val="2"/>
          </rPr>
          <t>Only needed when IRR = 4</t>
        </r>
      </text>
    </comment>
    <comment ref="A116" authorId="1" shapeId="0" xr:uid="{309FCD2A-6D75-4345-A9A0-97779450E75E}">
      <text>
        <r>
          <rPr>
            <sz val="9"/>
            <color indexed="81"/>
            <rFont val="Tahoma"/>
            <family val="2"/>
          </rPr>
          <t>Needed only when IRR = 4.
If DALG = 0 then VLGN must = 0</t>
        </r>
      </text>
    </comment>
    <comment ref="A117" authorId="1" shapeId="0" xr:uid="{C44B067C-44AF-4CDC-843C-D9DBCCD44586}">
      <text>
        <r>
          <rPr>
            <sz val="9"/>
            <color indexed="81"/>
            <rFont val="Tahoma"/>
            <family val="2"/>
          </rPr>
          <t>Needed only when IRR = 4.
If DALG = 0 then VLGN must = 0</t>
        </r>
      </text>
    </comment>
    <comment ref="A118" authorId="1" shapeId="0" xr:uid="{49B905E3-3C7F-44D5-AEC1-1D3846DDEB46}">
      <text>
        <r>
          <rPr>
            <sz val="9"/>
            <color indexed="81"/>
            <rFont val="Tahoma"/>
            <family val="2"/>
          </rPr>
          <t>Needed only when IRR = 4.
If DALG = 0 then VLGN must = 0</t>
        </r>
      </text>
    </comment>
    <comment ref="A119" authorId="1" shapeId="0" xr:uid="{C4AF4642-864F-40B5-911D-30BC9C1CA2BF}">
      <text>
        <r>
          <rPr>
            <sz val="9"/>
            <color indexed="81"/>
            <rFont val="Tahoma"/>
            <family val="2"/>
          </rPr>
          <t>Needed only when IRR = 4.
If DALG = 0 then VLGN must = 0</t>
        </r>
      </text>
    </comment>
    <comment ref="A120" authorId="1" shapeId="0" xr:uid="{EC2F0BC3-B302-48BF-84D8-596555721970}">
      <text>
        <r>
          <rPr>
            <sz val="9"/>
            <color indexed="81"/>
            <rFont val="Tahoma"/>
            <family val="2"/>
          </rPr>
          <t>Needed only when IRR = 4.
If DALG = 0 then VLGN must = 0</t>
        </r>
      </text>
    </comment>
    <comment ref="A122" authorId="1" shapeId="0" xr:uid="{8DBDCCFE-16DD-46D6-83A2-865CD43FA851}">
      <text>
        <r>
          <rPr>
            <sz val="9"/>
            <color indexed="81"/>
            <rFont val="Tahoma"/>
            <family val="2"/>
          </rPr>
          <t>Activated only if IDF5 &gt; 0.</t>
        </r>
      </text>
    </comment>
    <comment ref="A123" authorId="1" shapeId="0" xr:uid="{8A01A384-9298-4E41-94DB-E854B3E15C27}">
      <text>
        <r>
          <rPr>
            <sz val="9"/>
            <color indexed="81"/>
            <rFont val="Tahoma"/>
            <family val="2"/>
          </rPr>
          <t>&gt; 1 allows over application of irrigation (FIRG x FC)</t>
        </r>
      </text>
    </comment>
    <comment ref="A125" authorId="2" shapeId="0" xr:uid="{0F307930-4C20-497B-997E-4D2E30C58D03}">
      <text>
        <r>
          <rPr>
            <sz val="9"/>
            <color indexed="81"/>
            <rFont val="Tahoma"/>
            <family val="2"/>
          </rPr>
          <t xml:space="preserve">The model reads as many herds listed in the HERDS file. </t>
        </r>
      </text>
    </comment>
    <comment ref="A126" authorId="1" shapeId="0" xr:uid="{00000000-0006-0000-0800-000034000000}">
      <text>
        <r>
          <rPr>
            <sz val="9"/>
            <color indexed="81"/>
            <rFont val="Tahoma"/>
            <family val="2"/>
          </rPr>
          <t xml:space="preserve">= 0 if no herd is used in this Subarea
1-10 herd number(s)(NCOW from site file) eligible to feed in area. 
If herd is selected, set the grazing lower limit (GZLM in control table or XTP in subarea file.) </t>
        </r>
      </text>
    </comment>
    <comment ref="A137" authorId="2" shapeId="0" xr:uid="{D8E19077-BDB4-46EC-B3B4-582C5964C202}">
      <text>
        <r>
          <rPr>
            <sz val="9"/>
            <color indexed="81"/>
            <rFont val="Tahoma"/>
            <family val="2"/>
          </rPr>
          <t xml:space="preserve">The model reads as many herds listed in the HERDS file. </t>
        </r>
      </text>
    </comment>
    <comment ref="A138" authorId="1" shapeId="0" xr:uid="{00000000-0006-0000-0800-000035000000}">
      <text>
        <r>
          <rPr>
            <sz val="9"/>
            <color indexed="81"/>
            <rFont val="Tahoma"/>
            <family val="2"/>
          </rPr>
          <t>If XTP is not set in the subarea file, the grazing limit (GZLM) in the control table will be used.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900-000001000000}">
      <text>
        <r>
          <rPr>
            <sz val="9"/>
            <color indexed="81"/>
            <rFont val="Tahoma"/>
            <family val="2"/>
          </rPr>
          <t>Type the file name only. The extension will be assign from cell E2.  Leave blank if not new</t>
        </r>
      </text>
    </comment>
    <comment ref="A13" authorId="1" shapeId="0" xr:uid="{00000000-0006-0000-0900-000002000000}">
      <text>
        <r>
          <rPr>
            <sz val="9"/>
            <color indexed="81"/>
            <rFont val="Tahoma"/>
            <family val="2"/>
          </rPr>
          <t>If Penman or Penmand-Monteith is used for PET</t>
        </r>
      </text>
    </comment>
    <comment ref="A14" authorId="1" shapeId="0" xr:uid="{00000000-0006-0000-0900-000003000000}">
      <text>
        <r>
          <rPr>
            <sz val="9"/>
            <color indexed="81"/>
            <rFont val="Tahoma"/>
            <family val="2"/>
          </rPr>
          <t>= 1 Gives satisfactory results
= 0 If unknown</t>
        </r>
      </text>
    </comment>
    <comment ref="A15" authorId="1" shapeId="0" xr:uid="{00000000-0006-0000-0900-000004000000}">
      <text>
        <r>
          <rPr>
            <sz val="9"/>
            <color indexed="81"/>
            <rFont val="Tahoma"/>
            <family val="2"/>
          </rPr>
          <t xml:space="preserve">Non-zero value overrides the CO2 in APEXCONT.DAT </t>
        </r>
      </text>
    </comment>
    <comment ref="A16" authorId="1" shapeId="0" xr:uid="{00000000-0006-0000-0900-000005000000}">
      <text>
        <r>
          <rPr>
            <sz val="9"/>
            <color indexed="81"/>
            <rFont val="Tahoma"/>
            <family val="2"/>
          </rPr>
          <t xml:space="preserve">Non-zero value overrides the CQNX in APEXCONT.DAT </t>
        </r>
      </text>
    </comment>
    <comment ref="A17" authorId="1" shapeId="0" xr:uid="{00000000-0006-0000-0900-000006000000}">
      <text>
        <r>
          <rPr>
            <sz val="9"/>
            <color indexed="81"/>
            <rFont val="Tahoma"/>
            <family val="2"/>
          </rPr>
          <t xml:space="preserve">Non-zero value overrides the RFNX in APEXCONT.DAT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0A00-000001000000}">
      <text>
        <r>
          <rPr>
            <sz val="9"/>
            <color indexed="81"/>
            <rFont val="Tahoma"/>
            <family val="2"/>
          </rPr>
          <t>Type the file name only NOT theextension (i.e. FILENAME).  The extension will be assign from cell E4. Leave blank if not new</t>
        </r>
      </text>
    </comment>
    <comment ref="A5" authorId="0" shapeId="0" xr:uid="{00000000-0006-0000-0A00-000002000000}">
      <text>
        <r>
          <rPr>
            <sz val="9"/>
            <color indexed="81"/>
            <rFont val="Tahoma"/>
            <family val="2"/>
          </rPr>
          <t>Equipment number  (cols.2-5 ) (Range: 1-inf)</t>
        </r>
      </text>
    </comment>
    <comment ref="B5" authorId="0" shapeId="0" xr:uid="{00000000-0006-0000-0A00-000003000000}">
      <text>
        <r>
          <rPr>
            <sz val="9"/>
            <color indexed="81"/>
            <rFont val="Tahoma"/>
            <family val="2"/>
          </rPr>
          <t xml:space="preserve">Tillage/Equipment operation name. (cols.7-14) </t>
        </r>
      </text>
    </comment>
    <comment ref="C5" authorId="0" shapeId="0" xr:uid="{00000000-0006-0000-0A00-000004000000}">
      <text>
        <r>
          <rPr>
            <sz val="9"/>
            <color indexed="81"/>
            <rFont val="Tahoma"/>
            <family val="2"/>
          </rPr>
          <t>Power code. (Range: 1- 5) (cols. 16-19)</t>
        </r>
      </text>
    </comment>
    <comment ref="D5" authorId="0" shapeId="0" xr:uid="{00000000-0006-0000-0A00-000005000000}">
      <text>
        <r>
          <rPr>
            <sz val="9"/>
            <color indexed="81"/>
            <rFont val="Tahoma"/>
            <family val="2"/>
          </rPr>
          <t>Purchase price ($) (cols. 20-27) (Range: 0- 999999)</t>
        </r>
      </text>
    </comment>
    <comment ref="E5" authorId="0" shapeId="0" xr:uid="{00000000-0006-0000-0A00-000006000000}">
      <text>
        <r>
          <rPr>
            <sz val="9"/>
            <color indexed="81"/>
            <rFont val="Tahoma"/>
            <family val="2"/>
          </rPr>
          <t>Initial list price in current ($) (cols. 28-35) (Range: 0- 999999)</t>
        </r>
      </text>
    </comment>
    <comment ref="F5" authorId="0" shapeId="0" xr:uid="{00000000-0006-0000-0A00-000007000000}">
      <text>
        <r>
          <rPr>
            <sz val="9"/>
            <color indexed="81"/>
            <rFont val="Tahoma"/>
            <family val="2"/>
          </rPr>
          <t>Annual use (h) (cols. 36-43) (Range: 0- 8760)</t>
        </r>
      </text>
    </comment>
    <comment ref="G5" authorId="0" shapeId="0" xr:uid="{00000000-0006-0000-0A00-000008000000}">
      <text>
        <r>
          <rPr>
            <sz val="9"/>
            <color indexed="81"/>
            <rFont val="Tahoma"/>
            <family val="2"/>
          </rPr>
          <t>Life of equip (h) (cols. 44-51) (Range: 0- 999999)</t>
        </r>
      </text>
    </comment>
    <comment ref="H5" authorId="0" shapeId="0" xr:uid="{00000000-0006-0000-0A00-000009000000}">
      <text>
        <r>
          <rPr>
            <sz val="9"/>
            <color indexed="81"/>
            <rFont val="Tahoma"/>
            <family val="2"/>
          </rPr>
          <t>Power of unit (KW) (cols. 52-59) (Range: 0- 900)</t>
        </r>
      </text>
    </comment>
    <comment ref="I5" authorId="0" shapeId="0" xr:uid="{00000000-0006-0000-0A00-00000A000000}">
      <text>
        <r>
          <rPr>
            <sz val="9"/>
            <color indexed="81"/>
            <rFont val="Tahoma"/>
            <family val="2"/>
          </rPr>
          <t>Width of pass (m) (cols. 60-67) (Range: 0- 50)</t>
        </r>
      </text>
    </comment>
    <comment ref="J5" authorId="0" shapeId="0" xr:uid="{00000000-0006-0000-0A00-00000B000000}">
      <text>
        <r>
          <rPr>
            <sz val="9"/>
            <color indexed="81"/>
            <rFont val="Tahoma"/>
            <family val="2"/>
          </rPr>
          <t>Operating speed (km/h) (cols. 68-75) (Range: 0- 200)</t>
        </r>
      </text>
    </comment>
    <comment ref="K5" authorId="0" shapeId="0" xr:uid="{00000000-0006-0000-0A00-00000C000000}">
      <text>
        <r>
          <rPr>
            <sz val="9"/>
            <color indexed="81"/>
            <rFont val="Tahoma"/>
            <family val="2"/>
          </rPr>
          <t>Repair cost coef 1 (cols. 76-83) (Range: 0-1)</t>
        </r>
      </text>
    </comment>
    <comment ref="L5" authorId="0" shapeId="0" xr:uid="{00000000-0006-0000-0A00-00000D000000}">
      <text>
        <r>
          <rPr>
            <sz val="9"/>
            <color indexed="81"/>
            <rFont val="Tahoma"/>
            <family val="2"/>
          </rPr>
          <t>Repair cost coef 2 (cols. 84-91) (Range: 0-5)</t>
        </r>
      </text>
    </comment>
    <comment ref="M5" authorId="0" shapeId="0" xr:uid="{00000000-0006-0000-0A00-00000E000000}">
      <text>
        <r>
          <rPr>
            <sz val="9"/>
            <color indexed="81"/>
            <rFont val="Tahoma"/>
            <family val="2"/>
          </rPr>
          <t>Lubricant factor (cols. 92-99) (Range: 0-1)</t>
        </r>
      </text>
    </comment>
    <comment ref="N5" authorId="0" shapeId="0" xr:uid="{00000000-0006-0000-0A00-00000F000000}">
      <text>
        <r>
          <rPr>
            <sz val="9"/>
            <color indexed="81"/>
            <rFont val="Tahoma"/>
            <family val="2"/>
          </rPr>
          <t>Fuel consumption multiplier (cols. 100-107) (Range: 0-1)</t>
        </r>
      </text>
    </comment>
    <comment ref="O5" authorId="0" shapeId="0" xr:uid="{00000000-0006-0000-0A00-000010000000}">
      <text>
        <r>
          <rPr>
            <sz val="9"/>
            <color indexed="81"/>
            <rFont val="Tahoma"/>
            <family val="2"/>
          </rPr>
          <t>Remaining farm value parm 1 (cols. 108-115) (Range: 0-2)</t>
        </r>
      </text>
    </comment>
    <comment ref="P5" authorId="0" shapeId="0" xr:uid="{00000000-0006-0000-0A00-000011000000}">
      <text>
        <r>
          <rPr>
            <sz val="9"/>
            <color indexed="81"/>
            <rFont val="Tahoma"/>
            <family val="2"/>
          </rPr>
          <t>Remaining farm value parm 2 (cols. 116-123) (Range: 0-2)</t>
        </r>
      </text>
    </comment>
    <comment ref="Q5" authorId="0" shapeId="0" xr:uid="{00000000-0006-0000-0A00-000012000000}">
      <text>
        <r>
          <rPr>
            <sz val="9"/>
            <color indexed="81"/>
            <rFont val="Tahoma"/>
            <family val="2"/>
          </rPr>
          <t>Machine efficiency (cols. 124-131) (Range: 0-1)</t>
        </r>
      </text>
    </comment>
    <comment ref="R5" authorId="0" shapeId="0" xr:uid="{00000000-0006-0000-0A00-000013000000}">
      <text>
        <r>
          <rPr>
            <sz val="9"/>
            <color indexed="81"/>
            <rFont val="Tahoma"/>
            <family val="2"/>
          </rPr>
          <t>Annual real interest rate ($/$) (cols. 132-139) (Range 0.001 – 0.15)</t>
        </r>
      </text>
    </comment>
    <comment ref="S5" authorId="0" shapeId="0" xr:uid="{00000000-0006-0000-0A00-000014000000}">
      <text>
        <r>
          <rPr>
            <sz val="9"/>
            <color indexed="81"/>
            <rFont val="Tahoma"/>
            <family val="2"/>
          </rPr>
          <t>Mixing efficiency (cols. 140-147) (Range: 0-1)</t>
        </r>
      </text>
    </comment>
    <comment ref="T5" authorId="0" shapeId="0" xr:uid="{00000000-0006-0000-0A00-000015000000}">
      <text>
        <r>
          <rPr>
            <sz val="9"/>
            <color indexed="81"/>
            <rFont val="Tahoma"/>
            <family val="2"/>
          </rPr>
          <t>Random surface roughness created by tillage operation in mm. (cols. 148-155) (Range: 0-100)</t>
        </r>
      </text>
    </comment>
    <comment ref="U5" authorId="0" shapeId="0" xr:uid="{00000000-0006-0000-0A00-000016000000}">
      <text>
        <r>
          <rPr>
            <sz val="9"/>
            <color indexed="81"/>
            <rFont val="Tahoma"/>
            <family val="2"/>
          </rPr>
          <t>Tillage depth in mm. (cols. 156-163) (Range: -2000 to 500)</t>
        </r>
      </text>
    </comment>
    <comment ref="V5" authorId="0" shapeId="0" xr:uid="{00000000-0006-0000-0A00-000017000000}">
      <text>
        <r>
          <rPr>
            <sz val="9"/>
            <color indexed="81"/>
            <rFont val="Tahoma"/>
            <family val="2"/>
          </rPr>
          <t>Ridge height in mm (cols. 164-171) (Range: 0-1000)</t>
        </r>
      </text>
    </comment>
    <comment ref="W5" authorId="0" shapeId="0" xr:uid="{00000000-0006-0000-0A00-000018000000}">
      <text>
        <r>
          <rPr>
            <sz val="9"/>
            <color indexed="81"/>
            <rFont val="Tahoma"/>
            <family val="2"/>
          </rPr>
          <t>Ridge interval in m (cols. 172-179) (Range: 0-200)</t>
        </r>
      </text>
    </comment>
    <comment ref="X5" authorId="0" shapeId="0" xr:uid="{00000000-0006-0000-0A00-000019000000}">
      <text>
        <r>
          <rPr>
            <sz val="9"/>
            <color indexed="81"/>
            <rFont val="Tahoma"/>
            <family val="2"/>
          </rPr>
          <t>Height of furrow dikes in mm. (blank if dikes are not used)  (cols. 180-187) (Range: 0-1000)</t>
        </r>
      </text>
    </comment>
    <comment ref="Y5" authorId="0" shapeId="0" xr:uid="{00000000-0006-0000-0A00-00001A000000}">
      <text>
        <r>
          <rPr>
            <sz val="9"/>
            <color indexed="81"/>
            <rFont val="Tahoma"/>
            <family val="2"/>
          </rPr>
          <t>Distance between furrow dikes in m. (blank if dikes are not used) (cols. 188-195) (Range: 0-200)</t>
        </r>
      </text>
    </comment>
    <comment ref="Z5" authorId="0" shapeId="0" xr:uid="{00000000-0006-0000-0A00-00001B000000}">
      <text>
        <r>
          <rPr>
            <sz val="9"/>
            <color indexed="81"/>
            <rFont val="Tahoma"/>
            <family val="2"/>
          </rPr>
          <t>Operation Code (cols. 196-203) (Range: 0-26)
0  Plow, cultivate, other
1  Kill crop
2  Harvest without kill
3  Harvest once without kill
4  Tractor
5  Plant in rows
6  Plant with drill
7  Apply pesticide
8  Irrigate
9  Fertilize
10 Bagging and Ties (cotton)
11 Ginning
12 Hauling
13 Drying
14 Burn
15 Puddle 
16 Destroy puddle 
17 Builds furrow dikes 
18 Destroys furrow dikes
19 Start grazing
20 Stop grazing
21 Scrape manure from pens
22 Auto mow
23 Plastic cover
24 Remove plastic cover
25 Stop drainage system flow
26 Resume drainage flow
27 Lime application / Mulching</t>
        </r>
      </text>
    </comment>
    <comment ref="AA5" authorId="0" shapeId="0" xr:uid="{00000000-0006-0000-0A00-00001C000000}">
      <text>
        <r>
          <rPr>
            <sz val="9"/>
            <color indexed="81"/>
            <rFont val="Tahoma"/>
            <family val="2"/>
          </rPr>
          <t>Harvest efficiency (0-1) or Pesticide application efficiency. (cols. 204-211) (Range: 0-1)</t>
        </r>
      </text>
    </comment>
    <comment ref="AB5" authorId="0" shapeId="0" xr:uid="{00000000-0006-0000-0A00-00001D000000}">
      <text>
        <r>
          <rPr>
            <sz val="9"/>
            <color indexed="81"/>
            <rFont val="Tahoma"/>
            <family val="2"/>
          </rPr>
          <t xml:space="preserve">Override Harvest Index for Forage and Root Crops (cols. 212-219) </t>
        </r>
      </text>
    </comment>
    <comment ref="AC5" authorId="0" shapeId="0" xr:uid="{00000000-0006-0000-0A00-00001E000000}">
      <text>
        <r>
          <rPr>
            <sz val="9"/>
            <color indexed="81"/>
            <rFont val="Tahoma"/>
            <family val="2"/>
          </rPr>
          <t>Fraction of soil compacted (cols. 220-227) (Range: 0-1)</t>
        </r>
      </text>
    </comment>
    <comment ref="AD5" authorId="0" shapeId="0" xr:uid="{00000000-0006-0000-0A00-00001F000000}">
      <text>
        <r>
          <rPr>
            <sz val="9"/>
            <color indexed="81"/>
            <rFont val="Tahoma"/>
            <family val="2"/>
          </rPr>
          <t>Fraction plant population reduced by operation. (cols. 228-235) (Range: 0-1)</t>
        </r>
      </text>
    </comment>
    <comment ref="AE5" authorId="0" shapeId="0" xr:uid="{00000000-0006-0000-0A00-000020000000}">
      <text>
        <r>
          <rPr>
            <sz val="9"/>
            <color indexed="81"/>
            <rFont val="Tahoma"/>
            <family val="2"/>
          </rPr>
          <t>Carbon Emission. (cols. 236-243) (Range: 0-9999)</t>
        </r>
      </text>
    </comment>
    <comment ref="AF5" authorId="0" shapeId="0" xr:uid="{00000000-0006-0000-0A00-000021000000}">
      <text>
        <r>
          <rPr>
            <sz val="9"/>
            <color indexed="81"/>
            <rFont val="Tahoma"/>
            <family val="2"/>
          </rPr>
          <t>STIR value for operation. (cols. 244-251) (Range:0-200)</t>
        </r>
      </text>
    </comment>
    <comment ref="AG5" authorId="0" shapeId="0" xr:uid="{00000000-0006-0000-0A00-000022000000}">
      <text>
        <r>
          <rPr>
            <sz val="9"/>
            <color indexed="81"/>
            <rFont val="Tahoma"/>
            <family val="2"/>
          </rPr>
          <t>Description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0B00-000001000000}">
      <text>
        <r>
          <rPr>
            <sz val="9"/>
            <color indexed="81"/>
            <rFont val="Tahoma"/>
            <family val="2"/>
          </rPr>
          <t>Type the file name only (i.e. FILENAME). The extension will be assign from cell E4. Leave blank if not new.</t>
        </r>
      </text>
    </comment>
    <comment ref="A5" authorId="0" shapeId="0" xr:uid="{6D4F7636-7037-4D7A-AD8F-3426A3481D22}">
      <text>
        <r>
          <rPr>
            <sz val="9"/>
            <color indexed="81"/>
            <rFont val="Tahoma"/>
            <family val="2"/>
          </rPr>
          <t>Crop Number. (cols. 2-5)</t>
        </r>
      </text>
    </comment>
    <comment ref="B5" authorId="0" shapeId="0" xr:uid="{C8C44AB8-54A4-4634-A37C-D5DD10D359E3}">
      <text>
        <r>
          <rPr>
            <sz val="9"/>
            <color indexed="81"/>
            <rFont val="Tahoma"/>
            <family val="2"/>
          </rPr>
          <t>Crop Name.  (cols. 7-10)</t>
        </r>
      </text>
    </comment>
    <comment ref="C5" authorId="0" shapeId="0" xr:uid="{E25852D6-9596-4CF7-AC15-3E1EF4E71D49}">
      <text>
        <r>
          <rPr>
            <sz val="9"/>
            <color indexed="81"/>
            <rFont val="Tahoma"/>
            <family val="2"/>
          </rPr>
          <t>Biomass-Energy Ratio (CO2=330ppm).  (cols. 11-18)</t>
        </r>
      </text>
    </comment>
    <comment ref="D5" authorId="0" shapeId="0" xr:uid="{834E0527-1067-4823-B435-D159B207FB25}">
      <text>
        <r>
          <rPr>
            <sz val="9"/>
            <color indexed="81"/>
            <rFont val="Tahoma"/>
            <family val="2"/>
          </rPr>
          <t>Harvest index.  (cols. 19-26)</t>
        </r>
      </text>
    </comment>
    <comment ref="E5" authorId="0" shapeId="0" xr:uid="{3DC11C5F-43D0-4861-80F4-5F672FD2BE11}">
      <text>
        <r>
          <rPr>
            <sz val="9"/>
            <color indexed="81"/>
            <rFont val="Tahoma"/>
            <family val="2"/>
          </rPr>
          <t>Optimal temperature for plant growth.  (cols. 27-34)</t>
        </r>
      </text>
    </comment>
    <comment ref="F5" authorId="0" shapeId="0" xr:uid="{490C0496-BF00-4CEA-BCD1-43295AEA0CDE}">
      <text>
        <r>
          <rPr>
            <sz val="9"/>
            <color indexed="81"/>
            <rFont val="Tahoma"/>
            <family val="2"/>
          </rPr>
          <t>Minimum temperature for plant growth.  (cols. 35-42)</t>
        </r>
      </text>
    </comment>
    <comment ref="G5" authorId="0" shapeId="0" xr:uid="{E5665D58-2272-43A8-98F8-1B0F3778B2F9}">
      <text>
        <r>
          <rPr>
            <sz val="9"/>
            <color indexed="81"/>
            <rFont val="Tahoma"/>
            <family val="2"/>
          </rPr>
          <t>Maximum potential leaf area index.  (cols. 43-50)</t>
        </r>
      </text>
    </comment>
    <comment ref="H5" authorId="0" shapeId="0" xr:uid="{8CC2AC22-BF3E-40D9-B419-FDC248AB9B39}">
      <text>
        <r>
          <rPr>
            <sz val="9"/>
            <color indexed="81"/>
            <rFont val="Tahoma"/>
            <family val="2"/>
          </rPr>
          <t>Fraction of growing season when leaf area declines.  (cols. 51-58)</t>
        </r>
      </text>
    </comment>
    <comment ref="I5" authorId="0" shapeId="0" xr:uid="{D1B653E4-9DFF-44D5-9812-B83FA9A2961B}">
      <text>
        <r>
          <rPr>
            <sz val="9"/>
            <color indexed="81"/>
            <rFont val="Tahoma"/>
            <family val="2"/>
          </rPr>
          <t>First point on optimal leaf area development curve.  (cols. 59-66)</t>
        </r>
      </text>
    </comment>
    <comment ref="J5" authorId="0" shapeId="0" xr:uid="{CF387617-661C-4E93-9780-25439978A47B}">
      <text>
        <r>
          <rPr>
            <sz val="9"/>
            <color indexed="81"/>
            <rFont val="Tahoma"/>
            <family val="2"/>
          </rPr>
          <t>Second point on optimal leaf area development curve.  (cols. 67-74)</t>
        </r>
      </text>
    </comment>
    <comment ref="K5" authorId="0" shapeId="0" xr:uid="{32EDF287-0CF9-41E9-B728-84B010E6E4A3}">
      <text>
        <r>
          <rPr>
            <sz val="9"/>
            <color indexed="81"/>
            <rFont val="Tahoma"/>
            <family val="2"/>
          </rPr>
          <t>Leaf area index decline rate parameter. (cols. 75-82)</t>
        </r>
      </text>
    </comment>
    <comment ref="L5" authorId="0" shapeId="0" xr:uid="{D18DE152-0B93-4BB4-BD52-176110703814}">
      <text>
        <r>
          <rPr>
            <sz val="9"/>
            <color indexed="81"/>
            <rFont val="Tahoma"/>
            <family val="2"/>
          </rPr>
          <t>Biomass-energy ratio decline rate parameter.  (cols. 83-90)</t>
        </r>
      </text>
    </comment>
    <comment ref="M5" authorId="0" shapeId="0" xr:uid="{586C1927-1143-4158-8628-BD1A661A1F4F}">
      <text>
        <r>
          <rPr>
            <sz val="9"/>
            <color indexed="81"/>
            <rFont val="Tahoma"/>
            <family val="2"/>
          </rPr>
          <t>Aluminum tolerance index   (cols. 91-98)</t>
        </r>
      </text>
    </comment>
    <comment ref="N5" authorId="0" shapeId="0" xr:uid="{F59000A3-3837-4B16-BFEA-7C9A1A74CB44}">
      <text>
        <r>
          <rPr>
            <sz val="9"/>
            <color indexed="81"/>
            <rFont val="Tahoma"/>
            <family val="2"/>
          </rPr>
          <t>Maximum Stomatal Conductance.  (cols. 99-106)</t>
        </r>
      </text>
    </comment>
    <comment ref="O5" authorId="0" shapeId="0" xr:uid="{2AB384D7-2760-469F-8EE1-733265819149}">
      <text>
        <r>
          <rPr>
            <sz val="9"/>
            <color indexed="81"/>
            <rFont val="Tahoma"/>
            <family val="2"/>
          </rPr>
          <t>Critical aeration factor. (cols. 107-114)</t>
        </r>
      </text>
    </comment>
    <comment ref="P5" authorId="0" shapeId="0" xr:uid="{0F1AC904-8A2E-437E-9262-0AA406F2EBF1}">
      <text>
        <r>
          <rPr>
            <sz val="9"/>
            <color indexed="81"/>
            <rFont val="Tahoma"/>
            <family val="2"/>
          </rPr>
          <t>Seeding rate.  (cols. 115-122)</t>
        </r>
      </text>
    </comment>
    <comment ref="Q5" authorId="0" shapeId="0" xr:uid="{D7ABE599-6368-49B1-BEA3-93F3B0AFCDC8}">
      <text>
        <r>
          <rPr>
            <sz val="9"/>
            <color indexed="81"/>
            <rFont val="Tahoma"/>
            <family val="2"/>
          </rPr>
          <t>Maximum crop height  (cols. 123-130)</t>
        </r>
      </text>
    </comment>
    <comment ref="R5" authorId="0" shapeId="0" xr:uid="{76011FE2-E6DB-444C-9A9C-91B6D0E44975}">
      <text>
        <r>
          <rPr>
            <sz val="9"/>
            <color indexed="81"/>
            <rFont val="Tahoma"/>
            <family val="2"/>
          </rPr>
          <t>Maximum root depth   (cols. 131-138)</t>
        </r>
      </text>
    </comment>
    <comment ref="S5" authorId="0" shapeId="0" xr:uid="{896ECAD9-1E33-4509-9B57-C866761BC4AA}">
      <text>
        <r>
          <rPr>
            <sz val="9"/>
            <color indexed="81"/>
            <rFont val="Tahoma"/>
            <family val="2"/>
          </rPr>
          <t>CO2 Concentration /Resulting WA value (Split Variable). (cols. 139-146)</t>
        </r>
      </text>
    </comment>
    <comment ref="T5" authorId="0" shapeId="0" xr:uid="{CBA835DB-A706-400B-976E-12753E7FD654}">
      <text>
        <r>
          <rPr>
            <sz val="9"/>
            <color indexed="81"/>
            <rFont val="Tahoma"/>
            <family val="2"/>
          </rPr>
          <t>Fraction of nitrogen in yield. (cols. 147-154)</t>
        </r>
      </text>
    </comment>
    <comment ref="U5" authorId="0" shapeId="0" xr:uid="{F63479D8-B575-48C9-9062-84CD2BE2476C}">
      <text>
        <r>
          <rPr>
            <sz val="9"/>
            <color indexed="81"/>
            <rFont val="Tahoma"/>
            <family val="2"/>
          </rPr>
          <t>Fraction of phosphorus in yield.   (cols. 155-162)</t>
        </r>
      </text>
    </comment>
    <comment ref="V5" authorId="0" shapeId="0" xr:uid="{39D8A17B-1359-47BD-AE31-4E57DA8F0098}">
      <text>
        <r>
          <rPr>
            <sz val="9"/>
            <color indexed="81"/>
            <rFont val="Tahoma"/>
            <family val="2"/>
          </rPr>
          <t>Fraction of potassium in yield.  (cols. 163-170)</t>
        </r>
      </text>
    </comment>
    <comment ref="W5" authorId="0" shapeId="0" xr:uid="{B3B65A00-DC62-448D-8562-EEDC6CE6611F}">
      <text>
        <r>
          <rPr>
            <sz val="9"/>
            <color indexed="81"/>
            <rFont val="Tahoma"/>
            <family val="2"/>
          </rPr>
          <t>Lower limit of harvest index.  (cols. 171-178)</t>
        </r>
      </text>
    </comment>
    <comment ref="X5" authorId="0" shapeId="0" xr:uid="{E345955A-2CD2-4B9C-9459-F0690BFC76A9}">
      <text>
        <r>
          <rPr>
            <sz val="9"/>
            <color indexed="81"/>
            <rFont val="Tahoma"/>
            <family val="2"/>
          </rPr>
          <t>Pest (insects  and disease) factor.    (cols. 179-186)</t>
        </r>
      </text>
    </comment>
    <comment ref="Y5" authorId="0" shapeId="0" xr:uid="{E9AD2FF3-E434-41E3-8F6B-B3DC0A01F06F}">
      <text>
        <r>
          <rPr>
            <sz val="9"/>
            <color indexed="81"/>
            <rFont val="Tahoma"/>
            <family val="2"/>
          </rPr>
          <t>Seed cost ($ kg-1).  (cols. 187-194)</t>
        </r>
      </text>
    </comment>
    <comment ref="Z5" authorId="0" shapeId="0" xr:uid="{4FC56121-C90C-4993-AA5D-FFA0A5FA5A06}">
      <text>
        <r>
          <rPr>
            <sz val="9"/>
            <color indexed="81"/>
            <rFont val="Tahoma"/>
            <family val="2"/>
          </rPr>
          <t>Price for yield ($ t-1).  (cols. 195-202)</t>
        </r>
      </text>
    </comment>
    <comment ref="AA5" authorId="0" shapeId="0" xr:uid="{4AAA2B70-84CD-497D-B79B-5707C61E7F88}">
      <text>
        <r>
          <rPr>
            <sz val="9"/>
            <color indexed="81"/>
            <rFont val="Tahoma"/>
            <family val="2"/>
          </rPr>
          <t>Price for forage yield ($ t-1).  (cols. 203-210)</t>
        </r>
      </text>
    </comment>
    <comment ref="AB5" authorId="0" shapeId="0" xr:uid="{D3972419-1F7A-490A-B7BD-F79083974270}">
      <text>
        <r>
          <rPr>
            <sz val="9"/>
            <color indexed="81"/>
            <rFont val="Tahoma"/>
            <family val="2"/>
          </rPr>
          <t>Fraction water in yield.  (cols. 211-218)</t>
        </r>
      </text>
    </comment>
    <comment ref="AC5" authorId="0" shapeId="0" xr:uid="{EAB2FFA5-258C-4F26-BA74-4109F2F49534}">
      <text>
        <r>
          <rPr>
            <sz val="9"/>
            <color indexed="81"/>
            <rFont val="Tahoma"/>
            <family val="2"/>
          </rPr>
          <t>Nitrogen uptake parameter (N fraction in plant at emergence). (cols. 219-226)</t>
        </r>
      </text>
    </comment>
    <comment ref="AD5" authorId="0" shapeId="0" xr:uid="{CE51CFA1-D4A1-4698-9162-6F5F4BA0ED0A}">
      <text>
        <r>
          <rPr>
            <sz val="9"/>
            <color indexed="81"/>
            <rFont val="Tahoma"/>
            <family val="2"/>
          </rPr>
          <t>Nitrogen uptake parameter (N fraction in plant at 0.5 maturity). (cols. 227-234)</t>
        </r>
      </text>
    </comment>
    <comment ref="AE5" authorId="0" shapeId="0" xr:uid="{7BB64771-2451-4323-BB84-EB7959AACFB7}">
      <text>
        <r>
          <rPr>
            <sz val="9"/>
            <color indexed="81"/>
            <rFont val="Tahoma"/>
            <family val="2"/>
          </rPr>
          <t>Nitrogen uptake parameter (N fraction in plant at maturity).    (cols. 235-242)</t>
        </r>
      </text>
    </comment>
    <comment ref="AF5" authorId="0" shapeId="0" xr:uid="{24FE1914-E7D3-4130-92BE-807A00F332A7}">
      <text>
        <r>
          <rPr>
            <sz val="9"/>
            <color indexed="81"/>
            <rFont val="Tahoma"/>
            <family val="2"/>
          </rPr>
          <t>Phosphorus uptake parameter (P fraction in plant at emergence). (cols. 243-250)</t>
        </r>
      </text>
    </comment>
    <comment ref="AG5" authorId="0" shapeId="0" xr:uid="{6A849F7C-0E40-4B4E-9D57-97F6E9870C04}">
      <text>
        <r>
          <rPr>
            <sz val="9"/>
            <color indexed="81"/>
            <rFont val="Tahoma"/>
            <family val="2"/>
          </rPr>
          <t>Phosphorus uptake parameter (P fraction in plant at 0.5 maturity). (cols. 251-258)</t>
        </r>
      </text>
    </comment>
    <comment ref="AH5" authorId="0" shapeId="0" xr:uid="{5E94F8C5-227D-4FCA-A876-291BC6B121FA}">
      <text>
        <r>
          <rPr>
            <sz val="9"/>
            <color indexed="81"/>
            <rFont val="Tahoma"/>
            <family val="2"/>
          </rPr>
          <t>Phosphorus uptake parameter (P fraction in plant at maturity). (cols. 259-266)</t>
        </r>
      </text>
    </comment>
    <comment ref="AI5" authorId="0" shapeId="0" xr:uid="{804E106D-8196-43AD-9719-B4B010087CE8}">
      <text>
        <r>
          <rPr>
            <sz val="9"/>
            <color indexed="81"/>
            <rFont val="Tahoma"/>
            <family val="2"/>
          </rPr>
          <t>Potassium uptake parameter (K fraction in plant at emergence) (cols. 267-274)</t>
        </r>
      </text>
    </comment>
    <comment ref="AJ5" authorId="0" shapeId="0" xr:uid="{0BC3C31D-5B91-47EE-A97B-F193453C9689}">
      <text>
        <r>
          <rPr>
            <sz val="9"/>
            <color indexed="81"/>
            <rFont val="Tahoma"/>
            <family val="2"/>
          </rPr>
          <t>Potassium uptake parameter (K fraction in plant at0.5 maturity. (cols. 275-282)</t>
        </r>
      </text>
    </comment>
    <comment ref="AK5" authorId="0" shapeId="0" xr:uid="{0DF6BB86-5DF5-41E4-AFC5-A46701966011}">
      <text>
        <r>
          <rPr>
            <sz val="9"/>
            <color indexed="81"/>
            <rFont val="Tahoma"/>
            <family val="2"/>
          </rPr>
          <t>Potassium uptake parameter (K fraction in plant at maturity  (cols. 283-290)</t>
        </r>
      </text>
    </comment>
    <comment ref="AL5" authorId="0" shapeId="0" xr:uid="{05B2CB90-5080-4B50-A045-AFDFA6E35278}">
      <text>
        <r>
          <rPr>
            <sz val="9"/>
            <color indexed="81"/>
            <rFont val="Tahoma"/>
            <family val="2"/>
          </rPr>
          <t>Wind erosion factor for standing live.  (cols. 291-298)</t>
        </r>
      </text>
    </comment>
    <comment ref="AM5" authorId="0" shapeId="0" xr:uid="{BD0E5CD5-C0ED-4587-9926-9175862CFB77}">
      <text>
        <r>
          <rPr>
            <sz val="9"/>
            <color indexed="81"/>
            <rFont val="Tahoma"/>
            <family val="2"/>
          </rPr>
          <t>Wind erosion factor for standing dead.  (cols. 299-306)</t>
        </r>
      </text>
    </comment>
    <comment ref="AN5" authorId="0" shapeId="0" xr:uid="{2128C5BA-26E0-4CFA-A29D-EFD492704AC0}">
      <text>
        <r>
          <rPr>
            <sz val="9"/>
            <color indexed="81"/>
            <rFont val="Tahoma"/>
            <family val="2"/>
          </rPr>
          <t>Wind erosion factor for flat residue.  (cols. 307-314)</t>
        </r>
      </text>
    </comment>
    <comment ref="AO5" authorId="0" shapeId="0" xr:uid="{AFDA6E41-3279-4CFF-8C52-A2653F7F9A8F}">
      <text>
        <r>
          <rPr>
            <sz val="9"/>
            <color indexed="81"/>
            <rFont val="Tahoma"/>
            <family val="2"/>
          </rPr>
          <t>Crop category number:  (cols. 315-322)</t>
        </r>
      </text>
    </comment>
    <comment ref="AP5" authorId="0" shapeId="0" xr:uid="{656B2A60-3410-4A17-BCEC-CA779D6DF0AA}">
      <text>
        <r>
          <rPr>
            <sz val="9"/>
            <color indexed="81"/>
            <rFont val="Tahoma"/>
            <family val="2"/>
          </rPr>
          <t>First point on frost damage curve.  (cols. 323-330)</t>
        </r>
      </text>
    </comment>
    <comment ref="AQ5" authorId="0" shapeId="0" xr:uid="{4877E1EF-2F23-4FE9-B4D4-93C67D73982B}">
      <text>
        <r>
          <rPr>
            <sz val="9"/>
            <color indexed="81"/>
            <rFont val="Tahoma"/>
            <family val="2"/>
          </rPr>
          <t>Second point on frost damage curve.  (cols. 331-338)</t>
        </r>
      </text>
    </comment>
    <comment ref="AR5" authorId="0" shapeId="0" xr:uid="{92543F1B-C95D-4A56-A462-2AC5B040D44C}">
      <text>
        <r>
          <rPr>
            <sz val="9"/>
            <color indexed="81"/>
            <rFont val="Tahoma"/>
            <family val="2"/>
          </rPr>
          <t>Parm relating vapor pressure deficit to WA.  (cols. 339-346)</t>
        </r>
      </text>
    </comment>
    <comment ref="AS5" authorId="0" shapeId="0" xr:uid="{3C49362F-9BCA-4A48-95E7-6D5878983532}">
      <text>
        <r>
          <rPr>
            <sz val="9"/>
            <color indexed="81"/>
            <rFont val="Tahoma"/>
            <family val="2"/>
          </rPr>
          <t>Threshold VPD (KPA)  (cols. 347-354)</t>
        </r>
      </text>
    </comment>
    <comment ref="AT5" authorId="0" shapeId="0" xr:uid="{173426E6-E856-4141-9376-D519C2BA2660}">
      <text>
        <r>
          <rPr>
            <sz val="9"/>
            <color indexed="81"/>
            <rFont val="Tahoma"/>
            <family val="2"/>
          </rPr>
          <t>VPD value (KPA)    (cols. 355-362)</t>
        </r>
      </text>
    </comment>
    <comment ref="AU5" authorId="0" shapeId="0" xr:uid="{9C4C8AA4-3793-40D3-B99B-DBBF2D40A111}">
      <text>
        <r>
          <rPr>
            <sz val="9"/>
            <color indexed="81"/>
            <rFont val="Tahoma"/>
            <family val="2"/>
          </rPr>
          <t>Fraction of root weight at emergence. (cols. 363-370)</t>
        </r>
      </text>
    </comment>
    <comment ref="AV5" authorId="0" shapeId="0" xr:uid="{EC0D968D-B193-4835-8D33-9507EA1E52C3}">
      <text>
        <r>
          <rPr>
            <sz val="9"/>
            <color indexed="81"/>
            <rFont val="Tahoma"/>
            <family val="2"/>
          </rPr>
          <t>Fraction of root weight at maturity. (cols. 371-378)</t>
        </r>
      </text>
    </comment>
    <comment ref="AW5" authorId="0" shapeId="0" xr:uid="{38ABC76A-69D3-4CD9-B0D4-78BFAC46D69F}">
      <text>
        <r>
          <rPr>
            <sz val="9"/>
            <color indexed="81"/>
            <rFont val="Tahoma"/>
            <family val="2"/>
          </rPr>
          <t>Heat Units required for Germination.  (cols. 379-386)</t>
        </r>
      </text>
    </comment>
    <comment ref="AX5" authorId="0" shapeId="0" xr:uid="{D32048A0-6FB0-4641-B9B5-47715B577B6E}">
      <text>
        <r>
          <rPr>
            <sz val="9"/>
            <color indexed="81"/>
            <rFont val="Tahoma"/>
            <family val="2"/>
          </rPr>
          <t>Plant Population for Crops &amp; Grass-1st Point on curve. (cols. 387-394)</t>
        </r>
      </text>
    </comment>
    <comment ref="AY5" authorId="0" shapeId="0" xr:uid="{603CB495-B79E-425F-AAA1-B8AFC77986EE}">
      <text>
        <r>
          <rPr>
            <sz val="9"/>
            <color indexed="81"/>
            <rFont val="Tahoma"/>
            <family val="2"/>
          </rPr>
          <t>Plant Population for Crops &amp; Grass - 2nd Point on curve. (cols. 395-402)</t>
        </r>
      </text>
    </comment>
    <comment ref="AZ5" authorId="0" shapeId="0" xr:uid="{C9BD060B-8B4F-43CB-A244-1B68571B60E6}">
      <text>
        <r>
          <rPr>
            <sz val="9"/>
            <color indexed="81"/>
            <rFont val="Tahoma"/>
            <family val="2"/>
          </rPr>
          <t>Salinity affect on yield  (cols. 403-410)</t>
        </r>
      </text>
    </comment>
    <comment ref="BA5" authorId="0" shapeId="0" xr:uid="{33C953EE-C8ED-442A-80A4-91B9696F7124}">
      <text>
        <r>
          <rPr>
            <sz val="9"/>
            <color indexed="81"/>
            <rFont val="Tahoma"/>
            <family val="2"/>
          </rPr>
          <t>Salinity threshold  (cols. 411-418)</t>
        </r>
      </text>
    </comment>
    <comment ref="BB5" authorId="0" shapeId="0" xr:uid="{D2170DEC-C6C5-4195-8404-848B0FC07610}">
      <text>
        <r>
          <rPr>
            <sz val="9"/>
            <color indexed="81"/>
            <rFont val="Tahoma"/>
            <family val="2"/>
          </rPr>
          <t>Lignin fraction in plant at 0.5 maturity  (cols. 419-426)</t>
        </r>
      </text>
    </comment>
    <comment ref="BC5" authorId="0" shapeId="0" xr:uid="{D0922E0B-721A-46ED-B77B-E135448EE6A4}">
      <text>
        <r>
          <rPr>
            <sz val="9"/>
            <color indexed="81"/>
            <rFont val="Tahoma"/>
            <family val="2"/>
          </rPr>
          <t>Lignin fraction in plant at full maturity  (cols. 427-434)</t>
        </r>
      </text>
    </comment>
    <comment ref="BD5" authorId="0" shapeId="0" xr:uid="{67A0B799-4A2A-4E55-9D8E-7AB39C8C68ED}">
      <text>
        <r>
          <rPr>
            <sz val="9"/>
            <color indexed="81"/>
            <rFont val="Tahoma"/>
            <family val="2"/>
          </rPr>
          <t>Water use conversion to biomass (t/mm)  (cols. 435-442)</t>
        </r>
      </text>
    </comment>
    <comment ref="BE5" authorId="0" shapeId="0" xr:uid="{22ED005A-9804-47E9-9250-FA6E852FF84B}">
      <text>
        <r>
          <rPr>
            <sz val="9"/>
            <color indexed="81"/>
            <rFont val="Tahoma"/>
            <family val="2"/>
          </rPr>
          <t>Fraction turnout for cotton  (cols. 443-450)</t>
        </r>
      </text>
    </comment>
    <comment ref="BF5" authorId="0" shapeId="0" xr:uid="{EDC8DC6C-C500-4F79-A3C3-9013DCB9E2A7}">
      <text>
        <r>
          <rPr>
            <sz val="9"/>
            <color indexed="81"/>
            <rFont val="Tahoma"/>
            <family val="2"/>
          </rPr>
          <t>Fraction lint for cotton  (cols. 451-458)</t>
        </r>
      </text>
    </comment>
    <comment ref="BG5" authorId="0" shapeId="0" xr:uid="{B0271742-1D13-4F99-8CAE-11ADAAF5A0AF}">
      <text>
        <r>
          <rPr>
            <sz val="9"/>
            <color indexed="81"/>
            <rFont val="Tahoma"/>
            <family val="2"/>
          </rPr>
          <t>Light extinction coefficient. (cols. 506 – 513)</t>
        </r>
      </text>
    </comment>
    <comment ref="BH5" authorId="0" shapeId="0" xr:uid="{65E24712-E7DD-43E2-BDC5-2170D9E9A3F0}">
      <text>
        <r>
          <rPr>
            <sz val="9"/>
            <color indexed="81"/>
            <rFont val="Tahoma"/>
            <family val="2"/>
          </rPr>
          <t>Full name of crop</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C00-000001000000}">
      <text>
        <r>
          <rPr>
            <sz val="9"/>
            <color indexed="81"/>
            <rFont val="Tahoma"/>
            <family val="2"/>
          </rPr>
          <t>Type the file name only (i.e. FILENAME). The extension will be assign from cell E2. Leave blank if not new.</t>
        </r>
      </text>
    </comment>
    <comment ref="A5" authorId="1" shapeId="0" xr:uid="{00000000-0006-0000-0C00-000002000000}">
      <text>
        <r>
          <rPr>
            <sz val="9"/>
            <color indexed="81"/>
            <rFont val="Tahoma"/>
            <family val="2"/>
          </rPr>
          <t>1-I = Fertilizer ID number | (cols. 2-5)</t>
        </r>
      </text>
    </comment>
    <comment ref="B5" authorId="1" shapeId="0" xr:uid="{00000000-0006-0000-0C00-000003000000}">
      <text>
        <r>
          <rPr>
            <sz val="9"/>
            <color indexed="81"/>
            <rFont val="Tahoma"/>
            <family val="2"/>
          </rPr>
          <t>2 - FTNM = Fertilizer name | A descriptive name that usually includes the N-P-K analysis or the type of manure. (cols. 7-14)</t>
        </r>
      </text>
    </comment>
    <comment ref="C5" authorId="1" shapeId="0" xr:uid="{00000000-0006-0000-0C00-000004000000}">
      <text>
        <r>
          <rPr>
            <sz val="9"/>
            <color indexed="81"/>
            <rFont val="Tahoma"/>
            <family val="2"/>
          </rPr>
          <t>3 - FN = Mineral N fraction | Fraction of nitrogen in the fertilizer which is in the mineral form. (cols. 15-22)</t>
        </r>
      </text>
    </comment>
    <comment ref="D5" authorId="1" shapeId="0" xr:uid="{00000000-0006-0000-0C00-000005000000}">
      <text>
        <r>
          <rPr>
            <sz val="9"/>
            <color indexed="81"/>
            <rFont val="Tahoma"/>
            <family val="2"/>
          </rPr>
          <t>4 - FP = Mineral P fraction | Fraction phosphorus in the fertilizer which is in the mineral form. (cols. 23-30)</t>
        </r>
      </text>
    </comment>
    <comment ref="E5" authorId="1" shapeId="0" xr:uid="{00000000-0006-0000-0C00-000006000000}">
      <text>
        <r>
          <rPr>
            <sz val="9"/>
            <color indexed="81"/>
            <rFont val="Tahoma"/>
            <family val="2"/>
          </rPr>
          <t xml:space="preserve">5 - FK = Mineral K fraction | Fraction of potassium in the fertilizer which is in the mineral form. (cols. 31-38)
</t>
        </r>
      </text>
    </comment>
    <comment ref="F5" authorId="1" shapeId="0" xr:uid="{00000000-0006-0000-0C00-000007000000}">
      <text>
        <r>
          <rPr>
            <sz val="9"/>
            <color indexed="81"/>
            <rFont val="Tahoma"/>
            <family val="2"/>
          </rPr>
          <t xml:space="preserve">6 - FNO = Organic N fraction | This applies to organic fertilizers such as manures.  This number must be obtained from an analysis test of the product.  The amount is reported as a fraction. (cols. 39-46)
</t>
        </r>
      </text>
    </comment>
    <comment ref="G5" authorId="1" shapeId="0" xr:uid="{00000000-0006-0000-0C00-000008000000}">
      <text>
        <r>
          <rPr>
            <sz val="9"/>
            <color indexed="81"/>
            <rFont val="Tahoma"/>
            <family val="2"/>
          </rPr>
          <t xml:space="preserve">7 - FPO = Organic P fraction | This applies to organic fertilizers such as manures.   This number must be obtained from an analysis test of the product.  The amount is reported as a fraction. (cols. 47-54)
</t>
        </r>
      </text>
    </comment>
    <comment ref="H5" authorId="1" shapeId="0" xr:uid="{00000000-0006-0000-0C00-000009000000}">
      <text>
        <r>
          <rPr>
            <sz val="9"/>
            <color indexed="81"/>
            <rFont val="Tahoma"/>
            <family val="2"/>
          </rPr>
          <t>8 - FNH3 = Ammonia N fraction | The fraction of nitrogen in the fertilizer that is in the ammonia (NH3) form. (cols. 55-62)</t>
        </r>
      </text>
    </comment>
    <comment ref="I5" authorId="1" shapeId="0" xr:uid="{00000000-0006-0000-0C00-00000A000000}">
      <text>
        <r>
          <rPr>
            <sz val="9"/>
            <color indexed="81"/>
            <rFont val="Tahoma"/>
            <family val="2"/>
          </rPr>
          <t xml:space="preserve">9 - FOC = Organic C fraction | Organic carbon = organic matter / 1.72. (cols. 63-70)
</t>
        </r>
      </text>
    </comment>
    <comment ref="J5" authorId="1" shapeId="0" xr:uid="{00000000-0006-0000-0C00-00000B000000}">
      <text>
        <r>
          <rPr>
            <sz val="9"/>
            <color indexed="81"/>
            <rFont val="Tahoma"/>
            <family val="2"/>
          </rPr>
          <t xml:space="preserve">10 - FSLT = Salt fraction | Amount of salt in fertilizer. (cols. 71-78) 
</t>
        </r>
      </text>
    </comment>
    <comment ref="K5" authorId="1" shapeId="0" xr:uid="{00000000-0006-0000-0C00-00000C000000}">
      <text>
        <r>
          <rPr>
            <sz val="9"/>
            <color indexed="81"/>
            <rFont val="Tahoma"/>
            <family val="2"/>
          </rPr>
          <t>11 - FCST = Cost of Fertilizer ($/kg) | Used for economic analyses only. (cols. 79-86)</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D00-000001000000}">
      <text>
        <r>
          <rPr>
            <sz val="9"/>
            <color indexed="81"/>
            <rFont val="Tahoma"/>
            <family val="2"/>
          </rPr>
          <t>Type the file name only (i.e. FILENAME). The extension will be assign from cell E4. Leave blank if not new.</t>
        </r>
      </text>
    </comment>
    <comment ref="A5" authorId="1" shapeId="0" xr:uid="{00000000-0006-0000-0D00-000002000000}">
      <text>
        <r>
          <rPr>
            <sz val="9"/>
            <color indexed="81"/>
            <rFont val="Tahoma"/>
            <family val="2"/>
          </rPr>
          <t xml:space="preserve">1 - J1 : Pesticide ID number  (cols. 1-5)
</t>
        </r>
      </text>
    </comment>
    <comment ref="B5" authorId="1" shapeId="0" xr:uid="{00000000-0006-0000-0D00-000003000000}">
      <text>
        <r>
          <rPr>
            <sz val="9"/>
            <color indexed="81"/>
            <rFont val="Tahoma"/>
            <family val="2"/>
          </rPr>
          <t>2 - PSTN : Pesticide name.  Common or brand name of the pesticide. (cols. 7-22)</t>
        </r>
      </text>
    </comment>
    <comment ref="C5" authorId="1" shapeId="0" xr:uid="{00000000-0006-0000-0D00-000004000000}">
      <text>
        <r>
          <rPr>
            <sz val="9"/>
            <color indexed="81"/>
            <rFont val="Tahoma"/>
            <family val="2"/>
          </rPr>
          <t xml:space="preserve">3 - PSOL : Pesticide solubility in ppm.  The amount of the pesticide product which can dissolve in water. (ppm) (cols. 23-34)
</t>
        </r>
      </text>
    </comment>
    <comment ref="D5" authorId="1" shapeId="0" xr:uid="{00000000-0006-0000-0D00-000005000000}">
      <text>
        <r>
          <rPr>
            <sz val="9"/>
            <color indexed="81"/>
            <rFont val="Tahoma"/>
            <family val="2"/>
          </rPr>
          <t>4 - PHLS : Pesticide half life in soil in days. The time that it takes for the pesticide product concentration in the soil to be reduced by half. (days) (cols. 35-42)</t>
        </r>
      </text>
    </comment>
    <comment ref="E5" authorId="1" shapeId="0" xr:uid="{00000000-0006-0000-0D00-000006000000}">
      <text>
        <r>
          <rPr>
            <sz val="9"/>
            <color indexed="81"/>
            <rFont val="Tahoma"/>
            <family val="2"/>
          </rPr>
          <t xml:space="preserve">5 - PHLF : Pesticide half life in foliage in days. The time that it takes for the pesticide product concentration on the foliage to be reduced by half. Degradation occurs through microbial activity and/or sunlight. (days) (cols. 43-50)
</t>
        </r>
      </text>
    </comment>
    <comment ref="F5" authorId="1" shapeId="0" xr:uid="{00000000-0006-0000-0D00-000007000000}">
      <text>
        <r>
          <rPr>
            <sz val="9"/>
            <color indexed="81"/>
            <rFont val="Tahoma"/>
            <family val="2"/>
          </rPr>
          <t xml:space="preserve">6 - PWOF : Pesticide wash off fraction.  Percentage of the pesticide product that is applied to foliage that is washed off into  the soil. (%) (cols. 51-58)
</t>
        </r>
      </text>
    </comment>
    <comment ref="G5" authorId="1" shapeId="0" xr:uid="{00000000-0006-0000-0D00-000008000000}">
      <text>
        <r>
          <rPr>
            <sz val="9"/>
            <color indexed="81"/>
            <rFont val="Tahoma"/>
            <family val="2"/>
          </rPr>
          <t xml:space="preserve">7 - PKOC : Pesticide organic C absorption coefficient. Amount of pesticide products attached to  the soil divided by the amount of the pesticide product in solution, normalized by organic carbon % in the soil. (cols. 59-68)
</t>
        </r>
      </text>
    </comment>
    <comment ref="H5" authorId="1" shapeId="0" xr:uid="{00000000-0006-0000-0D00-000009000000}">
      <text>
        <r>
          <rPr>
            <sz val="9"/>
            <color indexed="81"/>
            <rFont val="Tahoma"/>
            <family val="2"/>
          </rPr>
          <t xml:space="preserve">8 - PCST : Pesticide cost in $/KG. Used for economic analyses only. (cols. 69-76)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Javier M. Osorio</author>
  </authors>
  <commentList>
    <comment ref="A3" authorId="0" shapeId="0" xr:uid="{00000000-0006-0000-1600-000001000000}">
      <text>
        <r>
          <rPr>
            <sz val="9"/>
            <color indexed="81"/>
            <rFont val="Tahoma"/>
            <family val="2"/>
          </rPr>
          <t>Type the file name only (i.e. FILENAME). The extension will be assign from cell E2. Leave blank if not new.</t>
        </r>
      </text>
    </comment>
    <comment ref="A5" authorId="1" shapeId="0" xr:uid="{00000000-0006-0000-1600-000002000000}">
      <text>
        <r>
          <rPr>
            <sz val="9"/>
            <color indexed="81"/>
            <rFont val="Tahoma"/>
            <family val="2"/>
          </rPr>
          <t>Copy/Paste your dataset | Variables are in fixed columns to match tool's format | Match units | Use DATE (Col M) to double check No. Days</t>
        </r>
      </text>
    </comment>
    <comment ref="M5" authorId="1" shapeId="0" xr:uid="{DCFB81D1-A0BE-4E62-9518-4DD51EF2DF57}">
      <text>
        <r>
          <rPr>
            <b/>
            <sz val="9"/>
            <color indexed="81"/>
            <rFont val="Tahoma"/>
            <family val="2"/>
          </rPr>
          <t xml:space="preserve">Note: </t>
        </r>
        <r>
          <rPr>
            <sz val="9"/>
            <color indexed="81"/>
            <rFont val="Tahoma"/>
            <family val="2"/>
          </rPr>
          <t>Use to control extreme events. Default values are the same as the code.</t>
        </r>
      </text>
    </comment>
    <comment ref="N5" authorId="2" shapeId="0" xr:uid="{CEC86094-2505-4A97-AB13-554EA0E155D5}">
      <text>
        <r>
          <rPr>
            <b/>
            <sz val="9"/>
            <color indexed="81"/>
            <rFont val="Tahoma"/>
            <family val="2"/>
          </rPr>
          <t xml:space="preserve">Note: </t>
        </r>
        <r>
          <rPr>
            <sz val="9"/>
            <color indexed="81"/>
            <rFont val="Tahoma"/>
            <family val="2"/>
          </rPr>
          <t>Counts the number of records outside the user defined range.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Javier M. Osorio</author>
  </authors>
  <commentList>
    <comment ref="A3" authorId="0" shapeId="0" xr:uid="{00000000-0006-0000-1700-000001000000}">
      <text>
        <r>
          <rPr>
            <sz val="9"/>
            <color indexed="81"/>
            <rFont val="Tahoma"/>
            <family val="2"/>
          </rPr>
          <t>Type the file name only (i.e. FILENAME). The extension will be assign from cell E2. Leave blank if not new.</t>
        </r>
      </text>
    </comment>
    <comment ref="D3" authorId="1" shapeId="0" xr:uid="{F1E74464-984C-4677-B8C2-4761258F4EAC}">
      <text>
        <r>
          <rPr>
            <b/>
            <sz val="9"/>
            <color indexed="81"/>
            <rFont val="Tahoma"/>
            <family val="2"/>
          </rPr>
          <t>File format:</t>
        </r>
        <r>
          <rPr>
            <sz val="9"/>
            <color indexed="81"/>
            <rFont val="Tahoma"/>
            <family val="2"/>
          </rPr>
          <t xml:space="preserve">
Type "</t>
        </r>
        <r>
          <rPr>
            <b/>
            <sz val="9"/>
            <color indexed="81"/>
            <rFont val="Tahoma"/>
            <family val="2"/>
          </rPr>
          <t>old</t>
        </r>
        <r>
          <rPr>
            <sz val="9"/>
            <color indexed="81"/>
            <rFont val="Tahoma"/>
            <family val="2"/>
          </rPr>
          <t>" if the WP1 file has 6 characteres between columns
Type "</t>
        </r>
        <r>
          <rPr>
            <b/>
            <sz val="9"/>
            <color indexed="81"/>
            <rFont val="Tahoma"/>
            <family val="2"/>
          </rPr>
          <t>new</t>
        </r>
        <r>
          <rPr>
            <sz val="9"/>
            <color indexed="81"/>
            <rFont val="Tahoma"/>
            <family val="2"/>
          </rPr>
          <t>" if the WP1 file has 10 characteres between columns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1800-000001000000}">
      <text>
        <r>
          <rPr>
            <sz val="9"/>
            <color indexed="81"/>
            <rFont val="Tahoma"/>
            <family val="2"/>
          </rPr>
          <t>Type the file name only (i.e. FILENAME). The extension will be assign from cell E2. Leave blank if not new.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300-000001000000}">
      <text>
        <r>
          <rPr>
            <sz val="9"/>
            <color indexed="81"/>
            <rFont val="Tahoma"/>
            <family val="2"/>
          </rPr>
          <t>Type the file name and extension (i.e. FILENAME.DAT)</t>
        </r>
      </text>
    </comment>
    <comment ref="C4" authorId="1" shapeId="0" xr:uid="{00000000-0006-0000-1300-000002000000}">
      <text>
        <r>
          <rPr>
            <sz val="9"/>
            <color indexed="81"/>
            <rFont val="Tahoma"/>
            <family val="2"/>
          </rPr>
          <t>Important: Don't use spaces in your comments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0E00-000001000000}">
      <text>
        <r>
          <rPr>
            <sz val="9"/>
            <color indexed="81"/>
            <rFont val="Tahoma"/>
            <family val="2"/>
          </rPr>
          <t>Type the file name and extension (i.e. FILENAME.DAT)</t>
        </r>
      </text>
    </comment>
    <comment ref="C4" authorId="1" shapeId="0" xr:uid="{00000000-0006-0000-0E00-000002000000}">
      <text>
        <r>
          <rPr>
            <sz val="9"/>
            <color indexed="81"/>
            <rFont val="Tahoma"/>
            <family val="2"/>
          </rPr>
          <t>Important: Don't use spaces in your comments</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0F00-000001000000}">
      <text>
        <r>
          <rPr>
            <sz val="9"/>
            <color indexed="81"/>
            <rFont val="Tahoma"/>
            <family val="2"/>
          </rPr>
          <t>Type the file name and extension (i.e. FILENAME.DAT)</t>
        </r>
      </text>
    </comment>
    <comment ref="C4" authorId="1" shapeId="0" xr:uid="{00000000-0006-0000-0F00-000002000000}">
      <text>
        <r>
          <rPr>
            <sz val="9"/>
            <color indexed="81"/>
            <rFont val="Tahoma"/>
            <family val="2"/>
          </rPr>
          <t>Important: Don't use spaces in your comments</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000-000001000000}">
      <text>
        <r>
          <rPr>
            <sz val="9"/>
            <color indexed="81"/>
            <rFont val="Tahoma"/>
            <family val="2"/>
          </rPr>
          <t>Type the file name and extension (i.e. FILENAME.DAT)</t>
        </r>
      </text>
    </comment>
    <comment ref="E4" authorId="1" shapeId="0" xr:uid="{00000000-0006-0000-1000-000002000000}">
      <text>
        <r>
          <rPr>
            <sz val="9"/>
            <color indexed="81"/>
            <rFont val="Tahoma"/>
            <family val="2"/>
          </rPr>
          <t>Important: Don't use spaces in your comments</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100-000001000000}">
      <text>
        <r>
          <rPr>
            <sz val="9"/>
            <color indexed="81"/>
            <rFont val="Tahoma"/>
            <family val="2"/>
          </rPr>
          <t>Type the file name and extension (i.e. FILENAME.DAT)</t>
        </r>
      </text>
    </comment>
    <comment ref="E4" authorId="1" shapeId="0" xr:uid="{00000000-0006-0000-1100-000002000000}">
      <text>
        <r>
          <rPr>
            <sz val="9"/>
            <color indexed="81"/>
            <rFont val="Tahoma"/>
            <family val="2"/>
          </rPr>
          <t>Important: Don't use spaces in your comments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200-000001000000}">
      <text>
        <r>
          <rPr>
            <sz val="9"/>
            <color indexed="81"/>
            <rFont val="Tahoma"/>
            <family val="2"/>
          </rPr>
          <t>Type the file name and extension (i.e. FILENAME.DAT)</t>
        </r>
      </text>
    </comment>
    <comment ref="E4" authorId="1" shapeId="0" xr:uid="{00000000-0006-0000-1200-000002000000}">
      <text>
        <r>
          <rPr>
            <sz val="9"/>
            <color indexed="81"/>
            <rFont val="Tahoma"/>
            <family val="2"/>
          </rPr>
          <t>Important: Don't use spaces in your comments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400-000001000000}">
      <text>
        <r>
          <rPr>
            <sz val="9"/>
            <color indexed="81"/>
            <rFont val="Tahoma"/>
            <family val="2"/>
          </rPr>
          <t>Type the file name and extension (i.e. FILENAME.DAT)</t>
        </r>
      </text>
    </comment>
    <comment ref="C4" authorId="1" shapeId="0" xr:uid="{00000000-0006-0000-1400-000002000000}">
      <text>
        <r>
          <rPr>
            <sz val="9"/>
            <color indexed="81"/>
            <rFont val="Tahoma"/>
            <family val="2"/>
          </rPr>
          <t>Important: Don't use spaces in your comments</t>
        </r>
      </text>
    </comment>
  </commentList>
</comments>
</file>

<file path=xl/sharedStrings.xml><?xml version="1.0" encoding="utf-8"?>
<sst xmlns="http://schemas.openxmlformats.org/spreadsheetml/2006/main" count="2512" uniqueCount="1945">
  <si>
    <t>FSITE</t>
  </si>
  <si>
    <t>FSUBA</t>
  </si>
  <si>
    <t>FWPM</t>
  </si>
  <si>
    <t>FWIND</t>
  </si>
  <si>
    <t>FCROP</t>
  </si>
  <si>
    <t>FTILL</t>
  </si>
  <si>
    <t>FPEST</t>
  </si>
  <si>
    <t>FFERT</t>
  </si>
  <si>
    <t>FSOIL</t>
  </si>
  <si>
    <t>FOPSC</t>
  </si>
  <si>
    <t>FTR55</t>
  </si>
  <si>
    <t>FPARM</t>
  </si>
  <si>
    <t>FMLRN</t>
  </si>
  <si>
    <t>FPRNT</t>
  </si>
  <si>
    <t>FHERD</t>
  </si>
  <si>
    <t>Description</t>
  </si>
  <si>
    <t>Equation parameters and coefficients</t>
  </si>
  <si>
    <t>Includes input data that characterize each subarea.</t>
  </si>
  <si>
    <t>Includes input data that characterize each soil.</t>
  </si>
  <si>
    <t>Includes input data that characterizes crop growth for over 100 crops.</t>
  </si>
  <si>
    <t>Includes input data that characterizes tillage equipment.</t>
  </si>
  <si>
    <t>Includes input data that characterizes numerous pesticides.</t>
  </si>
  <si>
    <t>Includes input data that characterizes numerous fertilizers.</t>
  </si>
  <si>
    <t>List of file names and descriptions associated with APEX files</t>
  </si>
  <si>
    <t>Field</t>
  </si>
  <si>
    <t>Variable</t>
  </si>
  <si>
    <t>ASTN</t>
  </si>
  <si>
    <t>ISIT</t>
  </si>
  <si>
    <t>IWPN</t>
  </si>
  <si>
    <t>IWND</t>
  </si>
  <si>
    <t>ISUB</t>
  </si>
  <si>
    <t>ISOL</t>
  </si>
  <si>
    <t>IRFT</t>
  </si>
  <si>
    <t>NBYR</t>
  </si>
  <si>
    <t>IYR</t>
  </si>
  <si>
    <t>IMO</t>
  </si>
  <si>
    <t>IDA</t>
  </si>
  <si>
    <t>IPD</t>
  </si>
  <si>
    <t>IGN</t>
  </si>
  <si>
    <t>LPYR</t>
  </si>
  <si>
    <t>IET</t>
  </si>
  <si>
    <t>ISCN</t>
  </si>
  <si>
    <t>ITYP</t>
  </si>
  <si>
    <t>ISTA</t>
  </si>
  <si>
    <t>IHUS</t>
  </si>
  <si>
    <t>INFL</t>
  </si>
  <si>
    <t>MASP</t>
  </si>
  <si>
    <t>IERT</t>
  </si>
  <si>
    <t>LBP</t>
  </si>
  <si>
    <t>NUPC</t>
  </si>
  <si>
    <t>MNUL</t>
  </si>
  <si>
    <t>LPD</t>
  </si>
  <si>
    <t>MSCP</t>
  </si>
  <si>
    <t>ISLF</t>
  </si>
  <si>
    <t>NAQ</t>
  </si>
  <si>
    <t>IHY</t>
  </si>
  <si>
    <t>ICO2</t>
  </si>
  <si>
    <t>ISW</t>
  </si>
  <si>
    <t>IGMX</t>
  </si>
  <si>
    <t>IDIR</t>
  </si>
  <si>
    <t>IOX</t>
  </si>
  <si>
    <t>IDNT</t>
  </si>
  <si>
    <t>IAZM</t>
  </si>
  <si>
    <t>IPAT</t>
  </si>
  <si>
    <t>IHRD</t>
  </si>
  <si>
    <t>IWTB</t>
  </si>
  <si>
    <t>NSTP</t>
  </si>
  <si>
    <t>ISAP</t>
  </si>
  <si>
    <t>PSTX</t>
  </si>
  <si>
    <t>YWI</t>
  </si>
  <si>
    <t>BTA</t>
  </si>
  <si>
    <t>EXPK</t>
  </si>
  <si>
    <t>QG</t>
  </si>
  <si>
    <t>QCF</t>
  </si>
  <si>
    <t>CHSO</t>
  </si>
  <si>
    <t>BWD</t>
  </si>
  <si>
    <t>FCW</t>
  </si>
  <si>
    <t>UXP</t>
  </si>
  <si>
    <t>DIAM</t>
  </si>
  <si>
    <t>ACW</t>
  </si>
  <si>
    <t>GZL0</t>
  </si>
  <si>
    <t>RTN0</t>
  </si>
  <si>
    <t>BXCT</t>
  </si>
  <si>
    <t>BYCT</t>
  </si>
  <si>
    <t>DTHY</t>
  </si>
  <si>
    <t>QTH</t>
  </si>
  <si>
    <t>STND</t>
  </si>
  <si>
    <t>DRV</t>
  </si>
  <si>
    <t>PCO0</t>
  </si>
  <si>
    <t>RCC0</t>
  </si>
  <si>
    <t>CSLT</t>
  </si>
  <si>
    <t>|-----TILL------|</t>
  </si>
  <si>
    <t>#</t>
  </si>
  <si>
    <t>NAME</t>
  </si>
  <si>
    <t>PCD</t>
  </si>
  <si>
    <t>PRIC</t>
  </si>
  <si>
    <t>PLST</t>
  </si>
  <si>
    <t>HRY</t>
  </si>
  <si>
    <t>HRL</t>
  </si>
  <si>
    <t>PWR</t>
  </si>
  <si>
    <t>WDT</t>
  </si>
  <si>
    <t>SPD</t>
  </si>
  <si>
    <t>RC1</t>
  </si>
  <si>
    <t>RC2</t>
  </si>
  <si>
    <t>XLB</t>
  </si>
  <si>
    <t>FCM</t>
  </si>
  <si>
    <t>VR1</t>
  </si>
  <si>
    <t>VR2</t>
  </si>
  <si>
    <t>EFM</t>
  </si>
  <si>
    <t>RTI</t>
  </si>
  <si>
    <t>EMX</t>
  </si>
  <si>
    <t>RR</t>
  </si>
  <si>
    <t>TLD</t>
  </si>
  <si>
    <t>RHT</t>
  </si>
  <si>
    <t>RIN</t>
  </si>
  <si>
    <t>DKH</t>
  </si>
  <si>
    <t>DKI</t>
  </si>
  <si>
    <t>IHC</t>
  </si>
  <si>
    <t>HE</t>
  </si>
  <si>
    <t>ORHI</t>
  </si>
  <si>
    <t>FRCP</t>
  </si>
  <si>
    <t>FPOP</t>
  </si>
  <si>
    <t>CFEM</t>
  </si>
  <si>
    <t>STIR</t>
  </si>
  <si>
    <t>EQP</t>
  </si>
  <si>
    <t>CROP</t>
  </si>
  <si>
    <t>WA</t>
  </si>
  <si>
    <t>HI</t>
  </si>
  <si>
    <t>TOP</t>
  </si>
  <si>
    <t>TBS</t>
  </si>
  <si>
    <t>DMLA</t>
  </si>
  <si>
    <t>DLAI</t>
  </si>
  <si>
    <t>DLAP1</t>
  </si>
  <si>
    <t>DLAP2</t>
  </si>
  <si>
    <t>RLAD</t>
  </si>
  <si>
    <t>RBMD</t>
  </si>
  <si>
    <t>ALT</t>
  </si>
  <si>
    <t>GSI</t>
  </si>
  <si>
    <t>CAF</t>
  </si>
  <si>
    <t>SDW</t>
  </si>
  <si>
    <t>HMX</t>
  </si>
  <si>
    <t>RDMX</t>
  </si>
  <si>
    <t>WAC2</t>
  </si>
  <si>
    <t>CNY</t>
  </si>
  <si>
    <t>CPY</t>
  </si>
  <si>
    <t>CKY</t>
  </si>
  <si>
    <t>WSYF</t>
  </si>
  <si>
    <t>PST</t>
  </si>
  <si>
    <t>PRYG</t>
  </si>
  <si>
    <t>PRYF</t>
  </si>
  <si>
    <t>WCY</t>
  </si>
  <si>
    <t>BN1</t>
  </si>
  <si>
    <t>BN2</t>
  </si>
  <si>
    <t>BN3</t>
  </si>
  <si>
    <t>BP1</t>
  </si>
  <si>
    <t>BP2</t>
  </si>
  <si>
    <t>BP3</t>
  </si>
  <si>
    <t>BK1</t>
  </si>
  <si>
    <t>BK2</t>
  </si>
  <si>
    <t>BK3</t>
  </si>
  <si>
    <t>BW1</t>
  </si>
  <si>
    <t>BW2</t>
  </si>
  <si>
    <t>BW3</t>
  </si>
  <si>
    <t>IDC</t>
  </si>
  <si>
    <t>FRST1</t>
  </si>
  <si>
    <t>FRST2</t>
  </si>
  <si>
    <t>WAVP</t>
  </si>
  <si>
    <t>VPTH</t>
  </si>
  <si>
    <t>VPD2</t>
  </si>
  <si>
    <t>RWPC1</t>
  </si>
  <si>
    <t>RWPC2</t>
  </si>
  <si>
    <t>GMHU</t>
  </si>
  <si>
    <t>PPLP1</t>
  </si>
  <si>
    <t>PPLP2</t>
  </si>
  <si>
    <t>STX1</t>
  </si>
  <si>
    <t>STX2</t>
  </si>
  <si>
    <t>BLG1</t>
  </si>
  <si>
    <t>BLG2</t>
  </si>
  <si>
    <t>WUB</t>
  </si>
  <si>
    <t>FTO</t>
  </si>
  <si>
    <t>FLT</t>
  </si>
  <si>
    <t>I</t>
  </si>
  <si>
    <t>FTNM</t>
  </si>
  <si>
    <t>FN</t>
  </si>
  <si>
    <t>FP</t>
  </si>
  <si>
    <t>FK</t>
  </si>
  <si>
    <t>FNO</t>
  </si>
  <si>
    <t>FPO</t>
  </si>
  <si>
    <t>FNH3</t>
  </si>
  <si>
    <t>FOC</t>
  </si>
  <si>
    <t>FSLT</t>
  </si>
  <si>
    <t>FCST</t>
  </si>
  <si>
    <t>J1</t>
  </si>
  <si>
    <t>PSTN</t>
  </si>
  <si>
    <t>PSOL</t>
  </si>
  <si>
    <t>PHLS</t>
  </si>
  <si>
    <t>PHLF</t>
  </si>
  <si>
    <t>PWOF</t>
  </si>
  <si>
    <t>PKOC</t>
  </si>
  <si>
    <t>PCST</t>
  </si>
  <si>
    <t>Variable #</t>
  </si>
  <si>
    <t>Variable Name</t>
  </si>
  <si>
    <t>Variable Description</t>
  </si>
  <si>
    <t>Units</t>
  </si>
  <si>
    <t>TMX</t>
  </si>
  <si>
    <t>Maximum temperature</t>
  </si>
  <si>
    <t>TMN</t>
  </si>
  <si>
    <t>Minimum temperature</t>
  </si>
  <si>
    <t>SRAD</t>
  </si>
  <si>
    <t>Solar Radiation</t>
  </si>
  <si>
    <r>
      <t>MJ/m</t>
    </r>
    <r>
      <rPr>
        <vertAlign val="superscript"/>
        <sz val="10"/>
        <color theme="1"/>
        <rFont val="Times New Roman"/>
        <family val="1"/>
      </rPr>
      <t>2</t>
    </r>
  </si>
  <si>
    <t>PRCP</t>
  </si>
  <si>
    <t>Precipitation</t>
  </si>
  <si>
    <t>mm</t>
  </si>
  <si>
    <t>SNOF</t>
  </si>
  <si>
    <t>Snow fall</t>
  </si>
  <si>
    <t>SNOM</t>
  </si>
  <si>
    <t>Snow melt</t>
  </si>
  <si>
    <t>WSPD</t>
  </si>
  <si>
    <t>Wind velocity</t>
  </si>
  <si>
    <t>m/s</t>
  </si>
  <si>
    <t>RHUM</t>
  </si>
  <si>
    <t>Relative humidity</t>
  </si>
  <si>
    <t>VPD</t>
  </si>
  <si>
    <t>Vapor pressure deficit</t>
  </si>
  <si>
    <t>kPa</t>
  </si>
  <si>
    <t>PET</t>
  </si>
  <si>
    <t>Potential evaporation</t>
  </si>
  <si>
    <t>ET</t>
  </si>
  <si>
    <t>Evapotranspiration</t>
  </si>
  <si>
    <t>EP</t>
  </si>
  <si>
    <t>Transpiration</t>
  </si>
  <si>
    <t>Q</t>
  </si>
  <si>
    <t>Annual Surface Runoff</t>
  </si>
  <si>
    <t>CN</t>
  </si>
  <si>
    <t>SCS runoff curve number</t>
  </si>
  <si>
    <t>SSF</t>
  </si>
  <si>
    <t>Lateral subsurface flow</t>
  </si>
  <si>
    <t>m</t>
  </si>
  <si>
    <t>PRK</t>
  </si>
  <si>
    <t>Percolation below the root zone</t>
  </si>
  <si>
    <t>QDR</t>
  </si>
  <si>
    <t>Flow from a drainage system</t>
  </si>
  <si>
    <t>IRGA</t>
  </si>
  <si>
    <t>Irrigation water applied</t>
  </si>
  <si>
    <t>QIN</t>
  </si>
  <si>
    <t>Inflow to the root zone from the water table</t>
  </si>
  <si>
    <t>TLGE</t>
  </si>
  <si>
    <t>Lagoon evaporation</t>
  </si>
  <si>
    <t>TLGW</t>
  </si>
  <si>
    <t>Water wash to lagoon</t>
  </si>
  <si>
    <t>TLGQ</t>
  </si>
  <si>
    <t>Runoff to lagoon</t>
  </si>
  <si>
    <t>TLGF</t>
  </si>
  <si>
    <t>Lagoon overflow</t>
  </si>
  <si>
    <t>EI</t>
  </si>
  <si>
    <t>Rainfall energy factor</t>
  </si>
  <si>
    <t>C</t>
  </si>
  <si>
    <t>Average water erosion/crop management factor</t>
  </si>
  <si>
    <t>USLE</t>
  </si>
  <si>
    <t>Soil loss from water erosion using USLE</t>
  </si>
  <si>
    <t>t/ha</t>
  </si>
  <si>
    <t>MUSL</t>
  </si>
  <si>
    <t>Soil loss from water erosion using MUSLE</t>
  </si>
  <si>
    <t>MUSS</t>
  </si>
  <si>
    <t>Soil erosion-water</t>
  </si>
  <si>
    <t>MUST</t>
  </si>
  <si>
    <t>Soil loss from water erosion using modified MUSLE</t>
  </si>
  <si>
    <t>RUS2</t>
  </si>
  <si>
    <t>Soil loss from water erosion using RUSLE2</t>
  </si>
  <si>
    <t>WK1</t>
  </si>
  <si>
    <t>Wind erosion soil erodibility factor</t>
  </si>
  <si>
    <t>RHTT</t>
  </si>
  <si>
    <t>Ridge Height</t>
  </si>
  <si>
    <t>RRUF</t>
  </si>
  <si>
    <t>Random roughness of soil</t>
  </si>
  <si>
    <t>RGRF</t>
  </si>
  <si>
    <t>Wind erosion ridge roughness factor</t>
  </si>
  <si>
    <t>YWND</t>
  </si>
  <si>
    <t>Soil erosion –wind</t>
  </si>
  <si>
    <t>YN</t>
  </si>
  <si>
    <t>Sediment transported N from subarea or reach</t>
  </si>
  <si>
    <t>kg/ha</t>
  </si>
  <si>
    <t>QN</t>
  </si>
  <si>
    <t>Nitrogen in runoff</t>
  </si>
  <si>
    <t>SSFN</t>
  </si>
  <si>
    <t>Amount of mineral nitrogen lost in the horizontal movement of water in the soil from subarea or reach</t>
  </si>
  <si>
    <t>PRKN</t>
  </si>
  <si>
    <t>Mineral N loss in percolate</t>
  </si>
  <si>
    <t>GMN</t>
  </si>
  <si>
    <t>Nitrogen mineralized</t>
  </si>
  <si>
    <t>DN</t>
  </si>
  <si>
    <t>N loss by denitrification</t>
  </si>
  <si>
    <t>NFIX</t>
  </si>
  <si>
    <t>N fixed by leguminous crops</t>
  </si>
  <si>
    <t>NMN</t>
  </si>
  <si>
    <t>N mineralized from stable organic matter</t>
  </si>
  <si>
    <t>NITR</t>
  </si>
  <si>
    <t>Nitrification</t>
  </si>
  <si>
    <t>AVOL</t>
  </si>
  <si>
    <t>Nitrogen volatilization</t>
  </si>
  <si>
    <t>QDRN</t>
  </si>
  <si>
    <t>Soluble N in drainage outflow`</t>
  </si>
  <si>
    <t>YP</t>
  </si>
  <si>
    <t>P loss with sediment</t>
  </si>
  <si>
    <t>QP</t>
  </si>
  <si>
    <t>Phosphorus in runoff</t>
  </si>
  <si>
    <t>MNP</t>
  </si>
  <si>
    <t>P mineralized</t>
  </si>
  <si>
    <t>PRKP</t>
  </si>
  <si>
    <t>Phosphorus loss in percolate</t>
  </si>
  <si>
    <t>ER</t>
  </si>
  <si>
    <t>Enrichment ratio</t>
  </si>
  <si>
    <t>Organic Nitrogen fertilizer (animal waste)</t>
  </si>
  <si>
    <t>FNMN</t>
  </si>
  <si>
    <t>Nitrate N fertilizer</t>
  </si>
  <si>
    <t>FNMA</t>
  </si>
  <si>
    <t>Ammonium N fertilizer</t>
  </si>
  <si>
    <t>Organic Phosphorus (actual P) of manure</t>
  </si>
  <si>
    <t>FPL</t>
  </si>
  <si>
    <t>Mineral P fertilizer applied</t>
  </si>
  <si>
    <t>LIME</t>
  </si>
  <si>
    <t>Limestone applied (CaCO3 equivalent)</t>
  </si>
  <si>
    <t>TMP</t>
  </si>
  <si>
    <t>Temperature in second soil layer</t>
  </si>
  <si>
    <t>SW10</t>
  </si>
  <si>
    <t>Ratio soil water/wilting point in top 10mm</t>
  </si>
  <si>
    <t>LGMI</t>
  </si>
  <si>
    <t>Manure input to lagoon</t>
  </si>
  <si>
    <t>LGMO</t>
  </si>
  <si>
    <t>Manure output from lagoon</t>
  </si>
  <si>
    <t>EPP</t>
  </si>
  <si>
    <t>Potential plant evaporation</t>
  </si>
  <si>
    <t>RSQI</t>
  </si>
  <si>
    <t>Reservoir inflow</t>
  </si>
  <si>
    <t>RSQO</t>
  </si>
  <si>
    <t>Reservoir outflow</t>
  </si>
  <si>
    <t>RSEV</t>
  </si>
  <si>
    <t>Reservoir volume</t>
  </si>
  <si>
    <t>RSLK</t>
  </si>
  <si>
    <t>Reservoir leakage (goes into ground water)</t>
  </si>
  <si>
    <t>RSYI</t>
  </si>
  <si>
    <t>Reservoir sediment inflow</t>
  </si>
  <si>
    <t>tonne</t>
  </si>
  <si>
    <t>RSYO</t>
  </si>
  <si>
    <t>Reservoir sediment outflow</t>
  </si>
  <si>
    <t>RSYD</t>
  </si>
  <si>
    <t>Reservoir sediment deposition</t>
  </si>
  <si>
    <t>DPRK</t>
  </si>
  <si>
    <t>Deep percolation</t>
  </si>
  <si>
    <t>RSSF</t>
  </si>
  <si>
    <t>Return subsurface flow</t>
  </si>
  <si>
    <t>RSDC</t>
  </si>
  <si>
    <t>carbon contained in crop residue</t>
  </si>
  <si>
    <t>RSPC</t>
  </si>
  <si>
    <t>CO2 respiration</t>
  </si>
  <si>
    <t>PRKC</t>
  </si>
  <si>
    <t>Carbon leached from root zone</t>
  </si>
  <si>
    <t>QC</t>
  </si>
  <si>
    <t>Carbon in runoff</t>
  </si>
  <si>
    <t>YC</t>
  </si>
  <si>
    <t>Carbon loss with sediment</t>
  </si>
  <si>
    <t>RSDA</t>
  </si>
  <si>
    <t>Residue added in any form</t>
  </si>
  <si>
    <t>QFP</t>
  </si>
  <si>
    <t>Amount of flow into floodplain</t>
  </si>
  <si>
    <t>RSFN</t>
  </si>
  <si>
    <t>Subarea soluble N yield in return flow</t>
  </si>
  <si>
    <t>MAP</t>
  </si>
  <si>
    <t>Manure applied to subarea</t>
  </si>
  <si>
    <t>BUNL</t>
  </si>
  <si>
    <t>N burn loss</t>
  </si>
  <si>
    <t>QRF</t>
  </si>
  <si>
    <t>Quick return flow</t>
  </si>
  <si>
    <t>QRFN</t>
  </si>
  <si>
    <t>Soluble N in quick return flow</t>
  </si>
  <si>
    <t>RFIC</t>
  </si>
  <si>
    <t>Rainfall interception</t>
  </si>
  <si>
    <t>RSBK</t>
  </si>
  <si>
    <t>Reservoir back water</t>
  </si>
  <si>
    <t>CPVH</t>
  </si>
  <si>
    <t>Pipe flow horizontal</t>
  </si>
  <si>
    <t>YMNU</t>
  </si>
  <si>
    <t>Manure erosion</t>
  </si>
  <si>
    <t>SNOU</t>
  </si>
  <si>
    <t>N in scraping manure</t>
  </si>
  <si>
    <t>SPOU</t>
  </si>
  <si>
    <t>P in scraping manure</t>
  </si>
  <si>
    <t>Deposition of mineral N at watershed outlet</t>
  </si>
  <si>
    <t>DPMO</t>
  </si>
  <si>
    <t>Deposition of mineral P at watershed outlet</t>
  </si>
  <si>
    <t>DEMR</t>
  </si>
  <si>
    <t>Dust emission rate</t>
  </si>
  <si>
    <t>P10D</t>
  </si>
  <si>
    <t>Dust emission with &lt;10 micron particle size</t>
  </si>
  <si>
    <t>SSFI</t>
  </si>
  <si>
    <t>Subsurface flow from subarea above</t>
  </si>
  <si>
    <t>DPKN</t>
  </si>
  <si>
    <t>Deep percolation of N out of groundwater</t>
  </si>
  <si>
    <t>CPVV</t>
  </si>
  <si>
    <t>Pipe flow vertical</t>
  </si>
  <si>
    <t>FPF</t>
  </si>
  <si>
    <t>Floodplain infiltration</t>
  </si>
  <si>
    <t>mm/h</t>
  </si>
  <si>
    <t>Organic C fraction in fertilizer</t>
  </si>
  <si>
    <t>RFV</t>
  </si>
  <si>
    <t>SCOU</t>
  </si>
  <si>
    <t>Carbon in manure scraped from feedlot</t>
  </si>
  <si>
    <t>DEPC</t>
  </si>
  <si>
    <t>Carbon deposited in routing reach</t>
  </si>
  <si>
    <t>DECR</t>
  </si>
  <si>
    <t>Residue decay</t>
  </si>
  <si>
    <t>PSOQ</t>
  </si>
  <si>
    <t>Point source flow volume</t>
  </si>
  <si>
    <t>PSON</t>
  </si>
  <si>
    <t>Point source soluble N load</t>
  </si>
  <si>
    <t>PSOP</t>
  </si>
  <si>
    <t>Point source soluble P load</t>
  </si>
  <si>
    <t>RUSL</t>
  </si>
  <si>
    <t>Soil erosion by water estimated with RUSLE</t>
  </si>
  <si>
    <t>QPU</t>
  </si>
  <si>
    <t>Soluble P reach outflow of manure</t>
  </si>
  <si>
    <t>FALF</t>
  </si>
  <si>
    <t>Leaf fall</t>
  </si>
  <si>
    <t>IRDL</t>
  </si>
  <si>
    <t>Irrigation Distribution loss</t>
  </si>
  <si>
    <t>QRP</t>
  </si>
  <si>
    <t>Reservoir release rate</t>
  </si>
  <si>
    <t>mm/day</t>
  </si>
  <si>
    <t>YRP</t>
  </si>
  <si>
    <t>Sediment outflow from reservoir</t>
  </si>
  <si>
    <t>t/ha/day</t>
  </si>
  <si>
    <t>YNRP</t>
  </si>
  <si>
    <t>Particulate N in reservoir outflow</t>
  </si>
  <si>
    <t>YPRP</t>
  </si>
  <si>
    <t>Particulate P in reservoir outflow</t>
  </si>
  <si>
    <t>QNRP</t>
  </si>
  <si>
    <t>Soluble N outflow from ponds</t>
  </si>
  <si>
    <t>QPRP</t>
  </si>
  <si>
    <t>Soluble P outflow from ponds</t>
  </si>
  <si>
    <t>WYLD</t>
  </si>
  <si>
    <t>Water yield</t>
  </si>
  <si>
    <t>YPM</t>
  </si>
  <si>
    <t>Total mineral phosphorus loss</t>
  </si>
  <si>
    <t>YPO</t>
  </si>
  <si>
    <t>Total organic phosphorus loss</t>
  </si>
  <si>
    <t>SW</t>
  </si>
  <si>
    <t>Soil water in total profile</t>
  </si>
  <si>
    <t>PSOY</t>
  </si>
  <si>
    <t>Point source sediment pesticide load</t>
  </si>
  <si>
    <t>t/day</t>
  </si>
  <si>
    <t>PQPS</t>
  </si>
  <si>
    <t>Point source soluble pesticide load</t>
  </si>
  <si>
    <t>g/day</t>
  </si>
  <si>
    <t>PYPS</t>
  </si>
  <si>
    <t>Point source adsorbed pesticide load</t>
  </si>
  <si>
    <t>MUSI</t>
  </si>
  <si>
    <t>Soil erosion by water estimated with Modified MUSLE</t>
  </si>
  <si>
    <t>QI</t>
  </si>
  <si>
    <t>Inflow to reservoir</t>
  </si>
  <si>
    <r>
      <t>m</t>
    </r>
    <r>
      <rPr>
        <vertAlign val="superscript"/>
        <sz val="10"/>
        <color theme="1"/>
        <rFont val="Times New Roman"/>
        <family val="1"/>
      </rPr>
      <t>3</t>
    </r>
  </si>
  <si>
    <t>QARS</t>
  </si>
  <si>
    <t>RFRA</t>
  </si>
  <si>
    <t>Amount of rainfall that falls on reservoir surface</t>
  </si>
  <si>
    <t>DN2</t>
  </si>
  <si>
    <t>Loss of dinitrogen gas</t>
  </si>
  <si>
    <t>SLTI</t>
  </si>
  <si>
    <t>Salt in irrigation water</t>
  </si>
  <si>
    <t>SLTQ</t>
  </si>
  <si>
    <t>Salt in runoff</t>
  </si>
  <si>
    <t>SLTS</t>
  </si>
  <si>
    <t>Salt in lateral subsurface flow</t>
  </si>
  <si>
    <t>SLTF</t>
  </si>
  <si>
    <t>Salt in fertilizer</t>
  </si>
  <si>
    <t>SLTV</t>
  </si>
  <si>
    <t>Salt percolated out of root zone</t>
  </si>
  <si>
    <t>YNWN</t>
  </si>
  <si>
    <t>N loss in wind erosion</t>
  </si>
  <si>
    <t>YPWN</t>
  </si>
  <si>
    <t>P loss in wind erosion</t>
  </si>
  <si>
    <t>YCWN</t>
  </si>
  <si>
    <t>Carbon loss in wind erosion</t>
  </si>
  <si>
    <t>PSO3</t>
  </si>
  <si>
    <t>Nitrate contribution from point source</t>
  </si>
  <si>
    <t>PSSP</t>
  </si>
  <si>
    <t>Soluble P contribution from point source</t>
  </si>
  <si>
    <t>YWKS</t>
  </si>
  <si>
    <t>Wind erosion using Manhattan Kansas model</t>
  </si>
  <si>
    <t>CBUR</t>
  </si>
  <si>
    <t>Carbon loss from burning crop residue or forest</t>
  </si>
  <si>
    <t>GRZD</t>
  </si>
  <si>
    <t>Grazing duration</t>
  </si>
  <si>
    <t>days</t>
  </si>
  <si>
    <t>QRFP</t>
  </si>
  <si>
    <t>Phosphorus loss in quick return flow</t>
  </si>
  <si>
    <t>QDRP</t>
  </si>
  <si>
    <t>Phosphorus loss through drainage system</t>
  </si>
  <si>
    <t>YTHS</t>
  </si>
  <si>
    <t>YWTH</t>
  </si>
  <si>
    <t>line 12-14:</t>
  </si>
  <si>
    <t>KFL</t>
  </si>
  <si>
    <t>Output table selection</t>
  </si>
  <si>
    <r>
      <t xml:space="preserve">Files names are </t>
    </r>
    <r>
      <rPr>
        <i/>
        <sz val="12"/>
        <color theme="1"/>
        <rFont val="Times New Roman"/>
        <family val="1"/>
      </rPr>
      <t>runname</t>
    </r>
    <r>
      <rPr>
        <sz val="12"/>
        <color theme="1"/>
        <rFont val="Times New Roman"/>
        <family val="1"/>
      </rPr>
      <t xml:space="preserve">.* where  </t>
    </r>
    <r>
      <rPr>
        <i/>
        <sz val="12"/>
        <color theme="1"/>
        <rFont val="Times New Roman"/>
        <family val="1"/>
      </rPr>
      <t>runname</t>
    </r>
    <r>
      <rPr>
        <sz val="12"/>
        <color theme="1"/>
        <rFont val="Times New Roman"/>
        <family val="1"/>
      </rPr>
      <t xml:space="preserve"> refers to run # (ASTN)  and  * takes on file name ext. </t>
    </r>
  </si>
  <si>
    <t>line 1-5:</t>
  </si>
  <si>
    <t>KA</t>
  </si>
  <si>
    <r>
      <t>Output variable ID number (accumulated and average values)</t>
    </r>
    <r>
      <rPr>
        <sz val="12"/>
        <color theme="1"/>
        <rFont val="Times New Roman"/>
        <family val="1"/>
      </rPr>
      <t>.</t>
    </r>
  </si>
  <si>
    <t xml:space="preserve">Select up to 60 items from Table 2.9 below. </t>
  </si>
  <si>
    <t>line 6:</t>
  </si>
  <si>
    <t>JC</t>
  </si>
  <si>
    <r>
      <t>Output variable ID number (concentration variables)</t>
    </r>
    <r>
      <rPr>
        <sz val="12"/>
        <color theme="1"/>
        <rFont val="Times New Roman"/>
        <family val="1"/>
      </rPr>
      <t xml:space="preserve">. </t>
    </r>
  </si>
  <si>
    <t>Select up to 4 variables from table below, e.g.:</t>
  </si>
  <si>
    <t>line 7:</t>
  </si>
  <si>
    <t>KS</t>
  </si>
  <si>
    <r>
      <t>Output variable ID (monthly state variables).</t>
    </r>
    <r>
      <rPr>
        <sz val="12"/>
        <color theme="1"/>
        <rFont val="Times New Roman"/>
        <family val="1"/>
      </rPr>
      <t xml:space="preserve"> </t>
    </r>
  </si>
  <si>
    <t>Select up to 17 variables from this list (input number):</t>
  </si>
  <si>
    <t>line 8-9:</t>
  </si>
  <si>
    <t>KD</t>
  </si>
  <si>
    <r>
      <t>Output variable ID (daily output variables)</t>
    </r>
    <r>
      <rPr>
        <sz val="12"/>
        <color theme="1"/>
        <rFont val="Times New Roman"/>
        <family val="1"/>
      </rPr>
      <t xml:space="preserve">. </t>
    </r>
  </si>
  <si>
    <t>Select variables from Table 2.9 below.</t>
  </si>
  <si>
    <t>line 10-11:</t>
  </si>
  <si>
    <t>KY</t>
  </si>
  <si>
    <r>
      <t>Annual output variable ID (accumulated and average values).</t>
    </r>
    <r>
      <rPr>
        <sz val="12"/>
        <color theme="1"/>
        <rFont val="Times New Roman"/>
        <family val="1"/>
      </rPr>
      <t xml:space="preserve"> </t>
    </r>
  </si>
  <si>
    <t>Select variables from the standard table (Table 2.9) below</t>
  </si>
  <si>
    <t>OUT</t>
  </si>
  <si>
    <t>STANDARD OUTPUT FILE</t>
  </si>
  <si>
    <t>MAN</t>
  </si>
  <si>
    <t>SPECIAL MANURE MANAGEMENT SUMMARY FILE</t>
  </si>
  <si>
    <t>SUS</t>
  </si>
  <si>
    <t>SUBAREA SUMMARY FILE</t>
  </si>
  <si>
    <t>ASA</t>
  </si>
  <si>
    <t>ANNUAL SUBAREA FILE</t>
  </si>
  <si>
    <t>SWT</t>
  </si>
  <si>
    <t>WATERSHED OUTPUT TO SWAT</t>
  </si>
  <si>
    <t>DPS</t>
  </si>
  <si>
    <t>DAILY SUBAREA PESTICIDE FILE</t>
  </si>
  <si>
    <t>MSA</t>
  </si>
  <si>
    <t>MONTHLY SUBAREA FILE</t>
  </si>
  <si>
    <t>AWP</t>
  </si>
  <si>
    <t>ANNUAL CEAP FILE</t>
  </si>
  <si>
    <t>DHY</t>
  </si>
  <si>
    <t>DAILY SUBAREA HYDROLOGY FILE</t>
  </si>
  <si>
    <t>WSS</t>
  </si>
  <si>
    <t>WATERSHED SUMMARY FILE</t>
  </si>
  <si>
    <t>SAD</t>
  </si>
  <si>
    <t>DAILY SUBAREA FILE</t>
  </si>
  <si>
    <t>HYC</t>
  </si>
  <si>
    <t>DRS</t>
  </si>
  <si>
    <t>DAILY RESERVOIR FILE</t>
  </si>
  <si>
    <t>MWS</t>
  </si>
  <si>
    <t>MONTHLY WATERSHED FILE</t>
  </si>
  <si>
    <t>DWS</t>
  </si>
  <si>
    <t>DAILY WATERSHED OUTLET FILE</t>
  </si>
  <si>
    <t>AWS</t>
  </si>
  <si>
    <t>ANNUAL WATERSHED OUTLET FILE</t>
  </si>
  <si>
    <t>DGZ</t>
  </si>
  <si>
    <t>DAILY GRAZING</t>
  </si>
  <si>
    <t>DUX</t>
  </si>
  <si>
    <t>DAILY MANURE APPLICATION</t>
  </si>
  <si>
    <t>DDD</t>
  </si>
  <si>
    <t>DAILY DUST DISTRIBUTION</t>
  </si>
  <si>
    <t>ACN</t>
  </si>
  <si>
    <t>ANNUAL SOIL ORGANIC C &amp; N TABLE</t>
  </si>
  <si>
    <t>DCN</t>
  </si>
  <si>
    <t>DAILY SOIL ORGANIC C &amp; N TABLE</t>
  </si>
  <si>
    <t>SCX</t>
  </si>
  <si>
    <t>SUMMARY SOIL ORGANIC C &amp; N TABLE</t>
  </si>
  <si>
    <t>ACY</t>
  </si>
  <si>
    <t>ANNUAL SUBAREA CROP YIELD</t>
  </si>
  <si>
    <t>EFR</t>
  </si>
  <si>
    <t>RUNOFF EVENT FLOOD ROUTING</t>
  </si>
  <si>
    <t>EHY</t>
  </si>
  <si>
    <t>RUNOFF EVENT HYDROGRAPHS</t>
  </si>
  <si>
    <t>APS</t>
  </si>
  <si>
    <t>ANNUAL SUBAREA/WATERSHED PESTICIDE</t>
  </si>
  <si>
    <t>MSW</t>
  </si>
  <si>
    <t>MONTHLY OUTPUT TO SWAT</t>
  </si>
  <si>
    <t>DPW</t>
  </si>
  <si>
    <t>DAILY WATERSHED PESTICIDE FILE</t>
  </si>
  <si>
    <t>SPS</t>
  </si>
  <si>
    <t>PESTICIDE SUBAREA SUMMARY</t>
  </si>
  <si>
    <t>ACO</t>
  </si>
  <si>
    <t>ANNUAL COST</t>
  </si>
  <si>
    <t>SWN</t>
  </si>
  <si>
    <t>SAO</t>
  </si>
  <si>
    <t>SPECIAL SUBAREA FILE FOR GIS</t>
  </si>
  <si>
    <t>RCH</t>
  </si>
  <si>
    <t>SPECIAL REACH FILE FOR GIS</t>
  </si>
  <si>
    <t>ERX</t>
  </si>
  <si>
    <t>ERROR FILE</t>
  </si>
  <si>
    <t>DMR</t>
  </si>
  <si>
    <t>STR</t>
  </si>
  <si>
    <t>CONTINUOUS HYDROGRAPHS(DTHY) AT WATERSHED OUTLET</t>
  </si>
  <si>
    <t>SUMMARY OF SUBAREAS &amp; WATERSHED FOR NRCS ST AR TOOL</t>
  </si>
  <si>
    <t>DAILY WATERSHED NUTRIENT &amp; SEDIMENT CONC NRCS MRBI</t>
  </si>
  <si>
    <t>SPECIAL WATERSHED SUMMARY FOR NRCS FARM PLAN NING</t>
  </si>
  <si>
    <t>MPS</t>
  </si>
  <si>
    <t>MRO</t>
  </si>
  <si>
    <t>MNT</t>
  </si>
  <si>
    <t>MNC</t>
  </si>
  <si>
    <t>MHD</t>
  </si>
  <si>
    <t>MBS</t>
  </si>
  <si>
    <t>MFT</t>
  </si>
  <si>
    <t>MPO</t>
  </si>
  <si>
    <t>MHP</t>
  </si>
  <si>
    <t>MHX</t>
  </si>
  <si>
    <t>0 gives no output, KFL &gt; 0 gives output for selected files; there are 43 possible output files, this line has 20 variable fields, variable space.  For example:</t>
  </si>
  <si>
    <t xml:space="preserve">4 columns wide.  So for a desired file, enter a 1, right justified, in the appropriate </t>
  </si>
  <si>
    <t>File</t>
  </si>
  <si>
    <t>Name</t>
  </si>
  <si>
    <t>1 | 0</t>
  </si>
  <si>
    <t>*.EXT</t>
  </si>
  <si>
    <t>|&lt;-</t>
  </si>
  <si>
    <t>SCRP1(30)</t>
  </si>
  <si>
    <t>Not used</t>
  </si>
  <si>
    <t>SCRP1(29)</t>
  </si>
  <si>
    <t>SCRP1(28)</t>
  </si>
  <si>
    <t>SCRP1(27)</t>
  </si>
  <si>
    <t>SCRP1(26)</t>
  </si>
  <si>
    <t>SCRP1(25)</t>
  </si>
  <si>
    <t>SCRP1(24)</t>
  </si>
  <si>
    <t>SCRP1(23)</t>
  </si>
  <si>
    <t>SCRP1(22)</t>
  </si>
  <si>
    <t>SCRP1(21)</t>
  </si>
  <si>
    <t>SCRP1(20)</t>
  </si>
  <si>
    <t>SCRP1(19)</t>
  </si>
  <si>
    <t>SCRP1(18)</t>
  </si>
  <si>
    <t>SCRP1(17)</t>
  </si>
  <si>
    <t>SCRP1(16)</t>
  </si>
  <si>
    <t>SCRP1(15)</t>
  </si>
  <si>
    <t>SCRP1(14)</t>
  </si>
  <si>
    <t>SCRP1(13)</t>
  </si>
  <si>
    <t>SCRP1(12)</t>
  </si>
  <si>
    <t>SCRP1(11)</t>
  </si>
  <si>
    <t>SCRP1(10)</t>
  </si>
  <si>
    <t>SCRP1(9)</t>
  </si>
  <si>
    <t>SCRP1(8)</t>
  </si>
  <si>
    <t>SCRP1(7)</t>
  </si>
  <si>
    <t>SCRP1(6)</t>
  </si>
  <si>
    <t>SCRP1(5)</t>
  </si>
  <si>
    <t>SCRP1(4)</t>
  </si>
  <si>
    <t>SCRP1(3)</t>
  </si>
  <si>
    <t>SCRP1(2)</t>
  </si>
  <si>
    <t>SCRP1(1)</t>
  </si>
  <si>
    <t>S-curve parameter definitions</t>
  </si>
  <si>
    <t>SCRP1</t>
  </si>
  <si>
    <t>PARM definitions</t>
  </si>
  <si>
    <t>PARM(n)</t>
  </si>
  <si>
    <t>LINE 36</t>
  </si>
  <si>
    <t>LINE 37</t>
  </si>
  <si>
    <t>LINE 38</t>
  </si>
  <si>
    <t>LINE 39</t>
  </si>
  <si>
    <t>LINE 40</t>
  </si>
  <si>
    <t>LINE 41</t>
  </si>
  <si>
    <t>COIR</t>
  </si>
  <si>
    <t>COL</t>
  </si>
  <si>
    <t>FULP</t>
  </si>
  <si>
    <t>WAGE</t>
  </si>
  <si>
    <t xml:space="preserve">                                              </t>
  </si>
  <si>
    <t>LINES 31-39     FORMAT:  TEN (10) FIELDS OF EIGHT (8) COLUMNS PER FIELD INCLUDING UP TO TWO (2) DECIMAL PLACES (FLOATING)</t>
  </si>
  <si>
    <t>ID</t>
  </si>
  <si>
    <t>File Name</t>
  </si>
  <si>
    <t>DAY</t>
  </si>
  <si>
    <t>File Name:</t>
  </si>
  <si>
    <t>Description:</t>
  </si>
  <si>
    <t>LUN</t>
  </si>
  <si>
    <t>IAUI</t>
  </si>
  <si>
    <t>IAUF</t>
  </si>
  <si>
    <t>IAMF</t>
  </si>
  <si>
    <t>ISPF</t>
  </si>
  <si>
    <t>ILQF</t>
  </si>
  <si>
    <t>IAUL</t>
  </si>
  <si>
    <t>YEAR</t>
  </si>
  <si>
    <t xml:space="preserve">MONTH </t>
  </si>
  <si>
    <t>OPV1</t>
  </si>
  <si>
    <t>OPV2</t>
  </si>
  <si>
    <t>OPV3</t>
  </si>
  <si>
    <t>OPV4</t>
  </si>
  <si>
    <t>OPV5</t>
  </si>
  <si>
    <t>OPV6</t>
  </si>
  <si>
    <t>OPV7</t>
  </si>
  <si>
    <t>Subarea ID number (cols. 1-8; INTEGER)</t>
  </si>
  <si>
    <t>Description of the subarea (cols. 9-28; ALPHA)</t>
  </si>
  <si>
    <t>Feeding area</t>
  </si>
  <si>
    <t>Manure application area (Range: -10000 to 10000)</t>
  </si>
  <si>
    <t>CN-CN2 code  (Range: 0-4)</t>
  </si>
  <si>
    <t>Input daily weather station number</t>
  </si>
  <si>
    <t>Point source number</t>
  </si>
  <si>
    <t>Outflow release method (Range: 0-10000)</t>
  </si>
  <si>
    <t>Land Use Number (Range: 1-35)</t>
  </si>
  <si>
    <t>Minimum Interval between Auto Mow (days) (Range: 0-365)</t>
  </si>
  <si>
    <t>Water content of snow on ground at start of simulation</t>
  </si>
  <si>
    <t>Initial standing dead crop residue t/ha. (Range: 0-1000)</t>
  </si>
  <si>
    <t>Azimuth Orientation of Land Slope (degrees clockwise from North)</t>
  </si>
  <si>
    <t xml:space="preserve">Watershed (drainage) area Size is in (ha).  </t>
  </si>
  <si>
    <t xml:space="preserve">Distance from outlet to most distant point on watershed (Channel length) </t>
  </si>
  <si>
    <t xml:space="preserve">Depth of the channel in meters. </t>
  </si>
  <si>
    <t xml:space="preserve">Mainstream channel slope (m/m).  </t>
  </si>
  <si>
    <t xml:space="preserve">Manning’s N for channel.  </t>
  </si>
  <si>
    <t xml:space="preserve">Manning’s N for Upland  </t>
  </si>
  <si>
    <t>Fraction of floodplain flow. (Range: 0-1)</t>
  </si>
  <si>
    <t>Fraction of Subarea which is Urban. (Range:  0-1)</t>
  </si>
  <si>
    <t xml:space="preserve">Channel Length of Routing Reach in km </t>
  </si>
  <si>
    <t xml:space="preserve">Channel Depth of Routing Reach in meters. </t>
  </si>
  <si>
    <t xml:space="preserve">Bottom Width of Channel of Routing Reach in meters </t>
  </si>
  <si>
    <t xml:space="preserve">Top Width of Channel of Routing Reach in meters </t>
  </si>
  <si>
    <t xml:space="preserve">Channel Slope of Routing Reach in m/m.  </t>
  </si>
  <si>
    <t xml:space="preserve">Channel Manning’s N of Routing Reach </t>
  </si>
  <si>
    <t>USLE Crop Management Channel (C) Factor (Range is 0.0001 - 0.6)</t>
  </si>
  <si>
    <t>USLE Erodibility Channel (K) Factor ( Range is 0.0001 - 0.5)</t>
  </si>
  <si>
    <t xml:space="preserve">Floodplain length  Length of buffer/ floodplain in km.  </t>
  </si>
  <si>
    <t xml:space="preserve">Elevation at emergency spillway (meters) </t>
  </si>
  <si>
    <t xml:space="preserve">Total reservoir surface area at emergency spillway elevation (RSEE)  in ha.  </t>
  </si>
  <si>
    <t xml:space="preserve">Elevation at principal spillway (m)  </t>
  </si>
  <si>
    <t xml:space="preserve">Total reservoir surface area at principal spillway elevation (RSEP) in ha. </t>
  </si>
  <si>
    <t xml:space="preserve">Volume at principal spillway elevation in mm.  </t>
  </si>
  <si>
    <t xml:space="preserve">Initial reservoir volumes in mm.  </t>
  </si>
  <si>
    <t xml:space="preserve">Average principal spillway release rate in days. </t>
  </si>
  <si>
    <t xml:space="preserve">Initial sediment concentration in reservoirs in ppm  </t>
  </si>
  <si>
    <t xml:space="preserve">Normal sediment concentration in reservoirs in ppm.  </t>
  </si>
  <si>
    <t xml:space="preserve">Hydraulic conductivity of reservoir bottoms in mm/h.  </t>
  </si>
  <si>
    <t>Time for Sediment Concentrations to Return to Normal (Range: 0-365)</t>
  </si>
  <si>
    <t xml:space="preserve">Bulk density of sediment in reservoir (t/m3)  </t>
  </si>
  <si>
    <t>Fraction of subarea controlled by ponds. (Range: 0-1)</t>
  </si>
  <si>
    <t>Fraction of the Subarea controlled by Buffers. (Range: 0-1)</t>
  </si>
  <si>
    <t xml:space="preserve">Buffer Flow Length (m) </t>
  </si>
  <si>
    <t>Rigidity of  Irrigation Code  (Range: 0-1)</t>
  </si>
  <si>
    <t>Minimum application interval for automatic irrigation. (Range: 0-365)</t>
  </si>
  <si>
    <t>Minimum fertilizer application interval for auto option (Range: 0-365)</t>
  </si>
  <si>
    <t>Liming Code    (Range: 0-1)</t>
  </si>
  <si>
    <t>Furrow Dike Code (Range: 0-1)</t>
  </si>
  <si>
    <t xml:space="preserve">Fertigation Fertilizer from Lagoon.   </t>
  </si>
  <si>
    <t xml:space="preserve">Automatic Solid Manure Application from Feeding Area Stock Pile.   </t>
  </si>
  <si>
    <t xml:space="preserve">Automatic Solid Manure Application </t>
  </si>
  <si>
    <t xml:space="preserve">Water stress factor to trigger automatic irrigation.   </t>
  </si>
  <si>
    <t>Runoff Vol/Vol Irrigation Water Applied. (Range: 0-1)</t>
  </si>
  <si>
    <t xml:space="preserve">Maximum annual irrigation volume in mm.  </t>
  </si>
  <si>
    <t>Minimum single application volume in mm.</t>
  </si>
  <si>
    <t xml:space="preserve">N stress factor to trigger auto fertilization.   </t>
  </si>
  <si>
    <t xml:space="preserve">Maximum annual N fertilizer applied    </t>
  </si>
  <si>
    <t>Time requirement for drainage system to end plant stress in days. (Range: 0-365)</t>
  </si>
  <si>
    <t>Furrow Dike Safety Factor (Range: 0-1)</t>
  </si>
  <si>
    <t>Erosion control practice factor. (Range: 0-10)</t>
  </si>
  <si>
    <t>Fraction of Subarea controlled by lagoon. (Range: 0-1)</t>
  </si>
  <si>
    <t>Lagoon Volume Ratio  (Range: 0-1)</t>
  </si>
  <si>
    <t>Time to Reduce Lagoon Storage From Maximum to Normal  (Range: 0-365)</t>
  </si>
  <si>
    <t xml:space="preserve">Ratio Liquid/Total Manure Produced in this Feedlot Subarea.  </t>
  </si>
  <si>
    <t>Safety factor for lagoon design. (Range: 0-1)</t>
  </si>
  <si>
    <t>Feeding Area Stock Pile Auto Solid Manure Application Rate.  (kg/ha)</t>
  </si>
  <si>
    <t>Automatic Manure application rate.</t>
  </si>
  <si>
    <t>Factor to Adjust Automatic Irrigation Volume</t>
  </si>
  <si>
    <t>Irrigation Code (Range: 0-5)</t>
  </si>
  <si>
    <t xml:space="preserve">Lagoon Input From Wash Water (AvG  0.15) (Range: 0-1) (m3/animal unit/day). </t>
  </si>
  <si>
    <t xml:space="preserve">Reach Floodplain width ((WSA) X 10000) / (RFPL) X 1000)) (m).  </t>
  </si>
  <si>
    <t>Clockwise Angle of Field Length from North (Range: 0-360)</t>
  </si>
  <si>
    <t>Field Width in kilometers. (Range: 0.001-12)</t>
  </si>
  <si>
    <t>Field Length in kilometers. (Range: 0.001-12)</t>
  </si>
  <si>
    <t>Y Coordinate(Latitude) of subarea centroid. Negative south. (Range: -90 to 90)</t>
  </si>
  <si>
    <t>X Coordinate(Longitude) of subarea centroid. Negative west. (Range: -180 to 180)</t>
  </si>
  <si>
    <t>Extension:</t>
  </si>
  <si>
    <t>Longitude</t>
  </si>
  <si>
    <t>Latitude</t>
  </si>
  <si>
    <t>Y = x/[x+exp (b1-b2*x)]</t>
  </si>
  <si>
    <t>x4</t>
  </si>
  <si>
    <t>x1</t>
  </si>
  <si>
    <t>x2</t>
  </si>
  <si>
    <t>xx</t>
  </si>
  <si>
    <t>x6</t>
  </si>
  <si>
    <t>x5</t>
  </si>
  <si>
    <t>x</t>
  </si>
  <si>
    <t>Max</t>
  </si>
  <si>
    <t>SCRP2 =</t>
  </si>
  <si>
    <t>SALB:</t>
  </si>
  <si>
    <t>HSG:</t>
  </si>
  <si>
    <t>FFC:</t>
  </si>
  <si>
    <t>RFPK:</t>
  </si>
  <si>
    <t>RFTT:</t>
  </si>
  <si>
    <t>GWMX:</t>
  </si>
  <si>
    <t>GWST:</t>
  </si>
  <si>
    <t>WTBL:</t>
  </si>
  <si>
    <t>WTMX:</t>
  </si>
  <si>
    <t>WTMN:</t>
  </si>
  <si>
    <t>XCC:</t>
  </si>
  <si>
    <t>FHP:</t>
  </si>
  <si>
    <t>FBM:</t>
  </si>
  <si>
    <t>ZTK:</t>
  </si>
  <si>
    <t>ZF:</t>
  </si>
  <si>
    <t>ZQT:</t>
  </si>
  <si>
    <t>XIDK:</t>
  </si>
  <si>
    <t>RTN1:</t>
  </si>
  <si>
    <t>XIDS:</t>
  </si>
  <si>
    <t>TSLA:</t>
  </si>
  <si>
    <t>Onward, one column of data per soil layer (up to 10 layers)</t>
  </si>
  <si>
    <t>Z:</t>
  </si>
  <si>
    <t>BD:</t>
  </si>
  <si>
    <t>UW:</t>
  </si>
  <si>
    <t>FC:</t>
  </si>
  <si>
    <t>SAN :</t>
  </si>
  <si>
    <t>SIL :</t>
  </si>
  <si>
    <t>PH:</t>
  </si>
  <si>
    <t>SMB :</t>
  </si>
  <si>
    <t>WOC :</t>
  </si>
  <si>
    <t>CAC :</t>
  </si>
  <si>
    <t>CEC :</t>
  </si>
  <si>
    <t>ROK :</t>
  </si>
  <si>
    <t>CNDS:</t>
  </si>
  <si>
    <t>SSF :</t>
  </si>
  <si>
    <t>RSD :</t>
  </si>
  <si>
    <t>BDD :</t>
  </si>
  <si>
    <t>PSP :</t>
  </si>
  <si>
    <t>SATC:</t>
  </si>
  <si>
    <t>HCL :</t>
  </si>
  <si>
    <t>WPO :</t>
  </si>
  <si>
    <t>ECND:</t>
  </si>
  <si>
    <t>STFR:</t>
  </si>
  <si>
    <t>CPRV:</t>
  </si>
  <si>
    <t>CPRH:</t>
  </si>
  <si>
    <t>WLS :</t>
  </si>
  <si>
    <t>WLM :</t>
  </si>
  <si>
    <t>WLSL:</t>
  </si>
  <si>
    <t>WLSC:</t>
  </si>
  <si>
    <t>WLMC:</t>
  </si>
  <si>
    <t>WLSLC:</t>
  </si>
  <si>
    <t>WLSLNC:</t>
  </si>
  <si>
    <t>WBMC:</t>
  </si>
  <si>
    <t>WHSC:</t>
  </si>
  <si>
    <t>WHPC:</t>
  </si>
  <si>
    <t>WLSN:</t>
  </si>
  <si>
    <t>WLMN:</t>
  </si>
  <si>
    <t>WBMN:</t>
  </si>
  <si>
    <t>WHSN:</t>
  </si>
  <si>
    <t>WHPN:</t>
  </si>
  <si>
    <t>General soil properties (Common to all horizons)</t>
  </si>
  <si>
    <t># LAYER:</t>
  </si>
  <si>
    <t xml:space="preserve">   Depth from the soil surface to the bottom of the layer (m) (Range: 0.01-10)</t>
  </si>
  <si>
    <t xml:space="preserve">   Moist Bulk Density (Range: 0.5-2.5)(t/m3) ρb = MS/VT.Bulk density values should fall between 1.1 and 1.9 Mg/m3.</t>
  </si>
  <si>
    <t xml:space="preserve">   Soil water content at wilting point (Range: 0.01-.5) Soil water content at 1500 KPa or -15 bars (m/m) (0 if unknown).</t>
  </si>
  <si>
    <t xml:space="preserve">   Soil Water Content at field capacity (Range: 0.1-0.6) Soil water content at 33 KPa or -1/3 bars (m/m) (0 if unknown).</t>
  </si>
  <si>
    <t xml:space="preserve">   Sand Content (Range: 1-99) The percentage of soil particles which have a diameter between 2.0 and 0.05 mm.</t>
  </si>
  <si>
    <t xml:space="preserve">   Silt Content (Range: 1-99) The percentage of soil particles which have an equivalent diameter between 0.05 and 0.002 mm.</t>
  </si>
  <si>
    <t xml:space="preserve">   Initial organic N Concentration (Range: 100-5000) APEX will initialize levels of organic nitrogen. (g N/Mg or ppm) (0 if unknown).</t>
  </si>
  <si>
    <t xml:space="preserve">   Soil pH. (Range: 3-9) The pH of a solution in equilibrium with soil. </t>
  </si>
  <si>
    <t xml:space="preserve">   Sum of Bases (Range: 0-150) The sum of bases (Ca++, K+, etc.) on the cation exchange complex. (cmol/kg) (0 if unknown).</t>
  </si>
  <si>
    <t xml:space="preserve">   Organic carbon concentration (%).(Range: 0.1-10)</t>
  </si>
  <si>
    <t xml:space="preserve">   Calcium carbonate content of soil (%) (Range: 0-99) (Blank if unknown).</t>
  </si>
  <si>
    <t xml:space="preserve">   Cation exchange capacity (Range: 0-150) (cmol/kg) (0 if unknown).</t>
  </si>
  <si>
    <t xml:space="preserve">   Coarse fragment content (Range: 0-99) The percent of the sample which has a particle diameter &gt; 2 mm. (fraction) (0 if unknown).</t>
  </si>
  <si>
    <t xml:space="preserve">   Initial soluble N concentration (Range: 0.01-500) (g/Mg) (0 if unknown).</t>
  </si>
  <si>
    <t xml:space="preserve">   Initial soluble P concentration (Range: 0.01-500) (g/Mg) (0 if unknown).</t>
  </si>
  <si>
    <t xml:space="preserve">   Crop residue (Range: 0-20) The amount of biomass left in/on the soil from previous crops. (t/ha), (0 if unknown).</t>
  </si>
  <si>
    <t xml:space="preserve">   Dry Bulk density (oven dry) (Range: 0-2.0) Density of the soil after oven drying (t/m3). (0 if unknown)</t>
  </si>
  <si>
    <t xml:space="preserve">   Phosphorus sorption ratio. (Range: 0-0.9) The fraction of phosphorus adsorbed on soil particle surfaces (0 if unknown)</t>
  </si>
  <si>
    <t xml:space="preserve">   Saturated conductivity (Range: 0.00001-100) Rate at which water passes through the soil layer, when saturated. (mm/h). (0 if unknown)</t>
  </si>
  <si>
    <t xml:space="preserve">   Lateral hydraulic conductivity (Range: 0.00001-10) (mm/h) (0 if unknown).</t>
  </si>
  <si>
    <t xml:space="preserve">   Initial organic P concentration (Range: 50-1000) (dry weight basis) (g/t) (0 if unknown).</t>
  </si>
  <si>
    <t xml:space="preserve">   Exchangeable K Concentration (Range: 0-200) (g/t)</t>
  </si>
  <si>
    <t xml:space="preserve">   Electrical Conductivity (Range: 0-50) Conductivity of electricity through water or an extract of soil (mmho/cm)</t>
  </si>
  <si>
    <t xml:space="preserve">   Fraction of Storage Interacting With Nitrate Leaching (Range: 0.05-1) (0 if unknown)</t>
  </si>
  <si>
    <t xml:space="preserve">   Initial Soil Water Storage (Range: 0.001-1) Fraction of field capacity initially available at the start of the simulation.</t>
  </si>
  <si>
    <t xml:space="preserve">   Fraction inflow partitioned to vertical crack or pipe flow (Range: 0-0.5) (0 if unknown).</t>
  </si>
  <si>
    <t xml:space="preserve">   Fraction inflow partitioned to horizontal crack or pipe flow (Range: 0-0.5) (0 if unknown).</t>
  </si>
  <si>
    <t xml:space="preserve">   Structural litter (Range: 0-10000) contains all the lignin from plant residues and roots, fixed C/N ratio (kg/ha) (0 if unknown)</t>
  </si>
  <si>
    <t xml:space="preserve">   Metabolic litter (Range: 0-10000) Readily decomposable and water soluble organic matter. (kg/ha) (0 if unknown)</t>
  </si>
  <si>
    <t xml:space="preserve">   Lignin Content of Structural Litter (Range: 0-10000) (kg/ha) (0 if unknown)</t>
  </si>
  <si>
    <t xml:space="preserve">   Carbon Content of Structural Litter (Range: 0-10000) (kg/ha) (0 if unknown)</t>
  </si>
  <si>
    <t xml:space="preserve">   Carbon Content of Metabolic Litter (Range: 0-10000) (kg/ha) (0 if unknown)</t>
  </si>
  <si>
    <t xml:space="preserve">   Carbon Content of Lignin of Structural Litter (Range: 0-10000) (kg/ha) (0 if unknown)</t>
  </si>
  <si>
    <t xml:space="preserve">   Nitrogen Content of Lignin of Structural Litter (Range: 0-10000) (kg/ha) (0 if unknown)</t>
  </si>
  <si>
    <t xml:space="preserve">   Carbon Content of Biomass (Range: 0-10000) (kg/ha) (0 if unknown)</t>
  </si>
  <si>
    <t xml:space="preserve">   Carbon Content Slow Humus (Range: 0-10000) (kg/ha) (0 if unknown)</t>
  </si>
  <si>
    <t xml:space="preserve">   Carbon Content of Passive Humus (Range: 0-10000) (kg/ha) (0 if unknown)</t>
  </si>
  <si>
    <t xml:space="preserve">   Nitrogen Content of Structural Litter (Range: 0-10000) (kg/ha) (0 if unknown)</t>
  </si>
  <si>
    <t xml:space="preserve">   Nitrogen Content of Metabolic Litter (Range: 0-10000) (kg/ha) (0 if unknown)</t>
  </si>
  <si>
    <t xml:space="preserve">   Nitrogen Content of Biomass (Range: 0-10000) (kg/ha) (0 if unknown)</t>
  </si>
  <si>
    <t xml:space="preserve">   Nitrogen Content of Slow Humus (Range: 0-10000) (kg/ha) (0 if unknown)</t>
  </si>
  <si>
    <t xml:space="preserve">   Nitrogen Content of Passive Humus (Range: 0-10000) (kg/ha) (0 if unknown)</t>
  </si>
  <si>
    <t>Not enabled</t>
  </si>
  <si>
    <t>Owner ID #</t>
  </si>
  <si>
    <t>Shortcuts:</t>
  </si>
  <si>
    <t>Shift + Ctrl + G</t>
  </si>
  <si>
    <t>Shift + Ctrl + B</t>
  </si>
  <si>
    <r>
      <t xml:space="preserve">  Comes </t>
    </r>
    <r>
      <rPr>
        <b/>
        <sz val="11"/>
        <color theme="1"/>
        <rFont val="Calibri"/>
        <family val="2"/>
        <scheme val="minor"/>
      </rPr>
      <t>B</t>
    </r>
    <r>
      <rPr>
        <sz val="11"/>
        <color theme="1"/>
        <rFont val="Calibri"/>
        <family val="2"/>
        <scheme val="minor"/>
      </rPr>
      <t>ack home page (This Tab) from any other tab</t>
    </r>
  </si>
  <si>
    <r>
      <t xml:space="preserve">  </t>
    </r>
    <r>
      <rPr>
        <b/>
        <sz val="11"/>
        <color theme="1"/>
        <rFont val="Calibri"/>
        <family val="2"/>
        <scheme val="minor"/>
      </rPr>
      <t>G</t>
    </r>
    <r>
      <rPr>
        <sz val="11"/>
        <color theme="1"/>
        <rFont val="Calibri"/>
        <family val="2"/>
        <scheme val="minor"/>
      </rPr>
      <t>oes to selected input file (Active cell)</t>
    </r>
  </si>
  <si>
    <t>TAB NAME</t>
  </si>
  <si>
    <t xml:space="preserve">         DESCRIPTION</t>
  </si>
  <si>
    <t xml:space="preserve">Last date modified: </t>
  </si>
  <si>
    <t>A list of OPC/OPS files (management files).</t>
  </si>
  <si>
    <t>BUF</t>
  </si>
  <si>
    <t>SPECIAL FILE FOR BUFFER STRIPS (APEXBUF.OUT)</t>
  </si>
  <si>
    <t>FSA</t>
  </si>
  <si>
    <t>ANNUAL SUBAREA SPECIAL FSA (VB)</t>
  </si>
  <si>
    <t>SW4</t>
  </si>
  <si>
    <t>DAILY OUTPUT FOR SELECTED COMMAND #'S ICMO(FROM .SIT)</t>
  </si>
  <si>
    <t>FNAME</t>
  </si>
  <si>
    <t>SOILS FILE (FILENAME.SOL)</t>
  </si>
  <si>
    <t>DAILY WEATHER LIST FILE (WDLST*.DAT)</t>
  </si>
  <si>
    <t>MANAGEMENT FILE (FILENAME.OPC)</t>
  </si>
  <si>
    <t>DIMENSIONS FILE (APEXDIM.DAT)</t>
  </si>
  <si>
    <t xml:space="preserve">PRINT FILE  (PRINT*.DAT)  </t>
  </si>
  <si>
    <t xml:space="preserve">CONTROL FILE (APEXCONT.DAT)  </t>
  </si>
  <si>
    <t xml:space="preserve">RUN FILE (APEXRUN.DAT)  </t>
  </si>
  <si>
    <t xml:space="preserve">New File Name: </t>
  </si>
  <si>
    <t>&lt; - To create new file (Leave blank otherwise)</t>
  </si>
  <si>
    <t>Operation Code</t>
  </si>
  <si>
    <t>Crop category number</t>
  </si>
  <si>
    <t>Warm season annual legume</t>
  </si>
  <si>
    <t>Cold season annual legume</t>
  </si>
  <si>
    <t>Perennial legume</t>
  </si>
  <si>
    <t>Warm season annual</t>
  </si>
  <si>
    <t>Perennial</t>
  </si>
  <si>
    <t>Evergreen Tree crop</t>
  </si>
  <si>
    <t>Deciduous Tree crop</t>
  </si>
  <si>
    <t>Cotton</t>
  </si>
  <si>
    <t>Leguminous Tree Crop</t>
  </si>
  <si>
    <t>Unpalatable</t>
  </si>
  <si>
    <t>&lt; - To create new management files (Leave blank otherwise)</t>
  </si>
  <si>
    <t>APEX Folder:</t>
  </si>
  <si>
    <t>Maximum single application volume in mm</t>
  </si>
  <si>
    <t>LVx (HARDPAN).SOL</t>
  </si>
  <si>
    <t xml:space="preserve">File Name:  </t>
  </si>
  <si>
    <t xml:space="preserve">   LINES 1-30     FORMAT:  TWO (2) FIELDS OF EIGHT (8) COLUMNS PER FIELD INCLUDING UP TO THREE (3) DECIMAL PLACES (FLOATING)</t>
  </si>
  <si>
    <t xml:space="preserve">   Description</t>
  </si>
  <si>
    <t xml:space="preserve">   Definition, units and/or range.</t>
  </si>
  <si>
    <t xml:space="preserve">   Exponential coefficient used to account for rainfall intensity on curve number </t>
  </si>
  <si>
    <t xml:space="preserve">   Sediment routing travel time coefficient, (Range is from 0.5 - 10.) brings inflow sediment concentration to transport capacity concentration as a function of travel time and mean particle size.  (cols. 33-40)</t>
  </si>
  <si>
    <t xml:space="preserve">   Estimates drainage system lateral hydraulic conductivity (Range is from 0.1 – 10.0)  Drainage HCL is maximum of Parm 83 * vertical SC and APEX estimate considering drainage time and storage.</t>
  </si>
  <si>
    <t xml:space="preserve">   Coefficient regulating P flux between labile and active pool.  (Range is from 0.0001 – 0.001)  </t>
  </si>
  <si>
    <t xml:space="preserve">   Coefficient regulating P flux between active and stable pool.  (Range is from 0.0001 – 0.001)</t>
  </si>
  <si>
    <t xml:space="preserve">   Exponent of Crop Stress Temperature function  (Range is from 0.8 – 2.0)  Setting this parameter to 1 causes no effect.</t>
  </si>
  <si>
    <r>
      <t xml:space="preserve">|-&gt;   Subarea Type: </t>
    </r>
    <r>
      <rPr>
        <sz val="11"/>
        <color rgb="FFFF0000"/>
        <rFont val="Calibri"/>
        <family val="2"/>
        <scheme val="minor"/>
      </rPr>
      <t>Red</t>
    </r>
    <r>
      <rPr>
        <sz val="11"/>
        <color theme="1"/>
        <rFont val="Calibri"/>
        <family val="2"/>
        <scheme val="minor"/>
      </rPr>
      <t xml:space="preserve"> = Gets water | </t>
    </r>
    <r>
      <rPr>
        <sz val="11"/>
        <color rgb="FF0000FF"/>
        <rFont val="Calibri"/>
        <family val="2"/>
        <scheme val="minor"/>
      </rPr>
      <t>Blue</t>
    </r>
    <r>
      <rPr>
        <sz val="11"/>
        <color theme="1"/>
        <rFont val="Calibri"/>
        <family val="2"/>
        <scheme val="minor"/>
      </rPr>
      <t xml:space="preserve"> = Gives water  …         -&gt;|</t>
    </r>
  </si>
  <si>
    <t/>
  </si>
  <si>
    <t>APEXCONT.DAT</t>
  </si>
  <si>
    <t>CPV0</t>
  </si>
  <si>
    <t>CPH0</t>
  </si>
  <si>
    <t>Subarea ID supplying irrigation water from a reservoir</t>
  </si>
  <si>
    <t>Automatic Commercial P Fertilizer Application</t>
  </si>
  <si>
    <t xml:space="preserve">Automatic Commercial N ertilizer Application.   </t>
  </si>
  <si>
    <r>
      <t xml:space="preserve">LINE 1-3:   </t>
    </r>
    <r>
      <rPr>
        <i/>
        <sz val="10"/>
        <rFont val="Times New Roman"/>
        <family val="1"/>
      </rPr>
      <t xml:space="preserve">        COMMENTS - FORMAT:  FREE STRINGS</t>
    </r>
  </si>
  <si>
    <t>YLAT</t>
  </si>
  <si>
    <t>XLOG</t>
  </si>
  <si>
    <t>ELEV</t>
  </si>
  <si>
    <t>APM</t>
  </si>
  <si>
    <t>CO2X</t>
  </si>
  <si>
    <t>CQNX</t>
  </si>
  <si>
    <t>RFNX</t>
  </si>
  <si>
    <t>UPR</t>
  </si>
  <si>
    <t>UNR</t>
  </si>
  <si>
    <t>FIR0</t>
  </si>
  <si>
    <r>
      <t xml:space="preserve">LINE 4            </t>
    </r>
    <r>
      <rPr>
        <i/>
        <sz val="10"/>
        <rFont val="Times New Roman"/>
        <family val="1"/>
      </rPr>
      <t xml:space="preserve"> FORMAT:  10 FIELDS; EIGHT (8) COLUMNS PER FIELD INCLUDING  UP TO TWO DECIMAL PLACES (FLOATING)</t>
    </r>
  </si>
  <si>
    <r>
      <t xml:space="preserve">LINE 5            </t>
    </r>
    <r>
      <rPr>
        <i/>
        <sz val="10"/>
        <rFont val="Times New Roman"/>
        <family val="1"/>
      </rPr>
      <t>10 FIELDS; EIGHT (8) COLUMNS PER FIELD INCLUDING  UP TO TWO DECIMAL PLACES (FLOATING)</t>
    </r>
  </si>
  <si>
    <t>BCHL</t>
  </si>
  <si>
    <t>BCHS</t>
  </si>
  <si>
    <r>
      <t xml:space="preserve">LINE 6            </t>
    </r>
    <r>
      <rPr>
        <i/>
        <sz val="10"/>
        <rFont val="Times New Roman"/>
        <family val="1"/>
      </rPr>
      <t xml:space="preserve"> FORMAT: TWENTY (20) ALPHA CHARACTERS</t>
    </r>
  </si>
  <si>
    <r>
      <t xml:space="preserve">LINE 7            </t>
    </r>
    <r>
      <rPr>
        <i/>
        <sz val="10"/>
        <rFont val="Times New Roman"/>
        <family val="1"/>
      </rPr>
      <t xml:space="preserve"> FORMAT:  TWENTY (20) FIELDS; FOUR (4) COLUMNS PER FIELD (INTEGER)</t>
    </r>
  </si>
  <si>
    <t>WP1</t>
  </si>
  <si>
    <t>WP2</t>
  </si>
  <si>
    <t>WP3</t>
  </si>
  <si>
    <t>WP4</t>
  </si>
  <si>
    <t>WP5</t>
  </si>
  <si>
    <t>WP6</t>
  </si>
  <si>
    <t>WP7</t>
  </si>
  <si>
    <t>WP8</t>
  </si>
  <si>
    <t>WP9</t>
  </si>
  <si>
    <t>WP10</t>
  </si>
  <si>
    <r>
      <t xml:space="preserve">LINE 8            </t>
    </r>
    <r>
      <rPr>
        <i/>
        <sz val="10"/>
        <rFont val="Times New Roman"/>
        <family val="1"/>
      </rPr>
      <t xml:space="preserve"> FORMAT:  10 FIELDS; EIGHT (8) COLUMNS PER FIELD INCLUDING  UP TO TWO DECIMAL PLACES (FLOATING)</t>
    </r>
  </si>
  <si>
    <t>WSA1</t>
  </si>
  <si>
    <t>WSA2</t>
  </si>
  <si>
    <t>WSA3</t>
  </si>
  <si>
    <t>WSA4</t>
  </si>
  <si>
    <t>WSA5</t>
  </si>
  <si>
    <t>WSA6</t>
  </si>
  <si>
    <t>WSA7</t>
  </si>
  <si>
    <t>WSA8</t>
  </si>
  <si>
    <t>WSA9</t>
  </si>
  <si>
    <t>WSA10</t>
  </si>
  <si>
    <t>Comment 1:</t>
  </si>
  <si>
    <t>Comment 2:</t>
  </si>
  <si>
    <t>Comment 3:</t>
  </si>
  <si>
    <t>Includes input data for all operation schedules. (Also a valid extension .OPC)</t>
  </si>
  <si>
    <t>FILE NAME REFERENCE (APEXFILE.DAT)</t>
  </si>
  <si>
    <t>SUBAREA FILE (SUB0806.SUB)</t>
  </si>
  <si>
    <t xml:space="preserve">PARAMETERS FILE (PARM*.DAT)  </t>
  </si>
  <si>
    <t xml:space="preserve">APEX SITE FILES (SITE*.SIT) </t>
  </si>
  <si>
    <t>Elevation and/or Comment</t>
  </si>
  <si>
    <t xml:space="preserve">   </t>
  </si>
  <si>
    <t xml:space="preserve">   Run name and/or #number (provides a unique id for each run so that output files are not written over)</t>
  </si>
  <si>
    <t xml:space="preserve">   0 for normal run; &gt; 0 for runs using .SOT files</t>
  </si>
  <si>
    <t xml:space="preserve">   Within storm rainfall station number from RFDTLST.DAT</t>
  </si>
  <si>
    <t xml:space="preserve">SNUM  </t>
  </si>
  <si>
    <t xml:space="preserve">TITLE  </t>
  </si>
  <si>
    <t xml:space="preserve">  </t>
  </si>
  <si>
    <t xml:space="preserve">INPS  </t>
  </si>
  <si>
    <t xml:space="preserve">IOPS  </t>
  </si>
  <si>
    <t xml:space="preserve">IOW  </t>
  </si>
  <si>
    <t xml:space="preserve">II  </t>
  </si>
  <si>
    <t xml:space="preserve">IAPL  </t>
  </si>
  <si>
    <t xml:space="preserve">NVCN  </t>
  </si>
  <si>
    <t xml:space="preserve">IWTH  </t>
  </si>
  <si>
    <t xml:space="preserve">IPTS  </t>
  </si>
  <si>
    <t xml:space="preserve">ISAO  </t>
  </si>
  <si>
    <t xml:space="preserve">LUNS  </t>
  </si>
  <si>
    <t xml:space="preserve">IMW  </t>
  </si>
  <si>
    <t xml:space="preserve">FL  </t>
  </si>
  <si>
    <t xml:space="preserve">FW  </t>
  </si>
  <si>
    <t xml:space="preserve">ANGL  </t>
  </si>
  <si>
    <t xml:space="preserve">WSA  </t>
  </si>
  <si>
    <t xml:space="preserve">SLP   </t>
  </si>
  <si>
    <t xml:space="preserve">SPLG  </t>
  </si>
  <si>
    <t xml:space="preserve">FFPQ  </t>
  </si>
  <si>
    <t xml:space="preserve">URBF  </t>
  </si>
  <si>
    <t xml:space="preserve">RCHL  </t>
  </si>
  <si>
    <t xml:space="preserve">RCHC  </t>
  </si>
  <si>
    <t xml:space="preserve">RCHK  </t>
  </si>
  <si>
    <t xml:space="preserve">NIRR  </t>
  </si>
  <si>
    <t xml:space="preserve">IRR  </t>
  </si>
  <si>
    <t xml:space="preserve">IRI  </t>
  </si>
  <si>
    <t xml:space="preserve">IFA  </t>
  </si>
  <si>
    <t xml:space="preserve">LM  </t>
  </si>
  <si>
    <t xml:space="preserve">IFD  </t>
  </si>
  <si>
    <t xml:space="preserve">IDR  </t>
  </si>
  <si>
    <t xml:space="preserve">IDF1  </t>
  </si>
  <si>
    <t xml:space="preserve">IDF2  </t>
  </si>
  <si>
    <t xml:space="preserve">IDF3  </t>
  </si>
  <si>
    <t xml:space="preserve">IDF4  </t>
  </si>
  <si>
    <t xml:space="preserve">IDF5  </t>
  </si>
  <si>
    <t xml:space="preserve">IRRS  </t>
  </si>
  <si>
    <t xml:space="preserve">BIR  </t>
  </si>
  <si>
    <t xml:space="preserve">EFI  </t>
  </si>
  <si>
    <t xml:space="preserve">VIMX  </t>
  </si>
  <si>
    <t xml:space="preserve">ARMN  </t>
  </si>
  <si>
    <t xml:space="preserve">ARMX  </t>
  </si>
  <si>
    <t xml:space="preserve">BFT  </t>
  </si>
  <si>
    <t xml:space="preserve">FNP4  </t>
  </si>
  <si>
    <t xml:space="preserve">FMX  </t>
  </si>
  <si>
    <t xml:space="preserve">DRT  </t>
  </si>
  <si>
    <t xml:space="preserve">FDSF  </t>
  </si>
  <si>
    <t xml:space="preserve">PEC  </t>
  </si>
  <si>
    <t xml:space="preserve">DALG  </t>
  </si>
  <si>
    <t xml:space="preserve">VLGN  </t>
  </si>
  <si>
    <t xml:space="preserve">COWW  </t>
  </si>
  <si>
    <t xml:space="preserve">DDLG  </t>
  </si>
  <si>
    <t xml:space="preserve">SOLQ  </t>
  </si>
  <si>
    <t xml:space="preserve">SFLG  </t>
  </si>
  <si>
    <t xml:space="preserve">FNP2  </t>
  </si>
  <si>
    <t xml:space="preserve">FNP5  </t>
  </si>
  <si>
    <t xml:space="preserve">FIRG  </t>
  </si>
  <si>
    <t xml:space="preserve">XTP (1)  </t>
  </si>
  <si>
    <t xml:space="preserve">XTP (2)  </t>
  </si>
  <si>
    <t xml:space="preserve">XTP (3)  </t>
  </si>
  <si>
    <t xml:space="preserve">XTP (4)  </t>
  </si>
  <si>
    <t xml:space="preserve">XTP (5)  </t>
  </si>
  <si>
    <t xml:space="preserve">XTP (6)  </t>
  </si>
  <si>
    <t xml:space="preserve">XTP (7)  </t>
  </si>
  <si>
    <t xml:space="preserve">XTP (8)  </t>
  </si>
  <si>
    <t xml:space="preserve">XTP (9)  </t>
  </si>
  <si>
    <t xml:space="preserve">XTP(10)  </t>
  </si>
  <si>
    <t xml:space="preserve">  Leave Blank</t>
  </si>
  <si>
    <t xml:space="preserve">  Weather parameter number for spatial weather generation.</t>
  </si>
  <si>
    <t xml:space="preserve">  Fraction of watershed area (WSA) represented by weather station number selected above (IWPM). For spatial weather generation (Range: 0-1)</t>
  </si>
  <si>
    <t>LINE 43</t>
  </si>
  <si>
    <t>LINE 42</t>
  </si>
  <si>
    <t>Soil number from soil list (SOIL.DAT)</t>
  </si>
  <si>
    <t>Operation schedule from operation schedule list (OPSC.DAT)</t>
  </si>
  <si>
    <t>SOT</t>
  </si>
  <si>
    <t>PRINTS OUT .SOT FILES</t>
  </si>
  <si>
    <t>APEX Executable Name:</t>
  </si>
  <si>
    <t>IPRK</t>
  </si>
  <si>
    <t xml:space="preserve">   Select method to calculate percolation. IPRK = 0 FOR HPERC (original); IPRK &gt; 0 FOR HPERC1 (4MM Slug Flow)  (Range: 0-1)</t>
  </si>
  <si>
    <t xml:space="preserve">   Slope length / steepness factor</t>
  </si>
  <si>
    <t xml:space="preserve">   Interval for solid manure scraping (d)  (Range: 0-365)</t>
  </si>
  <si>
    <t xml:space="preserve">   Average concentration of nitrogen in rainfall  (ppm)</t>
  </si>
  <si>
    <t xml:space="preserve">   Carbon dioxide concentration in atmosphere (ppm)</t>
  </si>
  <si>
    <t xml:space="preserve">   Concentration of NO3-N in irrigation water in ppm (ppm)  (Range: 0-1000)</t>
  </si>
  <si>
    <t xml:space="preserve">   Grazing limit  (t/ha)</t>
  </si>
  <si>
    <t xml:space="preserve">   Salt Concentration in Irrigation Water (ppm)</t>
  </si>
  <si>
    <t xml:space="preserve">   Soluble Phosphorus Leaching KD value  (Range is from 1.0 – 15.0) This value is used in the Langemeier phosphorus leaching equations.  </t>
  </si>
  <si>
    <t xml:space="preserve">   Runoff Volume Adjustment for Direct Link (NVCN = 0) (Range is from 0.1 to 2.0)  Inversely related to runoff.  Used like Parm 42 in CN index method (NVCN = 4). </t>
  </si>
  <si>
    <t xml:space="preserve">   Flood Evaporation Limit (Range is from 0.001 – 1)  Allows for limiting of evaporation of flood waters during flooding. Regulates evaporation from channel and floodplain. </t>
  </si>
  <si>
    <t xml:space="preserve">   Nitrogen and Salt Upward movement by evaporation coefficient (Range is from 0.001 – 20.0) Regulates the upward movement of N and salt by evaporation.  </t>
  </si>
  <si>
    <t xml:space="preserve">   Water table recession coefficient  (Range is from 0.001 – 1.0)  </t>
  </si>
  <si>
    <t xml:space="preserve">   Partitions Nitrogen flow from groundwater (Range is from 0.0 – 20.0) Parm 74 = NCH/NCV.  RSFN = RSSF*NCH; DPKN = DPRK*NCV.  NCH = horizontal nitrogen concentration; NCV = vertical nitrogen concentration; RSFN = Subarea soluble N yield in return flow ; RSSF = Return subsurface flow ; DPKN = Soluble N in deep percolation; DPRK = Deep percolation. </t>
  </si>
  <si>
    <t xml:space="preserve">   Volatilization/nitrification partitioning coefficient (Range is from 0.05 - 0.5).  </t>
  </si>
  <si>
    <t xml:space="preserve">   Microbial decay rate coefficient (Range is from 0.5 - 1.5).  Adjusts soil water-temperature-oxygen equation. </t>
  </si>
  <si>
    <t xml:space="preserve">   Coefficient adjusts microbial activity function in the top soil layer, (Range is from 0.1 - 1).   </t>
  </si>
  <si>
    <t xml:space="preserve">   Soil water Upward Flow Limit (Range is from 0.05 – 0.95) Limits water tension ratio used to move water from a lower layer to the one above it.  </t>
  </si>
  <si>
    <t xml:space="preserve">   Winter dormancy (h) (Range is from 0 - 1) causes dormancy in winter grown crops. Growth does not occur when day length is less than annual minimum day length + parm(6). </t>
  </si>
  <si>
    <t xml:space="preserve">   Root growth-soil strength (Range is from 1 - 2).  Normally 1.15&lt;parm(2)&lt;1.2.  Set to 1.5 to minimize soil strength constraint on root growth. Setting Parm(2)&gt;2 eliminates all root growth stress.  </t>
  </si>
  <si>
    <t xml:space="preserve">   Crop canopy-PET (Range is from 1 - 2) factor used to adjust crop canopy resistance in the Penman-Monteith PET equation.  </t>
  </si>
  <si>
    <t xml:space="preserve">   Water stress-harvest index (Range is from 0 - 1) sets fraction of growing season when water stress starts reducing harvest index.</t>
  </si>
  <si>
    <t xml:space="preserve">   Pest damage cover threshold, (t/ha), (Range is from 1 - 10), crop residue + above ground biomass.  This is the amount of cover required for pests to begin to grow.  Setting parm 10 at a large number (50) will result in little or no pest growth because it will be impossible to reach such high levels of cover.  One of several parameters used to regulate pest growth.  See also parm 9, PSTX in the control file, PST in the crop file and SCRP (9).  </t>
  </si>
  <si>
    <t xml:space="preserve">   Moisture required for seed germination, (mm), (Range is from 10 - 30), soil water stored minus wilting point storage in the plow depth (plow layer depth = parm(43)).  If the amount of moisture in the plow layer is not equal to or greater than Parm 11, germination will not occur.  Setting this parm to a negative number such as (-100) essentially turns this parm off and the seed will germinate regardless of moisture amount in the soil. </t>
  </si>
  <si>
    <t xml:space="preserve">   Soil evaporation coefficient, (Range is from 1.5 - 2.5), governs rate of soil evaporation from top 0.2 m of soil.  </t>
  </si>
  <si>
    <t xml:space="preserve">   Wind erodibility coefficient, (Range is from 0 - 3), adjusts wind soil erodibility factor downward as loose material is eroded.  </t>
  </si>
  <si>
    <t xml:space="preserve">   Nitrate leaching ratio, (Range is from 0.1 - 1), Ratio of nitrate concentration in surface runoff to nitrate concentration in percolate.  </t>
  </si>
  <si>
    <t xml:space="preserve">   Runoff CN Residue Adjustment Parameter (Range is from 0.0 - 0.3).  Increases runoff for RSD &lt; 1.0 t/ha;  Decreases for RSD &gt; 1.0 t/ha.  </t>
  </si>
  <si>
    <t xml:space="preserve">   Expands CN retention parameter (Range is from 1.0 - 1.5).  Values &gt; 1.0 expand CN retention and reduce runoff. </t>
  </si>
  <si>
    <t xml:space="preserve">   Soil evaporation – plant cover factor (Range is from 0.00 - 0.5).  Reduces effect of plant cover as related to LAI in regulating soil evaporation.  </t>
  </si>
  <si>
    <t xml:space="preserve">   Sediment routing exponent (Range is from 1 - 1.5) exponent of water velocity function for estimating potential sediment concentration.  </t>
  </si>
  <si>
    <t xml:space="preserve">   Sediment routing coefficient, (t/m3)( Range is from 0.01 - 0.05) potential sediment concentration when flow velocity = 1.   (m/s).  </t>
  </si>
  <si>
    <t xml:space="preserve">   Runoff curve number initial abstraction (Range is from 0.05 - 0.4) </t>
  </si>
  <si>
    <t xml:space="preserve">   Soluble Carbon adsorption Coefficient (0.1m3/t) (Range is from 10 - 20).  Carbon concentration in sediment divided by that in water. </t>
  </si>
  <si>
    <t xml:space="preserve">   Reduces NRCS Runoff CN Retention Parameter for Frozen Soil.  (Range is from 0.05 – 0.5)  Fraction of S (Retention Parameter) Frozen Soil  </t>
  </si>
  <si>
    <t xml:space="preserve">   Hargreaves PET equation coefficient (Range is from 0.0023 - 0.0032), original value = 0.0023, current value = 0.0032 </t>
  </si>
  <si>
    <t xml:space="preserve">   Pesticide leaching ratio (Range is from 0.1 - 1) Ratio of pesticide concentration in surface runoff to pesticide concentration in percolation. </t>
  </si>
  <si>
    <t xml:space="preserve">   Fraction of maturity at spring growth initiation (Range is from 0 - 1) allows fall growing crops to reset heat unit index to a value greater than 0 when passing through the minimum temperature month. </t>
  </si>
  <si>
    <t xml:space="preserve">   CEC effect on nitrification &amp; volatilization (Range is from 0 - 1) sets lower limit of CEC correction factor in nit/vol function. At 0 CEC should prevent nit/vol process. At 1 CEC has no effect on nit/vol.  </t>
  </si>
  <si>
    <t xml:space="preserve">   Upper Nitrogen Fixation limit (Range is from 0.1 – 20) This value sets the upper daily limit of nitrogen fixation by legumes. (kg/ha/day)</t>
  </si>
  <si>
    <t xml:space="preserve">   Biological mixing efficiency (Range is from 0.1 - 0.5) simulates mixing in top soil by earth worms etc. Parm (31) sets depth for this action.  </t>
  </si>
  <si>
    <t xml:space="preserve">   Maximum depth for biological mixing, (m), (Range is from 0.1 - 0.3)  </t>
  </si>
  <si>
    <t xml:space="preserve">   Organic P loss exponent, (Range is from 1 - 1.2)  Provides nonlinear effect for organic P loss equation. </t>
  </si>
  <si>
    <t xml:space="preserve">   Coefficient in MUST EQ (Range is from 2.0 – 3.0).  Original value = 2.5. </t>
  </si>
  <si>
    <t xml:space="preserve">   Hargreaves PET equation exponent (Range is from 0.5 - 0.6) original value=0.5. Modified to 0.6 to increase PET. </t>
  </si>
  <si>
    <t xml:space="preserve">   Upper Limit of Daily Denitrification rate (Range is from 0.0001 – 0.5)  Maximum fraction of NO3 in a soil layer subject to denitrification. </t>
  </si>
  <si>
    <t xml:space="preserve">   Exponent in Delivery Ratio for SWAT Output  (Range is from 0.1 – 0.6)  Tranforms APEX small watershed sediment yield to 8-digit basin sediment yield for SWAT input.  Normally 0.5—lower values increase sediment yield to SWAT </t>
  </si>
  <si>
    <t xml:space="preserve">   Water stress weighting coefficient (Range is from  0 - 1) at 0 plant water stress is strictly a function of soil water content; at 1 plant water stress is strictly a function of actual ET divided by potential ET. 0&lt;parm 38&lt;1 considers both approaches. See also SCRP 17.  </t>
  </si>
  <si>
    <t xml:space="preserve">   Puddling Saturated Conductivity (mm/h) (Range is from 0.00001 – 0.1)  Simulates puddling in rice paddies by setting second soil layer saturated conductivity to a low value. </t>
  </si>
  <si>
    <t xml:space="preserve">   Groundwater storage threshold (Range is from 0.001 - 1.) fraction of groundwater storage that initiates return flow.  Return flow will not occur unless the fraction of maximum groundwater storage &gt; Parm 40. </t>
  </si>
  <si>
    <t xml:space="preserve">   Plant root temperature stress exponent (Range is from 0.1 - 2.) exponent of ratio of soil layer temperature to average of plant optimal and base temperatures. </t>
  </si>
  <si>
    <t xml:space="preserve">   SCS curve number index coefficient (Range is from 0.3 -2.5) regulates the effect of PET in driving the SCS curve number retention parameter. </t>
  </si>
  <si>
    <t xml:space="preserve">   Plow layer depth (m) used to track soluble phosphorus concentration or weight, organic carbon, and soil water content.</t>
  </si>
  <si>
    <t xml:space="preserve">   Upper Limit of Curve Number Retention Parameter S(Range is from 1.0 - 2.0)   SUL=PARM(44)*S1.   Allows CN to go below CN1. </t>
  </si>
  <si>
    <t xml:space="preserve">   RUSLE C-factor coefficient (Range is from 0.5 - 1.5) coefficient in exponential residue function in residue factor.  </t>
  </si>
  <si>
    <t xml:space="preserve">   RUSLE C-factor coefficient (Range is from 0.5 - 1.5) coefficient in exponential crop height function in biomass factor. </t>
  </si>
  <si>
    <t xml:space="preserve">   Maximum rainfall interception by plant canopy (mm) (Range is from 0.0 - 15.0)  </t>
  </si>
  <si>
    <t xml:space="preserve">   Rainfall interception coefficient, (Range is from 0.05 - 0.3)  </t>
  </si>
  <si>
    <t xml:space="preserve">   Water stored in litter (residue) coefficient (Range is from 0.1 - 0.9).  Fraction of litter weight.  </t>
  </si>
  <si>
    <t xml:space="preserve">   Exponential coefficient in EQUATION expressing tillage effect on residue decay rate (Range is from 5.0 – 15.0)  </t>
  </si>
  <si>
    <t xml:space="preserve">   Coefficient in oxygen EQUATION used in modifying microbial activity with soil depth (Range is from 0.8 - 0.95)  See also SCRP 20.    </t>
  </si>
  <si>
    <t xml:space="preserve">   N enrichment ratio coefficient for routing (Range is from 0.3 - 0.9)  GLEAMS equation  ERTO = min (3.5, Parm 54/CIN Parm 55) </t>
  </si>
  <si>
    <t xml:space="preserve">   N enrichment ratio exponent for routing (Range is from 0.1 - 0.3)   Used for GLEAMS equation. </t>
  </si>
  <si>
    <t xml:space="preserve">   Fraction destroyed by burn operation (Range is from 0.5 -1.0)  </t>
  </si>
  <si>
    <t xml:space="preserve">   P enrichment ratio coefficient for routing (Range is from 0.05 – 2.0)  GLEAMS equation  ERTP = Parm 57 / (CY) Parm 58) </t>
  </si>
  <si>
    <t xml:space="preserve">   P enrichment ratio exponent for routing (Range is from 0.3 - 0.9)   Used for GLEAMS equation. </t>
  </si>
  <si>
    <t xml:space="preserve">   P upward movement by evaporation coefficient (Range is from 1 - 20)  </t>
  </si>
  <si>
    <t xml:space="preserve">   Maximum number of days a pasture is grazed before rotation (Range is from 1 - 365)  </t>
  </si>
  <si>
    <t xml:space="preserve">   Manure erosion equation coefficient, (Range is from 0.1 - 0.5) larger values increase manure erosion.  </t>
  </si>
  <si>
    <t xml:space="preserve">   N Enrichment Ratio for Delivery to SWAT, (Range is from 0.8 - 1.2) Enrichment ratio for application to 8-digit sediment yield supplied to SWAT. </t>
  </si>
  <si>
    <t xml:space="preserve">   Dust distribution coefficient, (Range is from 0.5 - 1.5) affects downwind travel time.  </t>
  </si>
  <si>
    <t xml:space="preserve">   RUSLE2 transport capacity parameter (Range is from 0.001 - 0.1) Regulates deposition as a function of particle size and flow rate. </t>
  </si>
  <si>
    <t xml:space="preserve">   RUSLE2 threshold transport capacity coefficient (Range is from 1.0-10.0) Adjusts threshold (FLOW RATE * SLOPE STEEPNESS)  </t>
  </si>
  <si>
    <t xml:space="preserve">   Dust distribution dispersion exponent (Range is from 5.0 - 15.0) modifies the effect of the angle between the wind direction and the centroid of downwind subareas.   </t>
  </si>
  <si>
    <t xml:space="preserve">   Manure erosion exponent  (Range is from 0.1 - 1.0) modifies equation based on weight of manure on soil surface.  </t>
  </si>
  <si>
    <t xml:space="preserve">   Manure erosion coefficient (Range is from 1.0 -1.5).  Modifies erosion estimate based on above ground plant material. Plant material (live and dead) reduces manure erosion.  </t>
  </si>
  <si>
    <t xml:space="preserve">   P Enrichment Ratio for Delivery to SWAT   (Range is from 0.05 - 1.5).  Enrichment ratio for application to 8-digit sediment yield supplied to SWAT</t>
  </si>
  <si>
    <t xml:space="preserve">   Standing Dead fall rate coefficient (Range is from 0.0001 – 0.1).  Governs rate of standing dead conversion to flat residue</t>
  </si>
  <si>
    <t xml:space="preserve">   Runoff amount to delay pest application (mm) (Range is from 0.0 – 25.0).  Pesticide is not applied on days with runoff greater than Parm 77. </t>
  </si>
  <si>
    <t xml:space="preserve">   Soil water value to delay tillage (Range is from 0 – 1) Tillage is delayed when PDSW/FCSW&gt;Parm 78.  PDSW = Plow depth soil water content; FCSW = Field capacity soil water content. </t>
  </si>
  <si>
    <t xml:space="preserve">   Auto mow lower limit (t/ha) (Range is from 0.2 – 3.0)  This parameter will prevent auto mowing by setting the above ground plant material that must be present in order for the model to allow auto mowing to occur.  If the amount of above ground plant material is less than or equal the value set for Parm 79, the model will not allow auto mowing to occur until the amount of plant material is greater than Parm 79.  </t>
  </si>
  <si>
    <t xml:space="preserve">   Upper Limit of Nitrification-Volatilization (Range is from 0.0 – 0.5)  Fraction of NH3 present. </t>
  </si>
  <si>
    <t xml:space="preserve">   Technology Coefficient (Range is from 0.0 – 0.01)  Linear adjustment to harvest index—base year = 2000 </t>
  </si>
  <si>
    <t xml:space="preserve">   Limits daily water table movement  (Range is from 0.001 – 1.0)  Fraction of difference between WTBL and WTMN or WTMX.  </t>
  </si>
  <si>
    <t xml:space="preserve">   Water table recession exponent  (Range is from 0.1 – 0.9)  Exponent of day of year/365 </t>
  </si>
  <si>
    <t xml:space="preserve">   Water Erosion Threshold (Range is from 0 – 10).  (t/ha) This parameter sets a threshold which enables the model to count the number of water erosion events that are greater than the set threshold. </t>
  </si>
  <si>
    <t xml:space="preserve">   Wind Erosion Threshold (Range is from 0 – 10).  (t/ha) This parameter sets a threshold which enables the model to count the number of wind erosion events that are greater than the set threshold. </t>
  </si>
  <si>
    <t xml:space="preserve">   Cost of Irrigation Water ($/mm) </t>
  </si>
  <si>
    <t xml:space="preserve">   Cost of Lime ($/tonne) </t>
  </si>
  <si>
    <t xml:space="preserve">   Cost of Fuel ($/liter) </t>
  </si>
  <si>
    <t xml:space="preserve">   Cost of Labor ($/hour) </t>
  </si>
  <si>
    <t>SCRP2</t>
  </si>
  <si>
    <t xml:space="preserve">CHD   </t>
  </si>
  <si>
    <t xml:space="preserve">CHL   </t>
  </si>
  <si>
    <t xml:space="preserve">CHS   </t>
  </si>
  <si>
    <t xml:space="preserve">CHN   </t>
  </si>
  <si>
    <t xml:space="preserve">UPN   </t>
  </si>
  <si>
    <t xml:space="preserve">RCHD   </t>
  </si>
  <si>
    <t xml:space="preserve">RCBW   </t>
  </si>
  <si>
    <t xml:space="preserve">RCTW   </t>
  </si>
  <si>
    <t xml:space="preserve">RCHS   </t>
  </si>
  <si>
    <t xml:space="preserve">RCHN   </t>
  </si>
  <si>
    <t xml:space="preserve">RFPW   </t>
  </si>
  <si>
    <t xml:space="preserve">RFPL   </t>
  </si>
  <si>
    <t>Artificial drainage systems depth in mm (Range: 0-2500)</t>
  </si>
  <si>
    <t xml:space="preserve">NY (1)  </t>
  </si>
  <si>
    <t xml:space="preserve">NY (2)  </t>
  </si>
  <si>
    <t xml:space="preserve">NY (3)  </t>
  </si>
  <si>
    <t xml:space="preserve">NY (4)  </t>
  </si>
  <si>
    <t xml:space="preserve">NY (5)  </t>
  </si>
  <si>
    <t xml:space="preserve">NY (6)  </t>
  </si>
  <si>
    <t xml:space="preserve">NY (7)  </t>
  </si>
  <si>
    <t xml:space="preserve">NY (8)  </t>
  </si>
  <si>
    <t xml:space="preserve">NY (9)  </t>
  </si>
  <si>
    <t xml:space="preserve">NY(10)  </t>
  </si>
  <si>
    <t xml:space="preserve">  Latitude of watershed in decimal degrees used to estimate day length (S-, N+). (Range: -90 to 90)</t>
  </si>
  <si>
    <t xml:space="preserve">  Longitude of watershed in decimal degrees (Range:-180 to 180)             </t>
  </si>
  <si>
    <t xml:space="preserve">  Average watershed elevation (m) (Range: -200 to 8000)</t>
  </si>
  <si>
    <t xml:space="preserve">  Peak runoff rate – rainfall energy adjustment factor for fine tuning the energy factor water erosion. (Range: 0-1)</t>
  </si>
  <si>
    <t xml:space="preserve">  Concentration of NO3 in irrigation water. Non-zero value overrides the CQN input in the APEXCONT.DAT.   (Range: 0-1000)(ppm)  </t>
  </si>
  <si>
    <t xml:space="preserve">  Average concentration of Nitrogen in rainfall (ppm) (Range: 0.5-1.5)</t>
  </si>
  <si>
    <t xml:space="preserve">  Manure application rate to supply P uptake rate (kg/ha/yr) (Range: 0-1000)</t>
  </si>
  <si>
    <t xml:space="preserve">  Manure application rate to supply N uptake rate in kg/ha/yr  (Range: 0-1000)</t>
  </si>
  <si>
    <t xml:space="preserve">  Factor to adjust auto irrigation volume </t>
  </si>
  <si>
    <t xml:space="preserve">  SWAT Basin Channel Length in kilometers </t>
  </si>
  <si>
    <t xml:space="preserve">  SWAT Basin Channel Slope in m/m </t>
  </si>
  <si>
    <t xml:space="preserve">  CO2 Concentration in the atmosphere (ppm) (Range: 0-1000)</t>
  </si>
  <si>
    <t xml:space="preserve">Number of days above threshold for water erosion </t>
  </si>
  <si>
    <t xml:space="preserve">Number of days above threshold for wind erosion </t>
  </si>
  <si>
    <t>ºC</t>
  </si>
  <si>
    <r>
      <t>º</t>
    </r>
    <r>
      <rPr>
        <sz val="10"/>
        <color theme="1"/>
        <rFont val="Times New Roman"/>
        <family val="1"/>
      </rPr>
      <t>C</t>
    </r>
  </si>
  <si>
    <t>Defaults</t>
  </si>
  <si>
    <t>Auto fert fixed application rate (kg/ha)</t>
  </si>
  <si>
    <t>IREM</t>
  </si>
  <si>
    <t>WON:</t>
  </si>
  <si>
    <t>SWST:</t>
  </si>
  <si>
    <t>DHN:</t>
  </si>
  <si>
    <t>GWSP</t>
  </si>
  <si>
    <t xml:space="preserve">  Ground water slope (m/m)</t>
  </si>
  <si>
    <t>DUMMY</t>
  </si>
  <si>
    <t>MRH</t>
  </si>
  <si>
    <t>MGZ</t>
  </si>
  <si>
    <t>DNC</t>
  </si>
  <si>
    <t>DHS</t>
  </si>
  <si>
    <t>DGN</t>
  </si>
  <si>
    <t>DPD</t>
  </si>
  <si>
    <t>MONTHLY REACH FILE ANNUAL GIS REACH FILE FOR SELECTED COMMAND #'S ICMO(FROM .SIT)</t>
  </si>
  <si>
    <t>MONTHLY GRAZING FILE</t>
  </si>
  <si>
    <t xml:space="preserve">DAILY NITROGEN/CARBON CESAR IZAURRALDE </t>
  </si>
  <si>
    <t xml:space="preserve">DAILY HYDROLOGY/SOIL                                                             </t>
  </si>
  <si>
    <t>DAILY GENERAL OUTPUT (VAR AFTER COMMAND LOOP IN BSIM)</t>
  </si>
  <si>
    <t xml:space="preserve">DAILY PADDY OUTPUT </t>
  </si>
  <si>
    <t xml:space="preserve">   Floodplain saturated hydraulic conductivity adjustment factor (0.1-10)</t>
  </si>
  <si>
    <t xml:space="preserve">   NOT USED</t>
  </si>
  <si>
    <t>|&lt;-----                    Best Set of Selected Variables                    -----&gt;|</t>
  </si>
  <si>
    <t xml:space="preserve">Select up to 80 items from Table 2.9 below. </t>
  </si>
  <si>
    <t>|&lt;-----          I_APEX Settings          -----&gt;|</t>
  </si>
  <si>
    <t>IHAY</t>
  </si>
  <si>
    <t xml:space="preserve">   Number of  Years for Simulation Duration </t>
  </si>
  <si>
    <t xml:space="preserve">   Beginning Year of Simulation</t>
  </si>
  <si>
    <t xml:space="preserve">   Beginning Month of Simulation </t>
  </si>
  <si>
    <t xml:space="preserve">   Beginning Day of Simulation </t>
  </si>
  <si>
    <t xml:space="preserve">   Print Code for Type of Output </t>
  </si>
  <si>
    <t xml:space="preserve">   Input Code for Weather Variables </t>
  </si>
  <si>
    <t xml:space="preserve">   Number of Times Random Number Generator Cycles Before Simulations Starts </t>
  </si>
  <si>
    <t xml:space="preserve">   Day Weather Generator Stops Generating Daily Weather </t>
  </si>
  <si>
    <t xml:space="preserve">   Leap Year Considered (Range: 0-1)</t>
  </si>
  <si>
    <t xml:space="preserve">   Potential Evapotranspiration Equation Code</t>
  </si>
  <si>
    <t xml:space="preserve">   Stochastic CN Estimator Code</t>
  </si>
  <si>
    <t xml:space="preserve">   Peak Rate Estimate Code </t>
  </si>
  <si>
    <t xml:space="preserve">   Static Soil Code</t>
  </si>
  <si>
    <t xml:space="preserve">   Automatic Heat Unit Scheduling </t>
  </si>
  <si>
    <t xml:space="preserve">   Non-varying CN-CN2 Used (Range: 0-4)</t>
  </si>
  <si>
    <t xml:space="preserve">   Runoff (Q) Estimation Methodology (Range: 0-4)</t>
  </si>
  <si>
    <t xml:space="preserve">   Pesticide Output in Mass and Concentration (Range: 0-1)</t>
  </si>
  <si>
    <t xml:space="preserve">   Enrichment Ratio Method </t>
  </si>
  <si>
    <t xml:space="preserve">   Soluble Phosphorus Runoff Estimate Equation  (Range: 0-2)</t>
  </si>
  <si>
    <t xml:space="preserve">   N and P plant uptake concentration code (Range: 0-1)</t>
  </si>
  <si>
    <t xml:space="preserve">   Manure application code </t>
  </si>
  <si>
    <t xml:space="preserve">   Day of year to trigger lagoon pumping  (Range: 0-365)</t>
  </si>
  <si>
    <t xml:space="preserve">   Air Quality Analysis   (Range: 0-1)</t>
  </si>
  <si>
    <t xml:space="preserve">   Flood Routing  (Range: 0-2)</t>
  </si>
  <si>
    <t xml:space="preserve">   Atmospheric CO2   (Range: 0-2)</t>
  </si>
  <si>
    <t xml:space="preserve">   Field Capacity/Wilting Point Estimation   (Range: 0-5)</t>
  </si>
  <si>
    <t xml:space="preserve">   Number of times generator seeds are initialized for a site  (Range: 1-100)</t>
  </si>
  <si>
    <t xml:space="preserve">   Data Directory (Range: 0-1)</t>
  </si>
  <si>
    <t xml:space="preserve">   Minimum Interval between auto mow </t>
  </si>
  <si>
    <t xml:space="preserve">   O2 – depth function  (Range: 0-1)</t>
  </si>
  <si>
    <t xml:space="preserve">   Denitrification subprogram (Range: 0-1)</t>
  </si>
  <si>
    <t xml:space="preserve">   Latitude source (Range: 0-1)</t>
  </si>
  <si>
    <t xml:space="preserve">   Auto-Phosphorus Switch  (Range: 0-1)</t>
  </si>
  <si>
    <t xml:space="preserve">   Grazing Mode  (Range: 0-2)</t>
  </si>
  <si>
    <t xml:space="preserve">   Pest damage scaling factor (Range: 0-10)</t>
  </si>
  <si>
    <t xml:space="preserve">   Number years of maximum monthly 0.5 hour rainfall available. </t>
  </si>
  <si>
    <t xml:space="preserve">   COEF (0-1) governing wet-dry probabilities given days of rain.  </t>
  </si>
  <si>
    <t xml:space="preserve">   Parameter used to modify exponential rainfall amount distribution </t>
  </si>
  <si>
    <t xml:space="preserve">   Channel Capacity Flow Rate </t>
  </si>
  <si>
    <t xml:space="preserve">   Exponent in watershed area flow rate equation (Range: 0.4-0.6)</t>
  </si>
  <si>
    <t xml:space="preserve">   Average upland slope (m/m) in watershed (Range: 0.001-0.7)</t>
  </si>
  <si>
    <t xml:space="preserve">   Equation for Water Erosion   (Range: 0-7)</t>
  </si>
  <si>
    <t xml:space="preserve">   Fraction of subareas controlled by ponds  (Range: 0-1)</t>
  </si>
  <si>
    <t xml:space="preserve">   Fraction inflow partitioned to verticle crack or pipe flow  (Range: 0-1)</t>
  </si>
  <si>
    <t xml:space="preserve">   Fraction inflow partitioned to horizontal crack or pipe flow  (Range: 0-0.9)</t>
  </si>
  <si>
    <t xml:space="preserve">   Power Parameter of Modified Exponential Distribution of Wind Speed (if wind erosion is to be considered) </t>
  </si>
  <si>
    <t xml:space="preserve">   Soil Particle Diameter(if wind erosion is to be considered)</t>
  </si>
  <si>
    <t xml:space="preserve">   Wind Erosion Adjustment Factor</t>
  </si>
  <si>
    <t xml:space="preserve">   Number of years of cultivation at start of simulation </t>
  </si>
  <si>
    <t xml:space="preserve">   Linear coefficient of change in rainfall from east to west (PI/PO/KM) (Range: 0-1)</t>
  </si>
  <si>
    <t xml:space="preserve">   Linear coefficient of change in rainfall from south to north (PI/PO/KM) (Range: 0-1)</t>
  </si>
  <si>
    <t xml:space="preserve">   Time interval for flood routing (hours)(Range: 0.5-12)</t>
  </si>
  <si>
    <t xml:space="preserve">   Routing Threshold (mm) – VSC routing used when QVOL&gt;QTH   (Range: 0-200000)</t>
  </si>
  <si>
    <t xml:space="preserve">   VSC Routing used when reach storage &gt; STND (Range: 0-200000)</t>
  </si>
  <si>
    <t xml:space="preserve">   Channel bottom width/depth in m/m; Channel flow rate (QG) &gt; 0. (Range: 1-20)</t>
  </si>
  <si>
    <t xml:space="preserve">   Floodplain width/channel width in m/m  (Range: 2-50)</t>
  </si>
  <si>
    <t xml:space="preserve">   Maximum ground water storage in mm  (Range: 5-200)</t>
  </si>
  <si>
    <t xml:space="preserve">   Return Flow / (Return Flow + Deep Percolation) (Range: 0-1)  Setting this value closer to 1.0 means more flow will be partitioned to return flow.</t>
  </si>
  <si>
    <t xml:space="preserve">   Saturated Conductivity adjustment factor </t>
  </si>
  <si>
    <t xml:space="preserve">   Field length (if wind erosion is to be considered) in kilometers</t>
  </si>
  <si>
    <t xml:space="preserve">   Field width (if wind erosion is to be considered) in kilometers </t>
  </si>
  <si>
    <t xml:space="preserve">   Clockwise angle of field length from north (if wind erosion is to be considered)</t>
  </si>
  <si>
    <t xml:space="preserve">   Water storage N leaching (Range is from 0 - 1) fraction of soil porosity that interacts with percolating water as nitrogen leaching occurs. </t>
  </si>
  <si>
    <t xml:space="preserve">   Soil water lower limit (Range is from 0 - 1) lower limit of water content in the top 0.5 m soil depth expressed as a fraction of the wilting point water content.  </t>
  </si>
  <si>
    <t xml:space="preserve">   N fixation (Range is from 0 - 1) at 1, fixation is limited by soil water or nitrate content or by crop growth stage. At 0 fixation meets crop nitrogen uptake demand. A combination of the two previously described scenarios is obtained by setting 0 &lt; parm(7) &lt; 1. </t>
  </si>
  <si>
    <t xml:space="preserve">   Soluble phosphorus runoff coefficient. (0.1m3/t), (Range is from 10 - 20). P concentration in sediment divided by that of the water. </t>
  </si>
  <si>
    <t xml:space="preserve">   Pest damage moisture threshold, (mm), (Range is from 25 - 150), previous 30-day rainfall minus runoff.  One of several parameters used to regulate pest growth.  See also parm 10, PSTX in the control file, PST in the crop file and SCRP (9).  </t>
  </si>
  <si>
    <t>SITE LIST FILE (SITE*.DAT)</t>
  </si>
  <si>
    <t>WIND LIST FILE (WIND*.DAT)</t>
  </si>
  <si>
    <t>WEATHER LIST FILE (WPM1*.DAT)</t>
  </si>
  <si>
    <t>SOIL LIST FILE (SOIL*.DAT)</t>
  </si>
  <si>
    <t>OPSC FILE FILE (OPSC*.DAT)</t>
  </si>
  <si>
    <t>A list of SITE files (Location files).</t>
  </si>
  <si>
    <t>SUBAREAS LIST FILE (SITE*.DAT)</t>
  </si>
  <si>
    <t>A list of SOIL files (*.SOL files).</t>
  </si>
  <si>
    <t>A list of SUBAREA files (*.SUB files).</t>
  </si>
  <si>
    <r>
      <t>APEX_</t>
    </r>
    <r>
      <rPr>
        <b/>
        <sz val="12"/>
        <rFont val="Calibri"/>
        <family val="2"/>
        <scheme val="minor"/>
      </rPr>
      <t>MAIN</t>
    </r>
    <r>
      <rPr>
        <sz val="12"/>
        <rFont val="Calibri"/>
        <family val="2"/>
        <scheme val="minor"/>
      </rPr>
      <t>.HOME</t>
    </r>
  </si>
  <si>
    <t xml:space="preserve">   Site file number (SITE*.SIT); must be one of the sites listed in the SITELIST.DAT file.</t>
  </si>
  <si>
    <t xml:space="preserve">   Subarea file number (SUB*.SUB); must be one of the subarea files listed in the SUBALIST.DAT file.</t>
  </si>
  <si>
    <t xml:space="preserve">   Monthly weather station file number (WPM1*.WPM); must be one of the stations in the WPM1US.dat file; if left blank, APEX will use the latitude and longitude from ISIT to choose a station with a latitude and longitude closest to the latitude and longitude identified in the ISIT.</t>
  </si>
  <si>
    <t xml:space="preserve">   Wind Station file number (WND*.WND); must be one of the stations in the WINDUS.dat file; if left blank, APEX will use the lat and long from ISIT to choose a station.</t>
  </si>
  <si>
    <t>Note/Description</t>
  </si>
  <si>
    <t xml:space="preserve">Main | Home - APPX Editor Rev.1706 for APEX1501 </t>
  </si>
  <si>
    <t>Suggested limits</t>
  </si>
  <si>
    <t>MONTH</t>
  </si>
  <si>
    <t>SRADm (J/m2)</t>
  </si>
  <si>
    <t>TMAX (°C)</t>
  </si>
  <si>
    <t>TMIN (°C)</t>
  </si>
  <si>
    <t>PRCP (mm)</t>
  </si>
  <si>
    <t>WIND (m/s)</t>
  </si>
  <si>
    <t>DATE</t>
  </si>
  <si>
    <t>Min =</t>
  </si>
  <si>
    <t>Max =</t>
  </si>
  <si>
    <t xml:space="preserve">APEX DAILY WEATHER FILES (*.DLY) </t>
  </si>
  <si>
    <t>SRAD (J/m2)</t>
  </si>
  <si>
    <t>January</t>
  </si>
  <si>
    <t>February</t>
  </si>
  <si>
    <t>March</t>
  </si>
  <si>
    <t>April</t>
  </si>
  <si>
    <t>May</t>
  </si>
  <si>
    <t>June</t>
  </si>
  <si>
    <t>July</t>
  </si>
  <si>
    <t>August</t>
  </si>
  <si>
    <t>September</t>
  </si>
  <si>
    <t>October</t>
  </si>
  <si>
    <t>November</t>
  </si>
  <si>
    <t>December</t>
  </si>
  <si>
    <t xml:space="preserve">APEX MONTHLY WEATHER FILES (*.WP1) </t>
  </si>
  <si>
    <t>SDTMX</t>
  </si>
  <si>
    <t>SDTMN</t>
  </si>
  <si>
    <t>Average monthly maximum air temperature °C</t>
  </si>
  <si>
    <t>Average monthly minimum air temperature °C</t>
  </si>
  <si>
    <t>Monthly average standard deviation of daily maximum temperature °C</t>
  </si>
  <si>
    <t>Monthly average standard deviation of daily minimum temperature °C</t>
  </si>
  <si>
    <t>Average monthly precipitation mm</t>
  </si>
  <si>
    <t>Monthly standard deviation of daily precipitation mm. May be left zero if unknown or daily rainfall is input</t>
  </si>
  <si>
    <t>Monthly skew coefficient for daily precipitation. May be left zero if unknown or daily rainfall is input</t>
  </si>
  <si>
    <t>Monthly probability of wet day after dry day. May be left zero if unknown or daily rainfall is input.</t>
  </si>
  <si>
    <t>Monthly probability of wet day after wet day. May be left zero if unknown or daily rainfall is input.</t>
  </si>
  <si>
    <t>Average number days of rain per month days. May be left zero if rainfall is generated and wet/dry probabilities are input</t>
  </si>
  <si>
    <t>Monthly max 0.5h rainfall (3 options); (mm). Monthly maximum .5 hour rainfall (mm) for period in YWI. Alpha (Mean 0.5 hour rain/mean storm amount). May be left blank or zero if unknown.</t>
  </si>
  <si>
    <t xml:space="preserve">Average  monthly solar radiation (3 options); mJ/m2 or Langley (mJ/m2 = 0 .0419*LY). May be left blank or zero if unknown.         </t>
  </si>
  <si>
    <t>Monthly average relative humidity (fraction). 1. Average Monthly relative humidity (Fraction, e.g. 0.75) 2. Average Monthly dew point temp °C. 3. Blanks or zeros if unknown. May be left zero unless a PENMAN equation is used to estimate potential evaporation see variable IET.</t>
  </si>
  <si>
    <t>Average monthly wind speed m/s (not needed here - see WND)</t>
  </si>
  <si>
    <t xml:space="preserve">              Description:</t>
  </si>
  <si>
    <t>Variable:</t>
  </si>
  <si>
    <t xml:space="preserve">DIR1  </t>
  </si>
  <si>
    <t xml:space="preserve">DIR2  </t>
  </si>
  <si>
    <t xml:space="preserve">DIR3  </t>
  </si>
  <si>
    <t xml:space="preserve">DIR4  </t>
  </si>
  <si>
    <t xml:space="preserve">DIR5  </t>
  </si>
  <si>
    <t xml:space="preserve">DIR6  </t>
  </si>
  <si>
    <t xml:space="preserve">DIR7  </t>
  </si>
  <si>
    <t xml:space="preserve">DIR8  </t>
  </si>
  <si>
    <t xml:space="preserve">DIR9  </t>
  </si>
  <si>
    <t xml:space="preserve">DIR10 </t>
  </si>
  <si>
    <t xml:space="preserve">DIR11 </t>
  </si>
  <si>
    <t xml:space="preserve">DIR12 </t>
  </si>
  <si>
    <t xml:space="preserve">DIR13 </t>
  </si>
  <si>
    <t xml:space="preserve">DIR14 </t>
  </si>
  <si>
    <t xml:space="preserve">DIR15 </t>
  </si>
  <si>
    <t xml:space="preserve">DIR16 </t>
  </si>
  <si>
    <t xml:space="preserve">Average monthly wind speed m/s. Wind speed is measured at a 10m height. To convert 2m height wind speed to a 10m height equivalent multiply the 2m height speed by 1.3. </t>
  </si>
  <si>
    <t>Monthly % wind from North - Ignored if wind erosion is not estimated.</t>
  </si>
  <si>
    <t>Monthly % wind from North North East - Ignored if wind erosion is not estimated.</t>
  </si>
  <si>
    <t>Monthly % wind from North East - Ignored if wind erosion is not estimated.</t>
  </si>
  <si>
    <t>Monthly % wind from East North East - Ignored if wind erosion is not estimated.</t>
  </si>
  <si>
    <t>Monthly % wind from East - Ignored if wind erosion is not estimated.</t>
  </si>
  <si>
    <t>Monthly % wind from East South East - Ignored if wind erosion is not estimated.</t>
  </si>
  <si>
    <t>Monthly % wind from South East - Ignored if wind erosion is not estimated.</t>
  </si>
  <si>
    <t>Monthly % wind from South South East - Ignored if wind erosion is not estimated.</t>
  </si>
  <si>
    <t>Monthly % wind from South - Ignored if wind erosion is not estimated.</t>
  </si>
  <si>
    <t>Monthly % wind from South South West - Ignored if wind erosion is not estimated.</t>
  </si>
  <si>
    <t>Monthly % wind from South West - Ignored if wind erosion is not estimated.</t>
  </si>
  <si>
    <t>Monthly % wind from West South West - Ignored if wind erosion is not estimated.</t>
  </si>
  <si>
    <t>Monthly % wind from West - Ignored if wind erosion is not estimated.</t>
  </si>
  <si>
    <t>Monthly % wind from West North West - Ignored if wind erosion is not estimated.</t>
  </si>
  <si>
    <t>Monthly % wind from North West. - Ignored if wind erosion is not estimated</t>
  </si>
  <si>
    <t>Monthly % wind from North North West - Ignored if wind erosion is not estimated.</t>
  </si>
  <si>
    <t xml:space="preserve">APEX MONTHLY WIND FILES (*.WND) </t>
  </si>
  <si>
    <t>UAVM</t>
  </si>
  <si>
    <t>OBMX</t>
  </si>
  <si>
    <t>OBMN</t>
  </si>
  <si>
    <t>RMO</t>
  </si>
  <si>
    <t>RST2</t>
  </si>
  <si>
    <t>RST3</t>
  </si>
  <si>
    <t>PRW1</t>
  </si>
  <si>
    <t>PRW2</t>
  </si>
  <si>
    <t>DAYP</t>
  </si>
  <si>
    <t>WI</t>
  </si>
  <si>
    <t>OBSL</t>
  </si>
  <si>
    <t>RH</t>
  </si>
  <si>
    <t>UAV0</t>
  </si>
  <si>
    <t>Historical daily weather data.</t>
  </si>
  <si>
    <t>Monthly weather statistics of a single weather station.</t>
  </si>
  <si>
    <t>Monthly wind weather statistics of a single wind weather station.</t>
  </si>
  <si>
    <t>.exe</t>
  </si>
  <si>
    <t xml:space="preserve">Dimension variables for various arrays.  </t>
  </si>
  <si>
    <t xml:space="preserve">Control file—specifies run length, option selections, defaults, etc.  </t>
  </si>
  <si>
    <t>Rows of data organized by run name and numbers identifying site, weather , wind station and subarea files.</t>
  </si>
  <si>
    <t>Includes the control data for printing select output variables in *.OUT file and other summary files.</t>
  </si>
  <si>
    <t>A list of daily weather stations and their corresponding latitude and longitude  which can be used in creating runs.</t>
  </si>
  <si>
    <t xml:space="preserve">A list of monthly weather stations, ordered by weather station number.  </t>
  </si>
  <si>
    <t xml:space="preserve">A list of wind stations, ordered by wind weather station number. </t>
  </si>
  <si>
    <t xml:space="preserve">A study may involve several sites (fields, farms, or watersheds), which can be listed in SITE*.DAT </t>
  </si>
  <si>
    <t>No.</t>
  </si>
  <si>
    <t>OPERATION</t>
  </si>
  <si>
    <t>Plowing/Other (IHC = 0)</t>
  </si>
  <si>
    <t>Harvest Crops (IHC = 2)</t>
  </si>
  <si>
    <t>Harvest Trees (IHC = 3)</t>
  </si>
  <si>
    <t>Seeding/Sowing (IHC = 5)</t>
  </si>
  <si>
    <t>Planting/Transplanting (IHC = 6)</t>
  </si>
  <si>
    <t>Bagging &amp; Ties (IHC = 10)</t>
  </si>
  <si>
    <t>Ginning (IHC = 11)</t>
  </si>
  <si>
    <t>Hauling (IHC = 12)</t>
  </si>
  <si>
    <t>Drying (IHC = 13)</t>
  </si>
  <si>
    <t>Burn (IHC = 14)</t>
  </si>
  <si>
    <t>Start Puddle Rice Paddy  (IHC = 15)</t>
  </si>
  <si>
    <t>Stop Puddle rice Paddy  (IHC = 16)</t>
  </si>
  <si>
    <t>Build Furrow Dikes (IHC = 17)</t>
  </si>
  <si>
    <t>Remove Furrow Dikes (IHC = 18)</t>
  </si>
  <si>
    <t>Start Grazing (IHC = 19)</t>
  </si>
  <si>
    <t>Stop Grazing (IHC = 20)</t>
  </si>
  <si>
    <t>Scrape Manure  (IHC = 21)</t>
  </si>
  <si>
    <t>Auto Mow (IHC = 22)</t>
  </si>
  <si>
    <t>Put Plastic Cover (IHC = 23)</t>
  </si>
  <si>
    <t>Remove Plastic Cover (IHC = 24)</t>
  </si>
  <si>
    <t>Start Drainage System (IHC = 25)</t>
  </si>
  <si>
    <t>Stop Drainage System (IHC = 26)</t>
  </si>
  <si>
    <t>Liming (IHC = 27)</t>
  </si>
  <si>
    <t>PLANT ID</t>
  </si>
  <si>
    <t>TILLAGE ID</t>
  </si>
  <si>
    <t>MACHINE ID</t>
  </si>
  <si>
    <t>Apply Pesticide (IHC = 7)</t>
  </si>
  <si>
    <t>Irrigate (IHC = 8)</t>
  </si>
  <si>
    <t>Fertilize (IHC = 9)</t>
  </si>
  <si>
    <t>Stop Crop Cycle (IHC = 1)</t>
  </si>
  <si>
    <t>Operation</t>
  </si>
  <si>
    <t xml:space="preserve">  A list of site files, ordered by number and associated file name</t>
  </si>
  <si>
    <t xml:space="preserve">  A list of subareas, ordered by number and associated file name</t>
  </si>
  <si>
    <t xml:space="preserve">  A list of monthly weather stations, ordered by number and associated file name</t>
  </si>
  <si>
    <t xml:space="preserve">  A list of wind stations, ordered by number and associated file name</t>
  </si>
  <si>
    <t xml:space="preserve">  A list of crops and the associated crop parameters to simulate crop growth</t>
  </si>
  <si>
    <t xml:space="preserve">  A list of field operations (equipment) and the associated tillage input data</t>
  </si>
  <si>
    <t xml:space="preserve">  A list of pesticides and the associated input data</t>
  </si>
  <si>
    <t xml:space="preserve">  A list of fertilizers and the associated input data</t>
  </si>
  <si>
    <t xml:space="preserve">  A list of soil files, ordered by number and associated file name</t>
  </si>
  <si>
    <t xml:space="preserve">  A list of available operation schedules, ordered by number and associated file name</t>
  </si>
  <si>
    <t xml:space="preserve">  Data for TR55 runoff estimation,Equation parameters and coefficients</t>
  </si>
  <si>
    <t xml:space="preserve">  Provides information for multiple runs at the same site</t>
  </si>
  <si>
    <t xml:space="preserve">  For printing select variables in the .OUT file and select other output files</t>
  </si>
  <si>
    <t xml:space="preserve">  Includes parameters for simulating herds of animals and grazing</t>
  </si>
  <si>
    <t xml:space="preserve">  A list of point source files, ordered by number and associated file name</t>
  </si>
  <si>
    <t xml:space="preserve">  A list of sub-daily interval weather stations</t>
  </si>
  <si>
    <t>Start Irrigation (IHC = 8)</t>
  </si>
  <si>
    <t>Stop Irrigation (IHC = 8)</t>
  </si>
  <si>
    <t xml:space="preserve">  A list of less-than-daily interval (hourly, quarter hourly, etc.) weather stations.</t>
  </si>
  <si>
    <t>EXTC</t>
  </si>
  <si>
    <t>SNO</t>
  </si>
  <si>
    <t>STDO</t>
  </si>
  <si>
    <t>YCT</t>
  </si>
  <si>
    <t>XCT</t>
  </si>
  <si>
    <t>AZM</t>
  </si>
  <si>
    <t>RSEE</t>
  </si>
  <si>
    <t>RSAE</t>
  </si>
  <si>
    <t>RSEP</t>
  </si>
  <si>
    <t>RSAP</t>
  </si>
  <si>
    <t>RSV</t>
  </si>
  <si>
    <t>RSRR</t>
  </si>
  <si>
    <t>RSYS</t>
  </si>
  <si>
    <t>RSYN</t>
  </si>
  <si>
    <t>RSDP</t>
  </si>
  <si>
    <t>RSBD</t>
  </si>
  <si>
    <t>PCOF</t>
  </si>
  <si>
    <t>BCOF</t>
  </si>
  <si>
    <t>BFFL</t>
  </si>
  <si>
    <t>Grazer numbers for grazing area</t>
  </si>
  <si>
    <t>Grazing limit for each grazer (t/ha) (Overrides GZL0 &amp; YTP)</t>
  </si>
  <si>
    <t>SCRP1(31)</t>
  </si>
  <si>
    <t>SCRP1(32)</t>
  </si>
  <si>
    <t>SCRP1(33)</t>
  </si>
  <si>
    <t>SCRP1(34)</t>
  </si>
  <si>
    <t>SCRP1(35)</t>
  </si>
  <si>
    <t xml:space="preserve">  Expresses the effect of soil course fragment content on (n=1,2) plant root growth restriction. X = % course fragment.</t>
  </si>
  <si>
    <t xml:space="preserve">  Governs soil evaporation as a function of soil depth. X = soil depth(mm)</t>
  </si>
  <si>
    <t xml:space="preserve">  Drives harvest index development as a function of crop maturity. X = % of growing season.</t>
  </si>
  <si>
    <t xml:space="preserve">  Nrcs runoff curve number soil water relationship. Exception to normal s-curve procedure--soil water fractions  taken from scrp(25,n) to match with cn2 and cn3(average and wet condition runoff curve numbers).</t>
  </si>
  <si>
    <t xml:space="preserve">  Estimates soil cover factor used in simulating soil temperature. X = total above ground plant material dead and live.</t>
  </si>
  <si>
    <t xml:space="preserve">  Settles after tillage soil bulk density to normal value as a function of rainfall amount, soil texture, and soil depth. X = rainfall(mm) adjusted for soil texture and depth.</t>
  </si>
  <si>
    <t xml:space="preserve">  Determines the root growth aeration stress factor as a function of soil water content and the critical aeration factor for the crop. X = soil water-critical aeration factor.</t>
  </si>
  <si>
    <t xml:space="preserve">  Determines the plant stress caused by n or p deficiency. X = % of optimal n or p content present in plant.</t>
  </si>
  <si>
    <t xml:space="preserve">  Calculates the pest damage factor as a function of temperature, considering thresholds for 30-day rainfall and above ground plant material. X = sum of daily minimum temperature with rainfall adjustment.</t>
  </si>
  <si>
    <t xml:space="preserve">  Calculates the effect of water stress on harvest index as a function of plant water use. X = plant water use during critical period.</t>
  </si>
  <si>
    <t xml:space="preserve">  Governs P use by plants as a function of soil P concentration. X = soil labile P concentration.</t>
  </si>
  <si>
    <t xml:space="preserve">  Governs N volatilization as a function of soil depth. X = depth at the center of a soil layer(mm).</t>
  </si>
  <si>
    <t xml:space="preserve">  Calculates wind erosion vegetative cover factor as a function of above ground plant material. X = vegetative equivalent(c1*biom+c2*std+c3*rsd). Where c1, c2, and c3 are coefficients, biom is above ground biomass, std is standing dead plant residue, and rsd is flat residue.</t>
  </si>
  <si>
    <t xml:space="preserve">  Calculates soil temperature factor used in regulating microbial processes. X = soil temperature(c).</t>
  </si>
  <si>
    <t xml:space="preserve">  Estimates plant population effect on usle c factor. X = plant population (p/m^2) </t>
  </si>
  <si>
    <t xml:space="preserve">  Increases snow melt as a function of time since the last snowfall. X = time since the last snowfall(d)</t>
  </si>
  <si>
    <t xml:space="preserve">  Component of the plant water stress factor based on soil water content. X = ratio of root zone soil water content to plant available water storage volume.</t>
  </si>
  <si>
    <t xml:space="preserve">  Adjusts cn2 as a function of upland slope steepness. X = upland slope (%).</t>
  </si>
  <si>
    <t xml:space="preserve">  Regulates feedlot dust emission based on moisture content of litter.  X = water in litter/weight of litter.</t>
  </si>
  <si>
    <t xml:space="preserve">  Simulates oxygen content of soil as a function of depth. Used in microbial processes of residue decay. X = depth to center of each soil layer(m)</t>
  </si>
  <si>
    <t xml:space="preserve">  Distance factor in spatial rainfall generator. X = distance from storm center to subarea centroid(km).</t>
  </si>
  <si>
    <t xml:space="preserve">  Governs plant water stress as a function of soil water tension.  X = gravimetric + osmotic tension.</t>
  </si>
  <si>
    <t xml:space="preserve">  Estimates plant ground cover as a function of lai. X = total lai of all growing plants.</t>
  </si>
  <si>
    <t xml:space="preserve">  Estimates plant ground cover as a function of standing live biomass. X = standing live biomass(t/ha).</t>
  </si>
  <si>
    <t xml:space="preserve">  Simulates O2 content of soil as a function of c and clay. Used in microbial processes of residue decay. X = f(c/clay)</t>
  </si>
  <si>
    <t xml:space="preserve">  Simulates within storm rainfall distribution. X = time(h) at user specified time interval.</t>
  </si>
  <si>
    <t xml:space="preserve">  Simulates soil water function in epic denitrification option. X = 100.*(st(isl,isa)-fc(isl,isa))/(po(isl,isa)-fc(isl,isa))            </t>
  </si>
  <si>
    <t xml:space="preserve">  Default when parm(92)=0.0 runoff volume adjustment for direct link (nvcn=0) inversely related to runoff.      </t>
  </si>
  <si>
    <t xml:space="preserve">  Base calving distribution during calving window. X = fraction of calving window.</t>
  </si>
  <si>
    <t xml:space="preserve">  Tree leaf fall distribution as a function of accumulated heat units X = 100.*hsm(isa)/ahsm</t>
  </si>
  <si>
    <t xml:space="preserve">  Not used</t>
  </si>
  <si>
    <t xml:space="preserve">  Exception to normal s-curve procedure--sets soil water  contents coinciding with CN2 and CN3. X1 = soil water  content as % of field capacity - wilting point; x2 = soil water content as % of porosity - field capacity.</t>
  </si>
  <si>
    <t xml:space="preserve">   Related to percolation and lateral flow 4mm slug</t>
  </si>
  <si>
    <t xml:space="preserve">   Regulates lateral subsurface and quick return flow(0.1_10.) Large values increase flow.</t>
  </si>
  <si>
    <t xml:space="preserve">   Coefficient that regulates transfer of biomass from roots to shoots when lai is low (range is from 0 - 1.0).  Small values allow rapid transfer of biomass to shoots.  Setting this to 1.0 prohibits transfer from roots to shoots.</t>
  </si>
  <si>
    <t xml:space="preserve">   Regulates day length adjustment to lai growth and recession. Increases growth when day length is increasing and decreases as day length declines. Large values increase the effect of day length.  That is to say, large values cause lai to increase rapidly during long days and slowly during short days.</t>
  </si>
  <si>
    <t xml:space="preserve">   Maximum ecosystem leaf area index. Setting this to 0 keeps crop population of perennial plants constant.  Values greater than zero allow perennial plants to change population from one year to the next.</t>
  </si>
  <si>
    <t xml:space="preserve">   Sediment transported p threshold (0.0_10.0) used to count large sediment transported p events.</t>
  </si>
  <si>
    <t>OPV</t>
  </si>
  <si>
    <t>Grazing preference table</t>
  </si>
  <si>
    <t xml:space="preserve">  A list of owners and herds ordered by number and associated file name</t>
  </si>
  <si>
    <t>HERD_FILE.DAT</t>
  </si>
  <si>
    <t>GRZP1_FILE.DAT</t>
  </si>
  <si>
    <t xml:space="preserve">A list of owners and herds ordered by number and associated file name </t>
  </si>
  <si>
    <t>LINE 44</t>
  </si>
  <si>
    <t>LINE 45</t>
  </si>
  <si>
    <t>LINE 46</t>
  </si>
  <si>
    <t>Buy/Sell animals</t>
  </si>
  <si>
    <t>sit</t>
  </si>
  <si>
    <t>sol</t>
  </si>
  <si>
    <t>wnd</t>
  </si>
  <si>
    <t>wp1</t>
  </si>
  <si>
    <t>dly</t>
  </si>
  <si>
    <t>DAT</t>
  </si>
  <si>
    <t xml:space="preserve">|==================== Leave the cell blank if missing value. =====================| </t>
  </si>
  <si>
    <t>PRINTS OUT .SOT FILES  (MSO = 49 + 1 = 50)</t>
  </si>
  <si>
    <t>REMX</t>
  </si>
  <si>
    <t>Soil loss from water erosion using RHEM</t>
  </si>
  <si>
    <t>YNDP</t>
  </si>
  <si>
    <t>IRRS</t>
  </si>
  <si>
    <t>EVRT</t>
  </si>
  <si>
    <t>TPTH</t>
  </si>
  <si>
    <t>DN2O</t>
  </si>
  <si>
    <t>ETM3</t>
  </si>
  <si>
    <t>SA number supplying irrigation water from a reservoir</t>
  </si>
  <si>
    <t>Related to soil water balance</t>
  </si>
  <si>
    <t>N2O emission from the soil</t>
  </si>
  <si>
    <t>NGN0</t>
  </si>
  <si>
    <t>IGS0</t>
  </si>
  <si>
    <t>NVCN0</t>
  </si>
  <si>
    <t>IMW0</t>
  </si>
  <si>
    <t xml:space="preserve">   Duration of antecedent period for rainfall and PET accumulation to drive water table. </t>
  </si>
  <si>
    <t xml:space="preserve">   Ground water residence time in days (Range: 0-365)</t>
  </si>
  <si>
    <t>RFN0</t>
  </si>
  <si>
    <t>CQN0</t>
  </si>
  <si>
    <t>CO20</t>
  </si>
  <si>
    <t>FPSC</t>
  </si>
  <si>
    <t>GWS0</t>
  </si>
  <si>
    <t>RFT0</t>
  </si>
  <si>
    <t>RFP0</t>
  </si>
  <si>
    <t>SAT0</t>
  </si>
  <si>
    <t>FL0</t>
  </si>
  <si>
    <t>FW0</t>
  </si>
  <si>
    <t>ANG0</t>
  </si>
  <si>
    <t>RVE0</t>
  </si>
  <si>
    <t>Storage volume at emergency spillway elevation (mm)</t>
  </si>
  <si>
    <t>RVP0</t>
  </si>
  <si>
    <t>RSHC</t>
  </si>
  <si>
    <t>NKA</t>
  </si>
  <si>
    <t>NJC</t>
  </si>
  <si>
    <t>NKS</t>
  </si>
  <si>
    <t>NKD</t>
  </si>
  <si>
    <t>NKY</t>
  </si>
  <si>
    <t>KFL0</t>
  </si>
  <si>
    <t>.DGN</t>
  </si>
  <si>
    <t>.SAD</t>
  </si>
  <si>
    <t>Prints to:</t>
  </si>
  <si>
    <t>.MSA</t>
  </si>
  <si>
    <t>.OUT</t>
  </si>
  <si>
    <t>.SAO</t>
  </si>
  <si>
    <t>.SUS</t>
  </si>
  <si>
    <t>.ASA</t>
  </si>
  <si>
    <t>-&gt;</t>
  </si>
  <si>
    <r>
      <t xml:space="preserve">LINE 1:   </t>
    </r>
    <r>
      <rPr>
        <i/>
        <sz val="10"/>
        <rFont val="Times New Roman"/>
        <family val="1"/>
      </rPr>
      <t xml:space="preserve">        FORMAT:  FREE FORMAT-  FIELD (INTEGER)</t>
    </r>
  </si>
  <si>
    <r>
      <t xml:space="preserve">LINE 2             </t>
    </r>
    <r>
      <rPr>
        <i/>
        <sz val="10"/>
        <color theme="1"/>
        <rFont val="Times New Roman"/>
        <family val="1"/>
      </rPr>
      <t>FORMAT:  FREE FORMAT - FIELD (INTEGER)</t>
    </r>
  </si>
  <si>
    <r>
      <t xml:space="preserve">LINE 3             </t>
    </r>
    <r>
      <rPr>
        <i/>
        <sz val="10"/>
        <color theme="1"/>
        <rFont val="Times New Roman"/>
        <family val="1"/>
      </rPr>
      <t>FORMAT:  FREE FORMAT - INCLUDING  UP TO TWO  DECIMAL PLACES (FLOATING)</t>
    </r>
  </si>
  <si>
    <r>
      <t xml:space="preserve">LINE 4            </t>
    </r>
    <r>
      <rPr>
        <i/>
        <sz val="10"/>
        <color theme="1"/>
        <rFont val="Times New Roman"/>
        <family val="1"/>
      </rPr>
      <t xml:space="preserve"> FORMAT:  FREE FORMAT - INCLUDING  UP TO TWO  DECIMAL PLACES (FLOATING)</t>
    </r>
  </si>
  <si>
    <r>
      <t xml:space="preserve">LINE 5            </t>
    </r>
    <r>
      <rPr>
        <i/>
        <sz val="10"/>
        <color theme="1"/>
        <rFont val="Times New Roman"/>
        <family val="1"/>
      </rPr>
      <t xml:space="preserve"> FORMAT:  FREE FORMAT - INCLUDING  UP TO TWO   DECIMAL PLACES (FLOATING)</t>
    </r>
  </si>
  <si>
    <r>
      <t xml:space="preserve">LINE 6            </t>
    </r>
    <r>
      <rPr>
        <i/>
        <sz val="10"/>
        <color theme="1"/>
        <rFont val="Times New Roman"/>
        <family val="1"/>
      </rPr>
      <t xml:space="preserve"> FORMAT:  FREE FORMAT - INCLUDING  UP TO TWO DECIMAL PLACES (FLOATING)</t>
    </r>
  </si>
  <si>
    <t xml:space="preserve"> FORMAT:  FREE FORMAT-  FIELD (INTEGER)</t>
  </si>
  <si>
    <t>FORMAT:   FREE FORMAT; SIX (6) FIELDS (INTEGER)</t>
  </si>
  <si>
    <t>FORMAT:  CHARACTERS; TWENTY (20) ALPHA CHARACTERS</t>
  </si>
  <si>
    <r>
      <t xml:space="preserve">Reservoir Data (Line 7)     </t>
    </r>
    <r>
      <rPr>
        <i/>
        <sz val="11"/>
        <color theme="1"/>
        <rFont val="Calibri"/>
        <family val="2"/>
        <scheme val="minor"/>
      </rPr>
      <t>FORMAT:  FREE FORMAT</t>
    </r>
  </si>
  <si>
    <r>
      <t xml:space="preserve">Management Information (Line 8)      </t>
    </r>
    <r>
      <rPr>
        <i/>
        <sz val="11"/>
        <color theme="1"/>
        <rFont val="Calibri"/>
        <family val="2"/>
        <scheme val="minor"/>
      </rPr>
      <t>FORMAT:  FREE FORMAT</t>
    </r>
  </si>
  <si>
    <r>
      <t xml:space="preserve">Irrigation information (Line 9 &amp; Line 10)     </t>
    </r>
    <r>
      <rPr>
        <i/>
        <sz val="11"/>
        <color theme="1"/>
        <rFont val="Calibri"/>
        <family val="2"/>
        <scheme val="minor"/>
      </rPr>
      <t>FORMAT:  FREE FORMAT</t>
    </r>
  </si>
  <si>
    <r>
      <t xml:space="preserve">Herds (Line 11)     </t>
    </r>
    <r>
      <rPr>
        <i/>
        <sz val="11"/>
        <rFont val="Calibri"/>
        <family val="2"/>
        <scheme val="minor"/>
      </rPr>
      <t>FORMAT:  FREE FORMAT</t>
    </r>
  </si>
  <si>
    <r>
      <t xml:space="preserve">Grazing (Line 12)     </t>
    </r>
    <r>
      <rPr>
        <i/>
        <sz val="11"/>
        <rFont val="Calibri"/>
        <family val="2"/>
        <scheme val="minor"/>
      </rPr>
      <t>FORMAT:  FREE FORMAT</t>
    </r>
  </si>
  <si>
    <r>
      <t xml:space="preserve">Catchment Characteristics (Line 4)     </t>
    </r>
    <r>
      <rPr>
        <i/>
        <sz val="11"/>
        <color theme="1"/>
        <rFont val="Calibri"/>
        <family val="2"/>
        <scheme val="minor"/>
      </rPr>
      <t>FORMAT:  FREE FORMAT</t>
    </r>
  </si>
  <si>
    <r>
      <t xml:space="preserve">Initial Conditions (Line 3)     </t>
    </r>
    <r>
      <rPr>
        <i/>
        <sz val="11"/>
        <color theme="1"/>
        <rFont val="Calibri"/>
        <family val="2"/>
        <scheme val="minor"/>
      </rPr>
      <t xml:space="preserve">FORMAT: </t>
    </r>
    <r>
      <rPr>
        <b/>
        <sz val="11"/>
        <color theme="1"/>
        <rFont val="Calibri"/>
        <family val="2"/>
        <scheme val="minor"/>
      </rPr>
      <t xml:space="preserve"> </t>
    </r>
    <r>
      <rPr>
        <i/>
        <sz val="11"/>
        <color theme="1"/>
        <rFont val="Calibri"/>
        <family val="2"/>
        <scheme val="minor"/>
      </rPr>
      <t>FREE FORMAT</t>
    </r>
  </si>
  <si>
    <r>
      <t xml:space="preserve">Initial Conditions (Line 2) </t>
    </r>
    <r>
      <rPr>
        <sz val="11"/>
        <color theme="1"/>
        <rFont val="Calibri"/>
        <family val="2"/>
        <scheme val="minor"/>
      </rPr>
      <t xml:space="preserve">      </t>
    </r>
    <r>
      <rPr>
        <i/>
        <sz val="11"/>
        <color theme="1"/>
        <rFont val="Calibri"/>
        <family val="2"/>
        <scheme val="minor"/>
      </rPr>
      <t>FORMAT:  FREE FORMAT</t>
    </r>
  </si>
  <si>
    <t xml:space="preserve">FORMAT:    TWO (2) BLANK SPACES FOLLOWED BY THREE (3) FIELDS OF FOUR (4) COLUMNS (INTEGER) + SIX (6) FIELDS OF SIX (6) COLUMNS INCLUDING DECIMAL PLACES (FLOATING) </t>
  </si>
  <si>
    <t xml:space="preserve">FORMAT: TWELVE (12) FIELDS OF SIX (6) COLUMNS INCLUDING UP TO TWO DECIMAL PLACES (FLOATING)  </t>
  </si>
  <si>
    <t>FORMAT:  TWENTY (20) FIELDS OF FOUR (4) COLUMNS PER FIELD (INTEGER)</t>
  </si>
  <si>
    <t xml:space="preserve"> FREE FORMAT </t>
  </si>
  <si>
    <r>
      <t xml:space="preserve">Select up to </t>
    </r>
    <r>
      <rPr>
        <b/>
        <sz val="11"/>
        <color theme="1"/>
        <rFont val="Calibri"/>
        <family val="2"/>
        <scheme val="minor"/>
      </rPr>
      <t>4 variables</t>
    </r>
    <r>
      <rPr>
        <sz val="11"/>
        <color theme="1"/>
        <rFont val="Calibri"/>
        <family val="2"/>
        <scheme val="minor"/>
      </rPr>
      <t xml:space="preserve"> from table below, e.g.:</t>
    </r>
  </si>
  <si>
    <r>
      <t xml:space="preserve">Select up to </t>
    </r>
    <r>
      <rPr>
        <b/>
        <sz val="11"/>
        <color theme="1"/>
        <rFont val="Calibri"/>
        <family val="2"/>
        <scheme val="minor"/>
      </rPr>
      <t>17 variable</t>
    </r>
    <r>
      <rPr>
        <sz val="11"/>
        <color theme="1"/>
        <rFont val="Calibri"/>
        <family val="2"/>
        <scheme val="minor"/>
      </rPr>
      <t>s from this list (input number):</t>
    </r>
  </si>
  <si>
    <t xml:space="preserve">   Reach channel USLE C factor</t>
  </si>
  <si>
    <t>Average Upland Slope in (m/m)</t>
  </si>
  <si>
    <t>Average Upland Slope Length in (m)</t>
  </si>
  <si>
    <t xml:space="preserve">APEX ANNUAL CROP YIELD OUTPUT (*.ACY) </t>
  </si>
  <si>
    <t>YR</t>
  </si>
  <si>
    <t>acy</t>
  </si>
  <si>
    <t xml:space="preserve">APEX ANNUAL WATER BALANCE OUTPUT (*.AWP) </t>
  </si>
  <si>
    <t>awp</t>
  </si>
  <si>
    <t>QDRmm</t>
  </si>
  <si>
    <t>PRKmm</t>
  </si>
  <si>
    <t>IRGAmm</t>
  </si>
  <si>
    <t>PRCPmm</t>
  </si>
  <si>
    <t>ETmm</t>
  </si>
  <si>
    <t>FPOkg/ha</t>
  </si>
  <si>
    <t>YLNkg/ha</t>
  </si>
  <si>
    <t>BTCkg/ha</t>
  </si>
  <si>
    <t>DZDN</t>
  </si>
  <si>
    <t>DTG</t>
  </si>
  <si>
    <t>QPQ</t>
  </si>
  <si>
    <t xml:space="preserve">   Layer thickness for differential eq soln to gas diff eqs(m)</t>
  </si>
  <si>
    <t xml:space="preserve">   Time interval for gas diff eqs (h)</t>
  </si>
  <si>
    <t xml:space="preserve">   Max # pesticides</t>
  </si>
  <si>
    <t xml:space="preserve">   Max # yrs crop rotation</t>
  </si>
  <si>
    <t xml:space="preserve">   Max # tillage operations</t>
  </si>
  <si>
    <t xml:space="preserve">   Max # crops used</t>
  </si>
  <si>
    <t xml:space="preserve">   Max # animal herds</t>
  </si>
  <si>
    <t xml:space="preserve">   Max # buy/sell livestock transactions</t>
  </si>
  <si>
    <t xml:space="preserve">   Max # fertilizer</t>
  </si>
  <si>
    <t xml:space="preserve">   Max # point sources</t>
  </si>
  <si>
    <t xml:space="preserve">   Max # hydrograph points</t>
  </si>
  <si>
    <t xml:space="preserve">   Max # days for storm hydrograph base</t>
  </si>
  <si>
    <t xml:space="preserve">   Max # subareas</t>
  </si>
  <si>
    <t xml:space="preserve">   Max # irrigation applications</t>
  </si>
  <si>
    <t>MIR</t>
  </si>
  <si>
    <t>MSX</t>
  </si>
  <si>
    <t>ASL</t>
  </si>
  <si>
    <t>MS5</t>
  </si>
  <si>
    <t>AS5</t>
  </si>
  <si>
    <t>SUMMARY OF SUBARES &amp; WATERSHED FOR STAR</t>
  </si>
  <si>
    <t xml:space="preserve">DAILY HYDROLOGY/SOIL                                                                   </t>
  </si>
  <si>
    <t>MONTHLY SOIL TABLE</t>
  </si>
  <si>
    <t>DAILY PADDY OUTPUT</t>
  </si>
  <si>
    <t>ANNUAL SOIL TABLE</t>
  </si>
  <si>
    <t>MONTHLY SOIL PROPERTIES 0-0.05m</t>
  </si>
  <si>
    <t xml:space="preserve">ANNUAL SOIL PROPERTIES 0-0.05m </t>
  </si>
  <si>
    <t>RUN1501.SUM</t>
  </si>
  <si>
    <t>SUM</t>
  </si>
  <si>
    <t xml:space="preserve">   Century Passive Humus Transformation Rate (Range is from 0.0000082 – 0.000015)  Original value = 0.000012.   </t>
  </si>
  <si>
    <t xml:space="preserve">   Lower Nitrogen-Carbon Ratio of Biomass (CRLNC)</t>
  </si>
  <si>
    <t xml:space="preserve">   Upper Nitrogen-Carbon Ratio of Biomass (CRUNC) </t>
  </si>
  <si>
    <t xml:space="preserve">   Specific Base Rate for Ammonification (WKA)</t>
  </si>
  <si>
    <t xml:space="preserve">   Nitrogen-Carbon Ratio in Biomass (BMNC) at which immobilization is a maximum; BMNC at which ammonification ceases. (WNCMIN)</t>
  </si>
  <si>
    <t xml:space="preserve">   Nitrogen-Carbon Ratio in Biomass (BMNC) at which immobilization ceases; BMNC at which ammonification is a maximum. (WNCMAX)</t>
  </si>
  <si>
    <t xml:space="preserve">   Maximum rate of uptake of nitrogen during immobilization (VMU) (gN/gC/day)</t>
  </si>
  <si>
    <t xml:space="preserve">   Half Saturation constant for ammonia immobilization (WKMNH3) (mg N/L)</t>
  </si>
  <si>
    <t xml:space="preserve">   Half Saturation constant for nitrite immobilization (WKMNO2) (mg N/L)</t>
  </si>
  <si>
    <t xml:space="preserve">   Half Saturation constant for nitrate immobilization (WKMNO3) (mg N/L)</t>
  </si>
  <si>
    <t>XKN5</t>
  </si>
  <si>
    <t>XKN3</t>
  </si>
  <si>
    <t>XKN1</t>
  </si>
  <si>
    <t>CBVT</t>
  </si>
  <si>
    <t xml:space="preserve">   Michaelis Menten constant: NO3 reduction (Range is from 5.00 – 50.00) (g/m3)</t>
  </si>
  <si>
    <t xml:space="preserve">   Michaelis Menten constant: NO2 reduction (Range is from 0.300 – 4.00) (g/m3)</t>
  </si>
  <si>
    <t xml:space="preserve">   Michaelis Menten constant: N2O reduction (Range is from 0.003 – 0.200) (g/m3)</t>
  </si>
  <si>
    <t xml:space="preserve">   Not in use</t>
  </si>
  <si>
    <t>FE26:</t>
  </si>
  <si>
    <t>SULF:</t>
  </si>
  <si>
    <t>ASHZ:</t>
  </si>
  <si>
    <t>CGO2:</t>
  </si>
  <si>
    <t>CGCO2:</t>
  </si>
  <si>
    <t>CGN2O:</t>
  </si>
  <si>
    <t xml:space="preserve">   Iron content(%)                          </t>
  </si>
  <si>
    <t xml:space="preserve">   Sulfur content(%)                        </t>
  </si>
  <si>
    <t xml:space="preserve">   Soil horizon(a,b,c)                      </t>
  </si>
  <si>
    <t xml:space="preserve">   O2 conc in gas phase (g/m3 of soil air)  </t>
  </si>
  <si>
    <t xml:space="preserve">   CO2 conc in gas phase (g/m3 of soil air) </t>
  </si>
  <si>
    <t xml:space="preserve">   N2O conc in gas phase (g/m3 of soil air) </t>
  </si>
  <si>
    <t>CSTS</t>
  </si>
  <si>
    <t>FWLST</t>
  </si>
  <si>
    <t>FPSO</t>
  </si>
  <si>
    <t>FRFD</t>
  </si>
  <si>
    <t>sub</t>
  </si>
  <si>
    <t>IKAT</t>
  </si>
  <si>
    <t>ICP</t>
  </si>
  <si>
    <t>NTV</t>
  </si>
  <si>
    <t xml:space="preserve">   Auto-Potasium Switch (Range: 0-1)</t>
  </si>
  <si>
    <t xml:space="preserve">   Real time day of year(Range: 0-365)</t>
  </si>
  <si>
    <t xml:space="preserve">   Subprogram to simulate mineralization and immobilization of N and C</t>
  </si>
  <si>
    <t xml:space="preserve">   0 For original APEX NITVOL EQS; &gt; 0 For Izaurralde revised NITVOL Eqs</t>
  </si>
  <si>
    <t xml:space="preserve">   SSK for Water Erosion Setting (Range: 0-1) </t>
  </si>
  <si>
    <t xml:space="preserve">   IHAY for no hay feeding</t>
  </si>
  <si>
    <t xml:space="preserve">   Double variable (isa/ipcd) to print daily balances using SR NCONT</t>
  </si>
  <si>
    <r>
      <t xml:space="preserve">Channel Geometry of Routing Reach through Subarea (Line 5)    </t>
    </r>
    <r>
      <rPr>
        <i/>
        <sz val="11"/>
        <color theme="1"/>
        <rFont val="Calibri"/>
        <family val="2"/>
        <scheme val="minor"/>
      </rPr>
      <t>FORMAT:  FREE FORMAT</t>
    </r>
  </si>
  <si>
    <r>
      <t xml:space="preserve">Channel Geometry of Routing Reach through Subarea (Line 6)    </t>
    </r>
    <r>
      <rPr>
        <i/>
        <sz val="11"/>
        <color theme="1"/>
        <rFont val="Calibri"/>
        <family val="2"/>
        <scheme val="minor"/>
      </rPr>
      <t>FORMAT:  FREE FORMAT</t>
    </r>
  </si>
  <si>
    <t>SAT1</t>
  </si>
  <si>
    <t>FPS1</t>
  </si>
  <si>
    <t>Saturarted conductivity(green &amp; ampt) adjustment factor(.01_10.)</t>
  </si>
  <si>
    <t>Floodplain saturarted conductivity adjustment factor(.0001_10.)</t>
  </si>
  <si>
    <t>WTMN</t>
  </si>
  <si>
    <t>WTMX</t>
  </si>
  <si>
    <t>WTBL</t>
  </si>
  <si>
    <t>GWST</t>
  </si>
  <si>
    <t>GWMX</t>
  </si>
  <si>
    <t>RFTT</t>
  </si>
  <si>
    <t>RFPK</t>
  </si>
  <si>
    <t>Min depth to water table(m)(0 if unknown)</t>
  </si>
  <si>
    <t>max depth to water table(m)(0 if unknown)</t>
  </si>
  <si>
    <t>initial water table height(m)(0 if unknown)</t>
  </si>
  <si>
    <t>groundwater storage (mm)</t>
  </si>
  <si>
    <t>maximum groundwater storage (mm)</t>
  </si>
  <si>
    <t>groundwater residence time(d)(0 if unknown)</t>
  </si>
  <si>
    <t>return flow / (return flow + deep percolation)</t>
  </si>
  <si>
    <t>IRRW</t>
  </si>
  <si>
    <t xml:space="preserve">IDF6  </t>
  </si>
  <si>
    <t>SAEL</t>
  </si>
  <si>
    <t>Subarea elevation(m)</t>
  </si>
  <si>
    <t>Automatic Commercial K Fertilizer Application</t>
  </si>
  <si>
    <t>ID of SA supplying irrigation water from a well</t>
  </si>
  <si>
    <t>Cold season annual</t>
  </si>
  <si>
    <t>Tractor (IHC = 4)</t>
  </si>
  <si>
    <t>SCRP1 =</t>
  </si>
  <si>
    <t>x3</t>
  </si>
  <si>
    <t>Format:</t>
  </si>
  <si>
    <t>old</t>
  </si>
  <si>
    <t>Qmm</t>
  </si>
  <si>
    <t>SSFmm</t>
  </si>
  <si>
    <t>RSSFmm</t>
  </si>
  <si>
    <t>QRFmm</t>
  </si>
  <si>
    <t>WYmm</t>
  </si>
  <si>
    <t>Yt/ha</t>
  </si>
  <si>
    <t>YWNDt/ha</t>
  </si>
  <si>
    <t>QNkg/ha</t>
  </si>
  <si>
    <t>SSFNkg/ha</t>
  </si>
  <si>
    <t>QRFNkg/ha</t>
  </si>
  <si>
    <t>RSFNkg/ha</t>
  </si>
  <si>
    <t>YNkg/ha</t>
  </si>
  <si>
    <t>YNWNkg/ha</t>
  </si>
  <si>
    <t>QDRNkg/ha</t>
  </si>
  <si>
    <t>PRKNkg/ha</t>
  </si>
  <si>
    <t>DNkg/ha</t>
  </si>
  <si>
    <t>AVOLkg/ha</t>
  </si>
  <si>
    <t>NFIXkg/ha</t>
  </si>
  <si>
    <t>FNOkg/ha</t>
  </si>
  <si>
    <t>FNMNkg/ha</t>
  </si>
  <si>
    <t>FNMAkg/ha</t>
  </si>
  <si>
    <t>QPkg/ha</t>
  </si>
  <si>
    <t>YPkg/ha</t>
  </si>
  <si>
    <t>YPWNkg/ha</t>
  </si>
  <si>
    <t>PRKPkg/ha</t>
  </si>
  <si>
    <t>FPLkg/ha</t>
  </si>
  <si>
    <t>QCkg/ha</t>
  </si>
  <si>
    <t>YCkg/ha</t>
  </si>
  <si>
    <t>YCWNkg/ha</t>
  </si>
  <si>
    <t>RFNkg/ha</t>
  </si>
  <si>
    <t>YLPkg/ha</t>
  </si>
  <si>
    <t>BTNkg/ha</t>
  </si>
  <si>
    <t>BTPkg/ha</t>
  </si>
  <si>
    <t>FTNkg/ha</t>
  </si>
  <si>
    <t>FTPkg/ha</t>
  </si>
  <si>
    <t>FTCkg/ha</t>
  </si>
  <si>
    <t>BPDPkg/ha</t>
  </si>
  <si>
    <t>FPDPkg/ha</t>
  </si>
  <si>
    <t>BSLTkg/ha</t>
  </si>
  <si>
    <t>FSLTkg/ha</t>
  </si>
  <si>
    <t>BTC1kg/ha</t>
  </si>
  <si>
    <t>FTC1kg/ha</t>
  </si>
  <si>
    <t>RUS2A1t/ha</t>
  </si>
  <si>
    <t>YTHSd</t>
  </si>
  <si>
    <t>YWTHd</t>
  </si>
  <si>
    <t>QDRPkg/ha</t>
  </si>
  <si>
    <t>APEX1501</t>
  </si>
  <si>
    <t xml:space="preserve">      Recommended citation:</t>
  </si>
  <si>
    <r>
      <t>APEX_</t>
    </r>
    <r>
      <rPr>
        <b/>
        <sz val="12"/>
        <rFont val="Calibri"/>
        <family val="2"/>
        <scheme val="minor"/>
      </rPr>
      <t>FILE.</t>
    </r>
    <r>
      <rPr>
        <sz val="12"/>
        <rFont val="Calibri"/>
        <family val="2"/>
        <scheme val="minor"/>
      </rPr>
      <t xml:space="preserve">DAT </t>
    </r>
  </si>
  <si>
    <r>
      <t>APEX_</t>
    </r>
    <r>
      <rPr>
        <b/>
        <sz val="12"/>
        <rFont val="Calibri"/>
        <family val="2"/>
        <scheme val="minor"/>
      </rPr>
      <t>RUN</t>
    </r>
    <r>
      <rPr>
        <sz val="12"/>
        <rFont val="Calibri"/>
        <family val="2"/>
        <scheme val="minor"/>
      </rPr>
      <t>.DAT</t>
    </r>
  </si>
  <si>
    <r>
      <t>APEX_</t>
    </r>
    <r>
      <rPr>
        <b/>
        <sz val="12"/>
        <rFont val="Calibri"/>
        <family val="2"/>
        <scheme val="minor"/>
      </rPr>
      <t>CONT</t>
    </r>
    <r>
      <rPr>
        <sz val="12"/>
        <rFont val="Calibri"/>
        <family val="2"/>
        <scheme val="minor"/>
      </rPr>
      <t>.DAT</t>
    </r>
  </si>
  <si>
    <r>
      <t>APEX_</t>
    </r>
    <r>
      <rPr>
        <b/>
        <sz val="12"/>
        <rFont val="Calibri"/>
        <family val="2"/>
        <scheme val="minor"/>
      </rPr>
      <t>DIM</t>
    </r>
    <r>
      <rPr>
        <sz val="12"/>
        <rFont val="Calibri"/>
        <family val="2"/>
        <scheme val="minor"/>
      </rPr>
      <t>.DAT</t>
    </r>
  </si>
  <si>
    <r>
      <rPr>
        <b/>
        <sz val="12"/>
        <rFont val="Calibri"/>
        <family val="2"/>
        <scheme val="minor"/>
      </rPr>
      <t>WPM1</t>
    </r>
    <r>
      <rPr>
        <sz val="12"/>
        <rFont val="Calibri"/>
        <family val="2"/>
        <scheme val="minor"/>
      </rPr>
      <t>_LIST.WP1</t>
    </r>
  </si>
  <si>
    <r>
      <rPr>
        <b/>
        <sz val="12"/>
        <rFont val="Calibri"/>
        <family val="2"/>
        <scheme val="minor"/>
      </rPr>
      <t>WIND</t>
    </r>
    <r>
      <rPr>
        <sz val="12"/>
        <rFont val="Calibri"/>
        <family val="2"/>
        <scheme val="minor"/>
      </rPr>
      <t>_LIST.WND</t>
    </r>
  </si>
  <si>
    <r>
      <rPr>
        <b/>
        <sz val="12"/>
        <rFont val="Calibri"/>
        <family val="2"/>
        <scheme val="minor"/>
      </rPr>
      <t>SOIL</t>
    </r>
    <r>
      <rPr>
        <sz val="12"/>
        <rFont val="Calibri"/>
        <family val="2"/>
        <scheme val="minor"/>
      </rPr>
      <t>_FILE.SOL</t>
    </r>
  </si>
  <si>
    <r>
      <rPr>
        <b/>
        <sz val="12"/>
        <rFont val="Calibri"/>
        <family val="2"/>
        <scheme val="minor"/>
      </rPr>
      <t>DLY</t>
    </r>
    <r>
      <rPr>
        <sz val="12"/>
        <rFont val="Calibri"/>
        <family val="2"/>
        <scheme val="minor"/>
      </rPr>
      <t>_FILE.DLY</t>
    </r>
  </si>
  <si>
    <r>
      <t>WPM1_</t>
    </r>
    <r>
      <rPr>
        <sz val="12"/>
        <rFont val="Calibri"/>
        <family val="2"/>
        <scheme val="minor"/>
      </rPr>
      <t>FILE.WP1</t>
    </r>
  </si>
  <si>
    <r>
      <rPr>
        <b/>
        <sz val="12"/>
        <rFont val="Calibri"/>
        <family val="2"/>
        <scheme val="minor"/>
      </rPr>
      <t>WIND</t>
    </r>
    <r>
      <rPr>
        <sz val="12"/>
        <rFont val="Calibri"/>
        <family val="2"/>
        <scheme val="minor"/>
      </rPr>
      <t>_FILE.WND</t>
    </r>
  </si>
  <si>
    <r>
      <rPr>
        <b/>
        <sz val="12"/>
        <rFont val="Calibri"/>
        <family val="2"/>
        <scheme val="minor"/>
      </rPr>
      <t>APEX_PARM</t>
    </r>
    <r>
      <rPr>
        <sz val="12"/>
        <rFont val="Calibri"/>
        <family val="2"/>
        <scheme val="minor"/>
      </rPr>
      <t>.DAT</t>
    </r>
  </si>
  <si>
    <r>
      <rPr>
        <b/>
        <sz val="12"/>
        <rFont val="Calibri"/>
        <family val="2"/>
        <scheme val="minor"/>
      </rPr>
      <t>APEX_PRNT</t>
    </r>
    <r>
      <rPr>
        <sz val="12"/>
        <rFont val="Calibri"/>
        <family val="2"/>
        <scheme val="minor"/>
      </rPr>
      <t>.DAT</t>
    </r>
  </si>
  <si>
    <r>
      <rPr>
        <b/>
        <sz val="12"/>
        <rFont val="Calibri"/>
        <family val="2"/>
        <scheme val="minor"/>
      </rPr>
      <t>SUBS</t>
    </r>
    <r>
      <rPr>
        <sz val="12"/>
        <rFont val="Calibri"/>
        <family val="2"/>
        <scheme val="minor"/>
      </rPr>
      <t>_FILE.SUB</t>
    </r>
  </si>
  <si>
    <r>
      <rPr>
        <b/>
        <sz val="12"/>
        <rFont val="Calibri"/>
        <family val="2"/>
        <scheme val="minor"/>
      </rPr>
      <t>SITE</t>
    </r>
    <r>
      <rPr>
        <sz val="12"/>
        <rFont val="Calibri"/>
        <family val="2"/>
        <scheme val="minor"/>
      </rPr>
      <t>_FILE.SIT</t>
    </r>
  </si>
  <si>
    <r>
      <rPr>
        <sz val="12"/>
        <rFont val="Calibri"/>
        <family val="2"/>
        <scheme val="minor"/>
      </rPr>
      <t>OUTPUT</t>
    </r>
    <r>
      <rPr>
        <b/>
        <sz val="12"/>
        <rFont val="Calibri"/>
        <family val="2"/>
        <scheme val="minor"/>
      </rPr>
      <t>.ACY</t>
    </r>
  </si>
  <si>
    <r>
      <rPr>
        <sz val="12"/>
        <rFont val="Calibri"/>
        <family val="2"/>
        <scheme val="minor"/>
      </rPr>
      <t>OUTPUT</t>
    </r>
    <r>
      <rPr>
        <b/>
        <sz val="12"/>
        <rFont val="Calibri"/>
        <family val="2"/>
        <scheme val="minor"/>
      </rPr>
      <t>.AWP</t>
    </r>
  </si>
  <si>
    <t>SA#</t>
  </si>
  <si>
    <t>YR#</t>
  </si>
  <si>
    <t>CPNM</t>
  </si>
  <si>
    <t>YLDG</t>
  </si>
  <si>
    <t>YLDF</t>
  </si>
  <si>
    <t>BIOM</t>
  </si>
  <si>
    <t>WS</t>
  </si>
  <si>
    <t>NS</t>
  </si>
  <si>
    <t>PS</t>
  </si>
  <si>
    <t>TS</t>
  </si>
  <si>
    <t>AS</t>
  </si>
  <si>
    <t>SS</t>
  </si>
  <si>
    <t>ZNO3</t>
  </si>
  <si>
    <t>ZQP</t>
  </si>
  <si>
    <t>AP15</t>
  </si>
  <si>
    <t>ZOC</t>
  </si>
  <si>
    <t>OCPD</t>
  </si>
  <si>
    <t>ARSD</t>
  </si>
  <si>
    <t>Range</t>
  </si>
  <si>
    <t>Count</t>
  </si>
  <si>
    <r>
      <t>APEX_</t>
    </r>
    <r>
      <rPr>
        <b/>
        <sz val="12"/>
        <rFont val="Calibri"/>
        <family val="2"/>
        <scheme val="minor"/>
      </rPr>
      <t>TILL</t>
    </r>
    <r>
      <rPr>
        <sz val="12"/>
        <rFont val="Calibri"/>
        <family val="2"/>
        <scheme val="minor"/>
      </rPr>
      <t>.TAB</t>
    </r>
  </si>
  <si>
    <r>
      <t>APEX_</t>
    </r>
    <r>
      <rPr>
        <b/>
        <sz val="12"/>
        <rFont val="Calibri"/>
        <family val="2"/>
        <scheme val="minor"/>
      </rPr>
      <t>CROP</t>
    </r>
    <r>
      <rPr>
        <sz val="12"/>
        <rFont val="Calibri"/>
        <family val="2"/>
        <scheme val="minor"/>
      </rPr>
      <t>.TAB</t>
    </r>
  </si>
  <si>
    <r>
      <t>APEX_</t>
    </r>
    <r>
      <rPr>
        <b/>
        <sz val="12"/>
        <rFont val="Calibri"/>
        <family val="2"/>
        <scheme val="minor"/>
      </rPr>
      <t>FERT</t>
    </r>
    <r>
      <rPr>
        <sz val="12"/>
        <rFont val="Calibri"/>
        <family val="2"/>
        <scheme val="minor"/>
      </rPr>
      <t>.TAB</t>
    </r>
  </si>
  <si>
    <r>
      <t>APEX_</t>
    </r>
    <r>
      <rPr>
        <b/>
        <sz val="12"/>
        <rFont val="Calibri"/>
        <family val="2"/>
        <scheme val="minor"/>
      </rPr>
      <t>PEST</t>
    </r>
    <r>
      <rPr>
        <sz val="12"/>
        <rFont val="Calibri"/>
        <family val="2"/>
        <scheme val="minor"/>
      </rPr>
      <t>.TAB</t>
    </r>
  </si>
  <si>
    <r>
      <rPr>
        <b/>
        <sz val="12"/>
        <rFont val="Calibri"/>
        <family val="2"/>
        <scheme val="minor"/>
      </rPr>
      <t>MNGT</t>
    </r>
    <r>
      <rPr>
        <sz val="12"/>
        <rFont val="Calibri"/>
        <family val="2"/>
        <scheme val="minor"/>
      </rPr>
      <t>_FILE.NMG</t>
    </r>
  </si>
  <si>
    <r>
      <t>SOIL_</t>
    </r>
    <r>
      <rPr>
        <sz val="12"/>
        <rFont val="Calibri"/>
        <family val="2"/>
        <scheme val="minor"/>
      </rPr>
      <t>LIST.LIS</t>
    </r>
  </si>
  <si>
    <r>
      <rPr>
        <b/>
        <sz val="12"/>
        <rFont val="Calibri"/>
        <family val="2"/>
        <scheme val="minor"/>
      </rPr>
      <t>SITE</t>
    </r>
    <r>
      <rPr>
        <sz val="12"/>
        <rFont val="Calibri"/>
        <family val="2"/>
        <scheme val="minor"/>
      </rPr>
      <t>_LIST.LIS</t>
    </r>
  </si>
  <si>
    <r>
      <t>SUBS_</t>
    </r>
    <r>
      <rPr>
        <sz val="12"/>
        <rFont val="Calibri"/>
        <family val="2"/>
        <scheme val="minor"/>
      </rPr>
      <t>LIST.LIS</t>
    </r>
  </si>
  <si>
    <r>
      <rPr>
        <b/>
        <sz val="12"/>
        <rFont val="Calibri"/>
        <family val="2"/>
        <scheme val="minor"/>
      </rPr>
      <t>WDLST_</t>
    </r>
    <r>
      <rPr>
        <sz val="12"/>
        <rFont val="Calibri"/>
        <family val="2"/>
        <scheme val="minor"/>
      </rPr>
      <t>LIST.LIS</t>
    </r>
  </si>
  <si>
    <r>
      <rPr>
        <b/>
        <sz val="12"/>
        <rFont val="Calibri"/>
        <family val="2"/>
        <scheme val="minor"/>
      </rPr>
      <t>OPSC</t>
    </r>
    <r>
      <rPr>
        <sz val="12"/>
        <rFont val="Calibri"/>
        <family val="2"/>
        <scheme val="minor"/>
      </rPr>
      <t>_LIST.LIS</t>
    </r>
  </si>
  <si>
    <t>Annual subarea crop yield file</t>
  </si>
  <si>
    <t>Annual watershed outlet file</t>
  </si>
  <si>
    <t xml:space="preserve">MANAGEMENT TABLE  (*TILL*.TAB)  </t>
  </si>
  <si>
    <t xml:space="preserve">PLANT TABLE (*PLANT*.TAB)  </t>
  </si>
  <si>
    <t xml:space="preserve">FERTILIZERS TABLE  (*FERT*.TAB)  </t>
  </si>
  <si>
    <t xml:space="preserve">PESTICIDES TABLE (*PEST*.TAB)  </t>
  </si>
  <si>
    <t>Land use number from NRCS Land Use-Hydrologic Soil Group Table (Range: 1-35)</t>
  </si>
  <si>
    <t xml:space="preserve">Auto Irrigation # (cols. 5-8)  (Range: 1-open). </t>
  </si>
  <si>
    <t xml:space="preserve">Auto Commercial Fertilizer # (Range: 1-open). </t>
  </si>
  <si>
    <t xml:space="preserve">Auto Manure Deposition by Animals # (Range: 1-open). </t>
  </si>
  <si>
    <t xml:space="preserve">Auto Solid Manure Application # (Range: 1-open). </t>
  </si>
  <si>
    <t xml:space="preserve">Auto Liquid Manure Application # (Range: 1-open). </t>
  </si>
  <si>
    <t xml:space="preserve">Auto Lime Application # (Range: 1-open). </t>
  </si>
  <si>
    <t xml:space="preserve">     Software Description</t>
  </si>
  <si>
    <r>
      <t>Name of software:</t>
    </r>
    <r>
      <rPr>
        <sz val="11"/>
        <color rgb="FF404040"/>
        <rFont val="Calibri"/>
        <family val="2"/>
        <scheme val="minor"/>
      </rPr>
      <t xml:space="preserve"> APEXeditor </t>
    </r>
  </si>
  <si>
    <r>
      <t>Developer:</t>
    </r>
    <r>
      <rPr>
        <sz val="11"/>
        <color rgb="FF404040"/>
        <rFont val="Calibri"/>
        <family val="2"/>
        <scheme val="minor"/>
      </rPr>
      <t xml:space="preserve"> Javier M. Osorio Leyton, Ph.D</t>
    </r>
  </si>
  <si>
    <r>
      <t>Contact address:</t>
    </r>
    <r>
      <rPr>
        <sz val="11"/>
        <color rgb="FF404040"/>
        <rFont val="Calibri"/>
        <family val="2"/>
        <scheme val="minor"/>
      </rPr>
      <t xml:space="preserve"> Texas A&amp;M AgriLife Research, Temple, TX 76502, USA.</t>
    </r>
  </si>
  <si>
    <r>
      <t>Contact e-mail:</t>
    </r>
    <r>
      <rPr>
        <sz val="11"/>
        <color rgb="FF404040"/>
        <rFont val="Calibri"/>
        <family val="2"/>
        <scheme val="minor"/>
      </rPr>
      <t xml:space="preserve"> josorio@tamu.edu</t>
    </r>
  </si>
  <si>
    <r>
      <t>Availability and Online Documentation:</t>
    </r>
    <r>
      <rPr>
        <sz val="11"/>
        <color rgb="FF404040"/>
        <rFont val="Calibri"/>
        <family val="2"/>
        <scheme val="minor"/>
      </rPr>
      <t xml:space="preserve"> https://epicapex.tamu.edu/model-executables/</t>
    </r>
  </si>
  <si>
    <r>
      <t>Year first available:</t>
    </r>
    <r>
      <rPr>
        <sz val="11"/>
        <color rgb="FF404040"/>
        <rFont val="Calibri"/>
        <family val="2"/>
        <scheme val="minor"/>
      </rPr>
      <t xml:space="preserve"> 2014</t>
    </r>
  </si>
  <si>
    <r>
      <t>Hardware required:</t>
    </r>
    <r>
      <rPr>
        <sz val="11"/>
        <color rgb="FF404040"/>
        <rFont val="Calibri"/>
        <family val="2"/>
        <scheme val="minor"/>
      </rPr>
      <t xml:space="preserve"> IBM compatible PC</t>
    </r>
  </si>
  <si>
    <r>
      <t>Software required:</t>
    </r>
    <r>
      <rPr>
        <sz val="11"/>
        <color rgb="FF404040"/>
        <rFont val="Calibri"/>
        <family val="2"/>
        <scheme val="minor"/>
      </rPr>
      <t xml:space="preserve"> MS Windows (tested on Windows 7 and 10). MS Excel (tested on 2010 and newer)</t>
    </r>
  </si>
  <si>
    <r>
      <t>Programming language:</t>
    </r>
    <r>
      <rPr>
        <sz val="11"/>
        <color rgb="FF404040"/>
        <rFont val="Calibri"/>
        <family val="2"/>
        <scheme val="minor"/>
      </rPr>
      <t xml:space="preserve"> MS Visual Basic for Applications</t>
    </r>
  </si>
  <si>
    <r>
      <t>Program size:</t>
    </r>
    <r>
      <rPr>
        <sz val="11"/>
        <color theme="1"/>
        <rFont val="Calibri"/>
        <family val="2"/>
        <scheme val="minor"/>
      </rPr>
      <t xml:space="preserve"> 912 KB.</t>
    </r>
  </si>
  <si>
    <t>Osorio Leyton, J.M. (2019) APEXeditor: A Spreadsheet-Based Tool for Editing APEX Model Input and Output Files. Journal of Software Engineering and Applications, 12, 432-446. https://doi.org/10.4236/jsea.2019.1210027</t>
  </si>
  <si>
    <t xml:space="preserve">   Soluble phosphorus runoff exponent (Range is from 1 - 1.5) provides nonlinear effect for soluble phosphorus-runoff eq.</t>
  </si>
  <si>
    <t xml:space="preserve">   Denitrification soil-water threshold (Range is from 0.9 - 1.1), fraction of field capacity soil water storage to trigger denitrification.</t>
  </si>
  <si>
    <t xml:space="preserve">   Grazing return factor</t>
  </si>
  <si>
    <t xml:space="preserve">   Ratio volume before time to peak (t_p) to total volume of unit hydrograph</t>
  </si>
  <si>
    <t>CROPCOM.DAT</t>
  </si>
  <si>
    <t>TILLCOM.DAT</t>
  </si>
  <si>
    <t>PESTCOM.DAT</t>
  </si>
  <si>
    <t>FERTCOM.DAT</t>
  </si>
  <si>
    <t>PARM1501.DAT</t>
  </si>
  <si>
    <t>FLWE</t>
  </si>
  <si>
    <t>opc</t>
  </si>
  <si>
    <t>SPAS.OPC</t>
  </si>
  <si>
    <t>TX357.SOL</t>
  </si>
  <si>
    <t>SIT0014.SIT</t>
  </si>
  <si>
    <t>TX4182.DLY</t>
  </si>
  <si>
    <t>TXKAUFMA.WP1</t>
  </si>
  <si>
    <t>TXPARIS.WND</t>
  </si>
  <si>
    <t>SITE14.ACY</t>
  </si>
  <si>
    <t>SITE14.AWP</t>
  </si>
  <si>
    <t>WND_OP</t>
  </si>
  <si>
    <t xml:space="preserve">   Flag for wind erosion method </t>
  </si>
  <si>
    <t>IMF</t>
  </si>
  <si>
    <t xml:space="preserve">   Flag to anable MODFLOW simulations</t>
  </si>
  <si>
    <t xml:space="preserve">  Landscape wind erosion parameter file</t>
  </si>
  <si>
    <t>APEXeditor Rev.2203</t>
  </si>
  <si>
    <t>For APEX1501 (Rel. v20181201)</t>
  </si>
  <si>
    <t xml:space="preserve">APEX REACH OUTPUT (*.RCH) </t>
  </si>
  <si>
    <t>rch</t>
  </si>
  <si>
    <t>SITE14.RCH</t>
  </si>
  <si>
    <t>RCID</t>
  </si>
  <si>
    <t>GIS</t>
  </si>
  <si>
    <t>TIME</t>
  </si>
  <si>
    <t>WSAha</t>
  </si>
  <si>
    <t>QIm3/s</t>
  </si>
  <si>
    <t>QOm3/s</t>
  </si>
  <si>
    <t>WYLIm3/s</t>
  </si>
  <si>
    <t>WYLOm3/s</t>
  </si>
  <si>
    <t>ETm3/s</t>
  </si>
  <si>
    <t>FPFm3/s</t>
  </si>
  <si>
    <t>YIt</t>
  </si>
  <si>
    <t>YOt</t>
  </si>
  <si>
    <t>CYppm</t>
  </si>
  <si>
    <t>YONIkg</t>
  </si>
  <si>
    <t>YONOkg</t>
  </si>
  <si>
    <t>YOPIkg</t>
  </si>
  <si>
    <t>YOPOkg</t>
  </si>
  <si>
    <t>NO3Ikg</t>
  </si>
  <si>
    <t>NO3Okg</t>
  </si>
  <si>
    <t>NH4Ikg</t>
  </si>
  <si>
    <t>NH4Okg</t>
  </si>
  <si>
    <t>NO2Ikg</t>
  </si>
  <si>
    <t>NO2Okg</t>
  </si>
  <si>
    <t>QPIkg</t>
  </si>
  <si>
    <t>QPOkg</t>
  </si>
  <si>
    <t>ALGI-</t>
  </si>
  <si>
    <t>ALGO-</t>
  </si>
  <si>
    <t>BODI-</t>
  </si>
  <si>
    <t>BODO-</t>
  </si>
  <si>
    <t>DO2I-</t>
  </si>
  <si>
    <t>DO2O-</t>
  </si>
  <si>
    <t>QPSIg</t>
  </si>
  <si>
    <t>QPSOg</t>
  </si>
  <si>
    <t>YPSIg</t>
  </si>
  <si>
    <t>YPSOg</t>
  </si>
  <si>
    <t>RPSTg</t>
  </si>
  <si>
    <t>VPSTg</t>
  </si>
  <si>
    <t>DPSTg</t>
  </si>
  <si>
    <r>
      <rPr>
        <sz val="12"/>
        <rFont val="Calibri"/>
        <family val="2"/>
        <scheme val="minor"/>
      </rPr>
      <t>OUTPUT</t>
    </r>
    <r>
      <rPr>
        <b/>
        <sz val="12"/>
        <rFont val="Calibri"/>
        <family val="2"/>
        <scheme val="minor"/>
      </rPr>
      <t>.RCH</t>
    </r>
  </si>
  <si>
    <t>Reach output file file</t>
  </si>
  <si>
    <t>7 SUMMER PASTURE</t>
  </si>
  <si>
    <r>
      <t>Year last update:</t>
    </r>
    <r>
      <rPr>
        <sz val="11"/>
        <color rgb="FF404040"/>
        <rFont val="Calibri"/>
        <family val="2"/>
        <scheme val="minor"/>
      </rPr>
      <t xml:space="preserve"> 2022</t>
    </r>
  </si>
  <si>
    <t>subarea1.sub</t>
  </si>
  <si>
    <t>SITECOM.DAT</t>
  </si>
  <si>
    <t>SUBACOM.DAT</t>
  </si>
  <si>
    <t>WPM1.DAT</t>
  </si>
  <si>
    <t>WIND.DAT</t>
  </si>
  <si>
    <t>PEST.DAT</t>
  </si>
  <si>
    <t>SOILCOM.DAT</t>
  </si>
  <si>
    <t>OPSCCOM.DAT</t>
  </si>
  <si>
    <t>TR55COM.DAT</t>
  </si>
  <si>
    <t>PARMS.DAT</t>
  </si>
  <si>
    <t>MLRN0806.DAT</t>
  </si>
  <si>
    <t>PRINT.DAT</t>
  </si>
  <si>
    <t>HERD0604.DAT</t>
  </si>
  <si>
    <t>WDLSTCOM.DAT</t>
  </si>
  <si>
    <t>PSOCOM.DAT</t>
  </si>
  <si>
    <t>RFDTLST.DAT</t>
  </si>
  <si>
    <t>LWEPARM.DAT</t>
  </si>
  <si>
    <t>SITE2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</si>
</sst>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E+00"/>
    <numFmt numFmtId="166" formatCode="0.0"/>
    <numFmt numFmtId="167" formatCode="0.0000"/>
    <numFmt numFmtId="168" formatCode="0.0000E+00"/>
  </numFmts>
  <fonts count="79"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rgb="FFFF0000"/>
      <name val="Calibri"/>
      <family val="2"/>
      <scheme val="minor"/>
    </font>
    <font>
      <b/>
      <sz val="11"/>
      <color theme="1"/>
      <name val="Calibri"/>
      <family val="2"/>
      <scheme val="minor"/>
    </font>
    <font>
      <sz val="10"/>
      <color theme="1"/>
      <name val="Times New Roman"/>
      <family val="1"/>
    </font>
    <font>
      <i/>
      <sz val="10"/>
      <color theme="1"/>
      <name val="Times New Roman"/>
      <family val="1"/>
    </font>
    <font>
      <i/>
      <sz val="11"/>
      <color theme="1"/>
      <name val="Calibri"/>
      <family val="2"/>
      <scheme val="minor"/>
    </font>
    <font>
      <sz val="12"/>
      <color theme="1"/>
      <name val="Times New Roman"/>
      <family val="1"/>
    </font>
    <font>
      <i/>
      <sz val="12"/>
      <color theme="1"/>
      <name val="Times New Roman"/>
      <family val="1"/>
    </font>
    <font>
      <i/>
      <sz val="11"/>
      <color rgb="FFFF0000"/>
      <name val="Calibri"/>
      <family val="2"/>
      <scheme val="minor"/>
    </font>
    <font>
      <b/>
      <sz val="9"/>
      <color theme="1"/>
      <name val="Calibri"/>
      <family val="2"/>
      <scheme val="minor"/>
    </font>
    <font>
      <b/>
      <sz val="8"/>
      <color theme="1"/>
      <name val="Calibri"/>
      <family val="2"/>
      <scheme val="minor"/>
    </font>
    <font>
      <vertAlign val="superscript"/>
      <sz val="10"/>
      <color theme="1"/>
      <name val="Times New Roman"/>
      <family val="1"/>
    </font>
    <font>
      <sz val="9"/>
      <color indexed="81"/>
      <name val="Tahoma"/>
      <family val="2"/>
    </font>
    <font>
      <b/>
      <sz val="9"/>
      <color indexed="81"/>
      <name val="Tahoma"/>
      <family val="2"/>
    </font>
    <font>
      <sz val="11"/>
      <name val="Calibri"/>
      <family val="2"/>
      <scheme val="minor"/>
    </font>
    <font>
      <sz val="11"/>
      <color rgb="FF0070C0"/>
      <name val="Calibri"/>
      <family val="2"/>
      <scheme val="minor"/>
    </font>
    <font>
      <b/>
      <sz val="11"/>
      <color rgb="FFFF0000"/>
      <name val="Calibri"/>
      <family val="2"/>
      <scheme val="minor"/>
    </font>
    <font>
      <sz val="9"/>
      <color theme="1"/>
      <name val="Calibri"/>
      <family val="2"/>
      <scheme val="minor"/>
    </font>
    <font>
      <sz val="11"/>
      <color theme="0"/>
      <name val="Calibri"/>
      <family val="2"/>
      <scheme val="minor"/>
    </font>
    <font>
      <sz val="11"/>
      <color theme="0" tint="-0.499984740745262"/>
      <name val="Calibri"/>
      <family val="2"/>
      <scheme val="minor"/>
    </font>
    <font>
      <b/>
      <i/>
      <sz val="11"/>
      <color theme="1"/>
      <name val="Calibri"/>
      <family val="2"/>
      <scheme val="minor"/>
    </font>
    <font>
      <b/>
      <sz val="11"/>
      <name val="Calibri"/>
      <family val="2"/>
      <scheme val="minor"/>
    </font>
    <font>
      <sz val="11"/>
      <color theme="4" tint="-0.499984740745262"/>
      <name val="Calibri"/>
      <family val="2"/>
      <scheme val="minor"/>
    </font>
    <font>
      <sz val="11"/>
      <color theme="0" tint="-0.34998626667073579"/>
      <name val="Calibri"/>
      <family val="2"/>
      <scheme val="minor"/>
    </font>
    <font>
      <sz val="14"/>
      <color theme="1"/>
      <name val="Calibri"/>
      <family val="2"/>
      <scheme val="minor"/>
    </font>
    <font>
      <b/>
      <sz val="14"/>
      <color theme="1"/>
      <name val="Calibri"/>
      <family val="2"/>
      <scheme val="minor"/>
    </font>
    <font>
      <b/>
      <sz val="28"/>
      <color rgb="FF660033"/>
      <name val="Calibri"/>
      <family val="2"/>
      <scheme val="minor"/>
    </font>
    <font>
      <b/>
      <sz val="11"/>
      <color theme="0" tint="-0.499984740745262"/>
      <name val="Calibri"/>
      <family val="2"/>
      <scheme val="minor"/>
    </font>
    <font>
      <b/>
      <i/>
      <sz val="11"/>
      <color rgb="FFFF0000"/>
      <name val="Calibri"/>
      <family val="2"/>
      <scheme val="minor"/>
    </font>
    <font>
      <b/>
      <i/>
      <sz val="10"/>
      <color theme="1"/>
      <name val="Times New Roman"/>
      <family val="1"/>
    </font>
    <font>
      <b/>
      <i/>
      <sz val="11"/>
      <name val="Calibri"/>
      <family val="2"/>
      <scheme val="minor"/>
    </font>
    <font>
      <b/>
      <sz val="12"/>
      <color theme="0"/>
      <name val="Calibri"/>
      <family val="2"/>
      <scheme val="minor"/>
    </font>
    <font>
      <b/>
      <sz val="14"/>
      <color theme="0"/>
      <name val="Calibri"/>
      <family val="2"/>
      <scheme val="minor"/>
    </font>
    <font>
      <i/>
      <sz val="10"/>
      <color theme="1"/>
      <name val="Calibri"/>
      <family val="2"/>
      <scheme val="minor"/>
    </font>
    <font>
      <i/>
      <sz val="10"/>
      <color rgb="FFFF0000"/>
      <name val="Calibri"/>
      <family val="2"/>
      <scheme val="minor"/>
    </font>
    <font>
      <sz val="10"/>
      <color theme="1"/>
      <name val="Calibri"/>
      <family val="2"/>
      <scheme val="minor"/>
    </font>
    <font>
      <sz val="9"/>
      <color rgb="FFFF0000"/>
      <name val="Calibri"/>
      <family val="2"/>
      <scheme val="minor"/>
    </font>
    <font>
      <b/>
      <i/>
      <sz val="11"/>
      <color rgb="FF0000FF"/>
      <name val="Calibri"/>
      <family val="2"/>
      <scheme val="minor"/>
    </font>
    <font>
      <sz val="11"/>
      <color rgb="FF0000FF"/>
      <name val="Calibri"/>
      <family val="2"/>
      <scheme val="minor"/>
    </font>
    <font>
      <b/>
      <sz val="11"/>
      <color rgb="FF0000FF"/>
      <name val="Calibri"/>
      <family val="2"/>
      <scheme val="minor"/>
    </font>
    <font>
      <sz val="12"/>
      <name val="Calibri"/>
      <family val="2"/>
      <scheme val="minor"/>
    </font>
    <font>
      <sz val="11"/>
      <color theme="9" tint="-0.249977111117893"/>
      <name val="Calibri"/>
      <family val="2"/>
      <scheme val="minor"/>
    </font>
    <font>
      <b/>
      <sz val="16"/>
      <color theme="1"/>
      <name val="Calibri"/>
      <family val="2"/>
      <scheme val="minor"/>
    </font>
    <font>
      <i/>
      <sz val="11"/>
      <name val="Calibri"/>
      <family val="2"/>
      <scheme val="minor"/>
    </font>
    <font>
      <i/>
      <sz val="10"/>
      <name val="Calibri"/>
      <family val="2"/>
      <scheme val="minor"/>
    </font>
    <font>
      <b/>
      <sz val="9"/>
      <name val="Calibri"/>
      <family val="2"/>
      <scheme val="minor"/>
    </font>
    <font>
      <i/>
      <sz val="10"/>
      <name val="Times New Roman"/>
      <family val="1"/>
    </font>
    <font>
      <b/>
      <sz val="28"/>
      <color rgb="FF44546A"/>
      <name val="Calibri"/>
      <family val="2"/>
      <scheme val="minor"/>
    </font>
    <font>
      <b/>
      <sz val="12"/>
      <color rgb="FF44546A"/>
      <name val="Calibri"/>
      <family val="2"/>
      <scheme val="minor"/>
    </font>
    <font>
      <sz val="11"/>
      <color theme="1"/>
      <name val="Calibri"/>
      <family val="2"/>
      <scheme val="minor"/>
    </font>
    <font>
      <sz val="11"/>
      <color theme="0" tint="-0.14999847407452621"/>
      <name val="Calibri"/>
      <family val="2"/>
      <scheme val="minor"/>
    </font>
    <font>
      <i/>
      <sz val="11"/>
      <color theme="0" tint="-0.14999847407452621"/>
      <name val="Calibri"/>
      <family val="2"/>
      <scheme val="minor"/>
    </font>
    <font>
      <sz val="11"/>
      <color theme="0" tint="-0.249977111117893"/>
      <name val="Calibri"/>
      <family val="2"/>
      <scheme val="minor"/>
    </font>
    <font>
      <i/>
      <sz val="11"/>
      <color theme="0" tint="-0.249977111117893"/>
      <name val="Calibri"/>
      <family val="2"/>
      <scheme val="minor"/>
    </font>
    <font>
      <sz val="12"/>
      <color rgb="FF0000FF"/>
      <name val="Calibri"/>
      <family val="2"/>
      <scheme val="minor"/>
    </font>
    <font>
      <b/>
      <sz val="12"/>
      <name val="Calibri"/>
      <family val="2"/>
      <scheme val="minor"/>
    </font>
    <font>
      <sz val="12"/>
      <color theme="9" tint="-0.249977111117893"/>
      <name val="Calibri"/>
      <family val="2"/>
      <scheme val="minor"/>
    </font>
    <font>
      <sz val="11"/>
      <color rgb="FF33CC33"/>
      <name val="Calibri"/>
      <family val="2"/>
      <scheme val="minor"/>
    </font>
    <font>
      <sz val="11"/>
      <color theme="6"/>
      <name val="Calibri"/>
      <family val="2"/>
      <scheme val="minor"/>
    </font>
    <font>
      <sz val="11"/>
      <color rgb="FF7030A0"/>
      <name val="Calibri"/>
      <family val="2"/>
      <scheme val="minor"/>
    </font>
    <font>
      <sz val="11"/>
      <color rgb="FFC00000"/>
      <name val="Calibri"/>
      <family val="2"/>
      <scheme val="minor"/>
    </font>
    <font>
      <b/>
      <sz val="11"/>
      <color theme="9" tint="-0.249977111117893"/>
      <name val="Calibri"/>
      <family val="2"/>
      <scheme val="minor"/>
    </font>
    <font>
      <sz val="12"/>
      <color rgb="FF000000"/>
      <name val="Calibri"/>
      <family val="2"/>
      <scheme val="minor"/>
    </font>
    <font>
      <sz val="11"/>
      <color rgb="FF000000"/>
      <name val="Calibri"/>
      <family val="2"/>
      <scheme val="minor"/>
    </font>
    <font>
      <sz val="8"/>
      <name val="Calibri"/>
      <family val="2"/>
      <scheme val="minor"/>
    </font>
    <font>
      <b/>
      <sz val="12"/>
      <color theme="0" tint="-0.14999847407452621"/>
      <name val="Calibri"/>
      <family val="2"/>
      <scheme val="minor"/>
    </font>
    <font>
      <sz val="12"/>
      <color theme="0" tint="-0.14999847407452621"/>
      <name val="Calibri"/>
      <family val="2"/>
      <scheme val="minor"/>
    </font>
    <font>
      <b/>
      <i/>
      <sz val="11"/>
      <color rgb="FF404040"/>
      <name val="Calibri"/>
      <family val="2"/>
      <scheme val="minor"/>
    </font>
    <font>
      <i/>
      <sz val="11"/>
      <color rgb="FF404040"/>
      <name val="Calibri"/>
      <family val="2"/>
      <scheme val="minor"/>
    </font>
    <font>
      <sz val="11"/>
      <color rgb="FF404040"/>
      <name val="Calibri"/>
      <family val="2"/>
      <scheme val="minor"/>
    </font>
    <font>
      <sz val="9"/>
      <color indexed="81"/>
      <name val="Tahoma"/>
      <charset val="1"/>
    </font>
  </fonts>
  <fills count="5">
    <fill>
      <patternFill patternType="none"/>
    </fill>
    <fill>
      <patternFill patternType="gray125"/>
    </fill>
    <fill>
      <patternFill patternType="solid">
        <fgColor theme="4" tint="-0.249977111117893"/>
        <bgColor indexed="64"/>
      </patternFill>
    </fill>
    <fill>
      <patternFill patternType="solid">
        <fgColor theme="4" tint="0.79998168889431442"/>
        <bgColor indexed="64"/>
      </patternFill>
    </fill>
    <fill>
      <patternFill patternType="solid">
        <fgColor theme="0"/>
        <bgColor indexed="64"/>
      </patternFill>
    </fill>
  </fills>
  <borders count="2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4" tint="-0.499984740745262"/>
      </left>
      <right style="thin">
        <color theme="4" tint="-0.499984740745262"/>
      </right>
      <top style="thin">
        <color theme="4" tint="-0.499984740745262"/>
      </top>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right/>
      <top style="medium">
        <color indexed="64"/>
      </top>
      <bottom/>
      <diagonal/>
    </border>
    <border>
      <left/>
      <right/>
      <top/>
      <bottom style="medium">
        <color indexed="64"/>
      </bottom>
      <diagonal/>
    </border>
  </borders>
  <cellStyleXfs count="3">
    <xf numFmtId="0" fontId="0" fillId="0" borderId="0"/>
    <xf numFmtId="0" fontId="5" fillId="0" borderId="0"/>
    <xf numFmtId="0" fontId="57" fillId="0" borderId="0"/>
  </cellStyleXfs>
  <cellXfs count="240">
    <xf numFmtId="0" fontId="0" fillId="0" borderId="0" xfId="0"/>
    <xf numFmtId="0" fontId="10" fillId="0" borderId="0" xfId="0" applyFont="1"/>
    <xf numFmtId="0" fontId="12" fillId="0" borderId="0" xfId="0" applyFont="1"/>
    <xf numFmtId="0" fontId="13" fillId="0" borderId="0" xfId="0" applyFont="1"/>
    <xf numFmtId="0" fontId="9" fillId="0" borderId="0" xfId="0" applyFont="1" applyAlignment="1">
      <alignment horizontal="center"/>
    </xf>
    <xf numFmtId="0" fontId="17" fillId="0" borderId="0" xfId="0" applyFont="1"/>
    <xf numFmtId="0" fontId="0" fillId="0" borderId="0" xfId="0" applyAlignment="1">
      <alignment horizontal="center"/>
    </xf>
    <xf numFmtId="0" fontId="10" fillId="0" borderId="0" xfId="0" applyFont="1" applyAlignment="1">
      <alignment horizontal="center"/>
    </xf>
    <xf numFmtId="0" fontId="9" fillId="0" borderId="0" xfId="0" applyFont="1"/>
    <xf numFmtId="0" fontId="18" fillId="0" borderId="0" xfId="0" applyFont="1" applyAlignment="1">
      <alignment horizontal="left"/>
    </xf>
    <xf numFmtId="0" fontId="22" fillId="0" borderId="0" xfId="0" applyFont="1"/>
    <xf numFmtId="0" fontId="16" fillId="0" borderId="0" xfId="0" applyFont="1"/>
    <xf numFmtId="0" fontId="13" fillId="0" borderId="0" xfId="0" applyFont="1" applyAlignment="1">
      <alignment horizontal="center"/>
    </xf>
    <xf numFmtId="0" fontId="23" fillId="0" borderId="0" xfId="0" applyFont="1"/>
    <xf numFmtId="0" fontId="23" fillId="0" borderId="0" xfId="0" applyFont="1" applyAlignment="1">
      <alignment horizontal="center"/>
    </xf>
    <xf numFmtId="0" fontId="24" fillId="0" borderId="0" xfId="0" applyFont="1"/>
    <xf numFmtId="0" fontId="0" fillId="0" borderId="0" xfId="0" applyAlignment="1">
      <alignment horizontal="left" vertical="center"/>
    </xf>
    <xf numFmtId="0" fontId="0" fillId="0" borderId="0" xfId="0" applyAlignment="1">
      <alignment vertical="center"/>
    </xf>
    <xf numFmtId="0" fontId="13" fillId="0" borderId="0" xfId="0" applyFont="1" applyAlignment="1">
      <alignment horizontal="left" vertical="center"/>
    </xf>
    <xf numFmtId="0" fontId="10" fillId="0" borderId="0" xfId="0" applyFont="1" applyAlignment="1">
      <alignment horizontal="left" vertical="center"/>
    </xf>
    <xf numFmtId="0" fontId="0" fillId="0" borderId="0" xfId="0" applyAlignment="1">
      <alignment horizontal="left" vertical="top"/>
    </xf>
    <xf numFmtId="0" fontId="0" fillId="0" borderId="0" xfId="0" applyAlignment="1">
      <alignment vertical="top"/>
    </xf>
    <xf numFmtId="0" fontId="0" fillId="0" borderId="0" xfId="0" applyAlignment="1">
      <alignment horizontal="left"/>
    </xf>
    <xf numFmtId="0" fontId="0" fillId="0" borderId="0" xfId="0" applyAlignment="1">
      <alignment horizontal="center" vertical="center"/>
    </xf>
    <xf numFmtId="2" fontId="0" fillId="0" borderId="0" xfId="0" applyNumberFormat="1"/>
    <xf numFmtId="0" fontId="0" fillId="0" borderId="0" xfId="0" quotePrefix="1"/>
    <xf numFmtId="0" fontId="17" fillId="0" borderId="0" xfId="0" applyFont="1" applyAlignment="1">
      <alignment vertical="center"/>
    </xf>
    <xf numFmtId="0" fontId="17" fillId="0" borderId="0" xfId="0" applyFont="1" applyAlignment="1">
      <alignment horizontal="right" vertical="center"/>
    </xf>
    <xf numFmtId="49" fontId="0" fillId="0" borderId="0" xfId="0" applyNumberFormat="1"/>
    <xf numFmtId="0" fontId="26" fillId="0" borderId="0" xfId="0" applyFont="1"/>
    <xf numFmtId="0" fontId="0" fillId="0" borderId="0" xfId="0" applyAlignment="1">
      <alignment horizontal="right"/>
    </xf>
    <xf numFmtId="165" fontId="0" fillId="0" borderId="0" xfId="0" applyNumberFormat="1"/>
    <xf numFmtId="0" fontId="28" fillId="0" borderId="0" xfId="0" applyFont="1" applyAlignment="1">
      <alignment horizontal="right"/>
    </xf>
    <xf numFmtId="2" fontId="24" fillId="0" borderId="0" xfId="0" applyNumberFormat="1" applyFont="1"/>
    <xf numFmtId="0" fontId="9" fillId="0" borderId="0" xfId="0" applyFont="1" applyAlignment="1">
      <alignment horizontal="right" vertical="center"/>
    </xf>
    <xf numFmtId="2" fontId="9" fillId="0" borderId="0" xfId="0" applyNumberFormat="1" applyFont="1" applyAlignment="1">
      <alignment horizontal="right" vertical="center"/>
    </xf>
    <xf numFmtId="2" fontId="27" fillId="0" borderId="0" xfId="0" applyNumberFormat="1" applyFont="1" applyAlignment="1">
      <alignment horizontal="right" vertical="center"/>
    </xf>
    <xf numFmtId="0" fontId="10" fillId="0" borderId="0" xfId="0" applyFont="1" applyAlignment="1">
      <alignment horizontal="right"/>
    </xf>
    <xf numFmtId="0" fontId="29" fillId="0" borderId="0" xfId="0" applyFont="1" applyAlignment="1">
      <alignment horizontal="right"/>
    </xf>
    <xf numFmtId="2" fontId="9" fillId="0" borderId="0" xfId="0" applyNumberFormat="1" applyFont="1"/>
    <xf numFmtId="2" fontId="30" fillId="0" borderId="0" xfId="0" applyNumberFormat="1" applyFont="1"/>
    <xf numFmtId="0" fontId="31" fillId="0" borderId="0" xfId="0" applyFont="1"/>
    <xf numFmtId="0" fontId="24" fillId="0" borderId="0" xfId="0" applyFont="1" applyAlignment="1">
      <alignment horizontal="right"/>
    </xf>
    <xf numFmtId="0" fontId="32" fillId="0" borderId="0" xfId="0" applyFont="1"/>
    <xf numFmtId="0" fontId="0" fillId="4" borderId="1" xfId="0" applyFill="1" applyBorder="1"/>
    <xf numFmtId="0" fontId="0" fillId="4" borderId="2" xfId="0" applyFill="1" applyBorder="1" applyAlignment="1">
      <alignment horizontal="center"/>
    </xf>
    <xf numFmtId="0" fontId="0" fillId="4" borderId="0" xfId="0" applyFill="1"/>
    <xf numFmtId="0" fontId="33" fillId="4" borderId="5" xfId="0" applyFont="1" applyFill="1" applyBorder="1"/>
    <xf numFmtId="0" fontId="0" fillId="4" borderId="0" xfId="0" applyFill="1" applyAlignment="1">
      <alignment horizontal="center" vertical="center"/>
    </xf>
    <xf numFmtId="0" fontId="0" fillId="4" borderId="0" xfId="0" applyFill="1" applyAlignment="1">
      <alignment vertical="center"/>
    </xf>
    <xf numFmtId="0" fontId="10" fillId="4" borderId="0" xfId="0" applyFont="1" applyFill="1"/>
    <xf numFmtId="0" fontId="27" fillId="4" borderId="0" xfId="0" applyFont="1" applyFill="1" applyAlignment="1">
      <alignment vertical="center"/>
    </xf>
    <xf numFmtId="0" fontId="27" fillId="4" borderId="0" xfId="0" applyFont="1" applyFill="1" applyAlignment="1">
      <alignment horizontal="right" vertical="center"/>
    </xf>
    <xf numFmtId="0" fontId="25" fillId="4" borderId="4" xfId="0" applyFont="1" applyFill="1" applyBorder="1" applyAlignment="1">
      <alignment vertical="top" wrapText="1"/>
    </xf>
    <xf numFmtId="0" fontId="33" fillId="4" borderId="6" xfId="0" applyFont="1" applyFill="1" applyBorder="1"/>
    <xf numFmtId="0" fontId="10" fillId="4" borderId="7" xfId="0" applyFont="1" applyFill="1" applyBorder="1"/>
    <xf numFmtId="0" fontId="0" fillId="4" borderId="7" xfId="0" applyFill="1" applyBorder="1"/>
    <xf numFmtId="0" fontId="25" fillId="4" borderId="7" xfId="0" applyFont="1" applyFill="1" applyBorder="1" applyAlignment="1">
      <alignment horizontal="left" vertical="top" wrapText="1"/>
    </xf>
    <xf numFmtId="0" fontId="25" fillId="4" borderId="8" xfId="0" applyFont="1" applyFill="1" applyBorder="1" applyAlignment="1">
      <alignment horizontal="left" vertical="top" wrapText="1"/>
    </xf>
    <xf numFmtId="0" fontId="34" fillId="4" borderId="2" xfId="0" applyFont="1" applyFill="1" applyBorder="1" applyAlignment="1">
      <alignment vertical="center"/>
    </xf>
    <xf numFmtId="0" fontId="34" fillId="4" borderId="3" xfId="0" applyFont="1" applyFill="1" applyBorder="1" applyAlignment="1">
      <alignment vertical="center"/>
    </xf>
    <xf numFmtId="0" fontId="34" fillId="4" borderId="0" xfId="0" applyFont="1" applyFill="1" applyAlignment="1">
      <alignment vertical="center"/>
    </xf>
    <xf numFmtId="0" fontId="34" fillId="4" borderId="4" xfId="0" applyFont="1" applyFill="1" applyBorder="1" applyAlignment="1">
      <alignment vertical="center"/>
    </xf>
    <xf numFmtId="0" fontId="28" fillId="0" borderId="0" xfId="0" applyFont="1" applyAlignment="1">
      <alignment horizontal="center"/>
    </xf>
    <xf numFmtId="0" fontId="36" fillId="0" borderId="0" xfId="0" applyFont="1" applyAlignment="1">
      <alignment horizontal="center"/>
    </xf>
    <xf numFmtId="0" fontId="37" fillId="0" borderId="0" xfId="0" applyFont="1" applyAlignment="1">
      <alignment horizontal="center"/>
    </xf>
    <xf numFmtId="0" fontId="28" fillId="0" borderId="0" xfId="0" applyFont="1" applyAlignment="1">
      <alignment horizontal="left"/>
    </xf>
    <xf numFmtId="0" fontId="38" fillId="0" borderId="0" xfId="0" applyFont="1" applyAlignment="1">
      <alignment horizontal="center"/>
    </xf>
    <xf numFmtId="0" fontId="40" fillId="0" borderId="0" xfId="0" applyFont="1" applyAlignment="1">
      <alignment horizontal="center"/>
    </xf>
    <xf numFmtId="0" fontId="41" fillId="0" borderId="0" xfId="0" applyFont="1"/>
    <xf numFmtId="0" fontId="42" fillId="0" borderId="0" xfId="0" applyFont="1"/>
    <xf numFmtId="0" fontId="42" fillId="0" borderId="0" xfId="0" applyFont="1" applyAlignment="1">
      <alignment horizontal="center"/>
    </xf>
    <xf numFmtId="0" fontId="43" fillId="0" borderId="0" xfId="0" applyFont="1"/>
    <xf numFmtId="0" fontId="44" fillId="0" borderId="0" xfId="0" applyFont="1"/>
    <xf numFmtId="0" fontId="18" fillId="0" borderId="0" xfId="0" applyFont="1"/>
    <xf numFmtId="0" fontId="10" fillId="0" borderId="0" xfId="0" applyFont="1" applyAlignment="1">
      <alignment horizontal="left"/>
    </xf>
    <xf numFmtId="0" fontId="45" fillId="0" borderId="0" xfId="0" applyFont="1" applyAlignment="1">
      <alignment horizontal="center"/>
    </xf>
    <xf numFmtId="0" fontId="22" fillId="0" borderId="0" xfId="0" quotePrefix="1" applyFont="1"/>
    <xf numFmtId="0" fontId="47" fillId="0" borderId="0" xfId="0" applyFont="1" applyAlignment="1">
      <alignment horizontal="center"/>
    </xf>
    <xf numFmtId="0" fontId="46" fillId="0" borderId="0" xfId="0" applyFont="1"/>
    <xf numFmtId="0" fontId="46" fillId="0" borderId="0" xfId="0" applyFont="1" applyAlignment="1">
      <alignment horizontal="center"/>
    </xf>
    <xf numFmtId="0" fontId="13" fillId="0" borderId="0" xfId="0" applyFont="1" applyAlignment="1">
      <alignment vertical="center"/>
    </xf>
    <xf numFmtId="0" fontId="48" fillId="0" borderId="0" xfId="0" applyFont="1"/>
    <xf numFmtId="1" fontId="48" fillId="0" borderId="0" xfId="0" applyNumberFormat="1" applyFont="1"/>
    <xf numFmtId="2" fontId="48" fillId="0" borderId="0" xfId="0" applyNumberFormat="1" applyFont="1"/>
    <xf numFmtId="0" fontId="9" fillId="0" borderId="0" xfId="0" applyFont="1" applyAlignment="1">
      <alignment vertical="center"/>
    </xf>
    <xf numFmtId="0" fontId="49" fillId="0" borderId="0" xfId="0" applyFont="1"/>
    <xf numFmtId="0" fontId="25" fillId="0" borderId="0" xfId="0" applyFont="1"/>
    <xf numFmtId="164" fontId="0" fillId="0" borderId="0" xfId="0" applyNumberFormat="1"/>
    <xf numFmtId="2" fontId="49" fillId="0" borderId="0" xfId="0" applyNumberFormat="1" applyFont="1"/>
    <xf numFmtId="2" fontId="22" fillId="0" borderId="0" xfId="0" applyNumberFormat="1" applyFont="1"/>
    <xf numFmtId="164" fontId="22" fillId="0" borderId="0" xfId="0" applyNumberFormat="1" applyFont="1"/>
    <xf numFmtId="0" fontId="44" fillId="0" borderId="0" xfId="0" applyFont="1" applyAlignment="1">
      <alignment vertical="center"/>
    </xf>
    <xf numFmtId="49" fontId="0" fillId="0" borderId="0" xfId="0" applyNumberFormat="1" applyAlignment="1">
      <alignment vertical="center"/>
    </xf>
    <xf numFmtId="0" fontId="50" fillId="0" borderId="0" xfId="0" applyFont="1" applyAlignment="1">
      <alignment vertical="center"/>
    </xf>
    <xf numFmtId="0" fontId="22" fillId="0" borderId="0" xfId="0" applyFont="1" applyAlignment="1">
      <alignment vertical="center"/>
    </xf>
    <xf numFmtId="0" fontId="51" fillId="0" borderId="0" xfId="0" applyFont="1"/>
    <xf numFmtId="0" fontId="52" fillId="0" borderId="0" xfId="0" applyFont="1"/>
    <xf numFmtId="0" fontId="53" fillId="0" borderId="0" xfId="0" applyFont="1" applyAlignment="1">
      <alignment horizontal="right" vertical="center"/>
    </xf>
    <xf numFmtId="0" fontId="53" fillId="0" borderId="0" xfId="0" applyFont="1" applyAlignment="1">
      <alignment vertical="center"/>
    </xf>
    <xf numFmtId="16" fontId="22" fillId="0" borderId="0" xfId="0" applyNumberFormat="1" applyFont="1"/>
    <xf numFmtId="0" fontId="55" fillId="4" borderId="2" xfId="0" applyFont="1" applyFill="1" applyBorder="1" applyAlignment="1">
      <alignment vertical="center"/>
    </xf>
    <xf numFmtId="0" fontId="56" fillId="4" borderId="0" xfId="0" applyFont="1" applyFill="1" applyAlignment="1">
      <alignment vertical="center"/>
    </xf>
    <xf numFmtId="1" fontId="0" fillId="0" borderId="0" xfId="0" applyNumberFormat="1"/>
    <xf numFmtId="1" fontId="22" fillId="0" borderId="0" xfId="0" applyNumberFormat="1" applyFont="1"/>
    <xf numFmtId="2" fontId="46" fillId="0" borderId="0" xfId="0" applyNumberFormat="1" applyFont="1"/>
    <xf numFmtId="164" fontId="46" fillId="0" borderId="0" xfId="0" applyNumberFormat="1" applyFont="1"/>
    <xf numFmtId="166" fontId="0" fillId="0" borderId="0" xfId="0" applyNumberFormat="1"/>
    <xf numFmtId="166" fontId="46" fillId="0" borderId="0" xfId="0" applyNumberFormat="1" applyFont="1"/>
    <xf numFmtId="0" fontId="22" fillId="0" borderId="0" xfId="0" applyFont="1" applyAlignment="1">
      <alignment horizontal="right"/>
    </xf>
    <xf numFmtId="0" fontId="53" fillId="0" borderId="0" xfId="0" applyFont="1" applyAlignment="1">
      <alignment horizontal="left"/>
    </xf>
    <xf numFmtId="0" fontId="0" fillId="0" borderId="0" xfId="0" applyAlignment="1">
      <alignment horizontal="right" vertical="center"/>
    </xf>
    <xf numFmtId="0" fontId="44" fillId="0" borderId="0" xfId="0" applyFont="1" applyAlignment="1">
      <alignment horizontal="right" vertical="center"/>
    </xf>
    <xf numFmtId="0" fontId="13" fillId="0" borderId="0" xfId="0" applyFont="1" applyAlignment="1">
      <alignment horizontal="right"/>
    </xf>
    <xf numFmtId="0" fontId="9" fillId="0" borderId="0" xfId="0" applyFont="1" applyAlignment="1">
      <alignment horizontal="right"/>
    </xf>
    <xf numFmtId="0" fontId="9" fillId="0" borderId="0" xfId="2" applyFont="1" applyAlignment="1">
      <alignment horizontal="right"/>
    </xf>
    <xf numFmtId="0" fontId="58" fillId="0" borderId="0" xfId="0" applyFont="1" applyAlignment="1">
      <alignment horizontal="center"/>
    </xf>
    <xf numFmtId="0" fontId="27" fillId="0" borderId="0" xfId="0" applyFont="1" applyAlignment="1">
      <alignment horizontal="right"/>
    </xf>
    <xf numFmtId="0" fontId="58" fillId="0" borderId="0" xfId="2" applyFont="1" applyAlignment="1">
      <alignment horizontal="right"/>
    </xf>
    <xf numFmtId="0" fontId="11" fillId="0" borderId="0" xfId="0" applyFont="1"/>
    <xf numFmtId="49" fontId="22" fillId="0" borderId="0" xfId="0" applyNumberFormat="1" applyFont="1"/>
    <xf numFmtId="2" fontId="60" fillId="0" borderId="0" xfId="0" applyNumberFormat="1" applyFont="1"/>
    <xf numFmtId="0" fontId="60" fillId="0" borderId="0" xfId="0" applyFont="1"/>
    <xf numFmtId="0" fontId="60" fillId="0" borderId="0" xfId="0" applyFont="1" applyAlignment="1">
      <alignment horizontal="center"/>
    </xf>
    <xf numFmtId="0" fontId="60" fillId="0" borderId="0" xfId="2" applyFont="1" applyAlignment="1">
      <alignment horizontal="right"/>
    </xf>
    <xf numFmtId="0" fontId="62" fillId="0" borderId="0" xfId="0" applyFont="1"/>
    <xf numFmtId="0" fontId="22" fillId="0" borderId="0" xfId="0" applyFont="1" applyAlignment="1">
      <alignment horizontal="center"/>
    </xf>
    <xf numFmtId="0" fontId="27" fillId="0" borderId="0" xfId="0" applyFont="1" applyAlignment="1">
      <alignment horizontal="center"/>
    </xf>
    <xf numFmtId="0" fontId="27" fillId="0" borderId="0" xfId="0" applyFont="1"/>
    <xf numFmtId="0" fontId="9" fillId="0" borderId="0" xfId="2" applyFont="1"/>
    <xf numFmtId="0" fontId="22" fillId="0" borderId="0" xfId="0" applyFont="1" applyAlignment="1">
      <alignment horizontal="left"/>
    </xf>
    <xf numFmtId="0" fontId="22" fillId="0" borderId="0" xfId="2" applyFont="1"/>
    <xf numFmtId="0" fontId="58" fillId="0" borderId="0" xfId="0" applyFont="1" applyAlignment="1">
      <alignment horizontal="left"/>
    </xf>
    <xf numFmtId="0" fontId="59" fillId="0" borderId="0" xfId="0" applyFont="1"/>
    <xf numFmtId="0" fontId="58" fillId="0" borderId="0" xfId="0" applyFont="1"/>
    <xf numFmtId="0" fontId="60" fillId="0" borderId="0" xfId="0" applyFont="1" applyAlignment="1">
      <alignment horizontal="right"/>
    </xf>
    <xf numFmtId="0" fontId="60" fillId="0" borderId="0" xfId="0" applyFont="1" applyAlignment="1">
      <alignment horizontal="left"/>
    </xf>
    <xf numFmtId="0" fontId="61" fillId="0" borderId="0" xfId="0" applyFont="1"/>
    <xf numFmtId="0" fontId="31" fillId="0" borderId="0" xfId="0" applyFont="1" applyAlignment="1">
      <alignment horizontal="right"/>
    </xf>
    <xf numFmtId="0" fontId="28" fillId="0" borderId="0" xfId="0" applyFont="1"/>
    <xf numFmtId="14" fontId="0" fillId="0" borderId="0" xfId="0" applyNumberFormat="1"/>
    <xf numFmtId="0" fontId="0" fillId="0" borderId="11" xfId="0" applyBorder="1" applyAlignment="1">
      <alignment horizontal="right"/>
    </xf>
    <xf numFmtId="0" fontId="0" fillId="0" borderId="13" xfId="0" applyBorder="1" applyAlignment="1">
      <alignment horizontal="right"/>
    </xf>
    <xf numFmtId="0" fontId="29" fillId="0" borderId="0" xfId="0" applyFont="1" applyAlignment="1">
      <alignment horizontal="left"/>
    </xf>
    <xf numFmtId="2" fontId="0" fillId="0" borderId="0" xfId="0" applyNumberFormat="1" applyAlignment="1">
      <alignment horizontal="center"/>
    </xf>
    <xf numFmtId="22" fontId="27" fillId="0" borderId="0" xfId="0" applyNumberFormat="1" applyFont="1"/>
    <xf numFmtId="0" fontId="39" fillId="2" borderId="15" xfId="0" applyFont="1" applyFill="1" applyBorder="1" applyAlignment="1">
      <alignment horizontal="center"/>
    </xf>
    <xf numFmtId="0" fontId="4" fillId="0" borderId="16" xfId="0" applyFont="1" applyBorder="1" applyAlignment="1">
      <alignment horizontal="center"/>
    </xf>
    <xf numFmtId="0" fontId="4" fillId="3" borderId="16" xfId="0" applyFont="1" applyFill="1" applyBorder="1" applyAlignment="1">
      <alignment horizontal="center"/>
    </xf>
    <xf numFmtId="0" fontId="3" fillId="0" borderId="16" xfId="0" applyFont="1" applyBorder="1" applyAlignment="1">
      <alignment horizontal="center"/>
    </xf>
    <xf numFmtId="0" fontId="3" fillId="3" borderId="16" xfId="0" applyFont="1" applyFill="1" applyBorder="1" applyAlignment="1">
      <alignment horizontal="center"/>
    </xf>
    <xf numFmtId="14" fontId="35" fillId="4" borderId="0" xfId="0" applyNumberFormat="1" applyFont="1" applyFill="1" applyAlignment="1">
      <alignment horizontal="left" vertical="top"/>
    </xf>
    <xf numFmtId="0" fontId="48" fillId="0" borderId="17" xfId="0" applyFont="1" applyBorder="1" applyAlignment="1">
      <alignment horizontal="center"/>
    </xf>
    <xf numFmtId="0" fontId="65" fillId="0" borderId="0" xfId="0" applyFont="1" applyAlignment="1">
      <alignment horizontal="center"/>
    </xf>
    <xf numFmtId="0" fontId="66" fillId="0" borderId="0" xfId="0" applyFont="1" applyAlignment="1">
      <alignment horizontal="center"/>
    </xf>
    <xf numFmtId="0" fontId="67" fillId="0" borderId="0" xfId="0" applyFont="1"/>
    <xf numFmtId="0" fontId="67" fillId="0" borderId="0" xfId="0" applyFont="1" applyAlignment="1">
      <alignment horizontal="right"/>
    </xf>
    <xf numFmtId="0" fontId="67" fillId="0" borderId="0" xfId="0" applyFont="1" applyAlignment="1">
      <alignment horizontal="center"/>
    </xf>
    <xf numFmtId="0" fontId="68" fillId="0" borderId="0" xfId="0" applyFont="1" applyAlignment="1">
      <alignment horizontal="right"/>
    </xf>
    <xf numFmtId="0" fontId="68" fillId="0" borderId="0" xfId="0" applyFont="1" applyAlignment="1">
      <alignment horizontal="center"/>
    </xf>
    <xf numFmtId="0" fontId="46" fillId="0" borderId="0" xfId="0" applyFont="1" applyAlignment="1">
      <alignment horizontal="right"/>
    </xf>
    <xf numFmtId="0" fontId="58" fillId="0" borderId="0" xfId="0" applyFont="1" applyAlignment="1">
      <alignment horizontal="right"/>
    </xf>
    <xf numFmtId="0" fontId="47" fillId="0" borderId="0" xfId="0" applyFont="1" applyAlignment="1">
      <alignment horizontal="right"/>
    </xf>
    <xf numFmtId="0" fontId="49" fillId="0" borderId="0" xfId="0" applyFont="1" applyAlignment="1">
      <alignment horizontal="right"/>
    </xf>
    <xf numFmtId="0" fontId="68" fillId="0" borderId="0" xfId="0" applyFont="1"/>
    <xf numFmtId="0" fontId="35" fillId="0" borderId="0" xfId="0" applyFont="1" applyAlignment="1">
      <alignment horizontal="right"/>
    </xf>
    <xf numFmtId="0" fontId="69" fillId="0" borderId="0" xfId="0" applyFont="1" applyAlignment="1">
      <alignment horizontal="right"/>
    </xf>
    <xf numFmtId="0" fontId="29" fillId="0" borderId="0" xfId="0" applyFont="1"/>
    <xf numFmtId="0" fontId="71" fillId="0" borderId="0" xfId="0" applyFont="1"/>
    <xf numFmtId="0" fontId="70" fillId="0" borderId="0" xfId="0" applyFont="1"/>
    <xf numFmtId="1" fontId="70" fillId="0" borderId="0" xfId="0" applyNumberFormat="1" applyFont="1"/>
    <xf numFmtId="2" fontId="70" fillId="0" borderId="0" xfId="0" applyNumberFormat="1" applyFont="1"/>
    <xf numFmtId="1" fontId="60" fillId="0" borderId="0" xfId="0" applyNumberFormat="1" applyFont="1"/>
    <xf numFmtId="2" fontId="31" fillId="0" borderId="0" xfId="0" applyNumberFormat="1" applyFont="1" applyAlignment="1">
      <alignment horizontal="right" vertical="center"/>
    </xf>
    <xf numFmtId="0" fontId="31" fillId="0" borderId="0" xfId="0" applyFont="1" applyAlignment="1">
      <alignment horizontal="left" vertical="top"/>
    </xf>
    <xf numFmtId="0" fontId="3" fillId="0" borderId="0" xfId="0" applyFont="1" applyAlignment="1">
      <alignment horizontal="center"/>
    </xf>
    <xf numFmtId="0" fontId="64" fillId="0" borderId="0" xfId="0" applyFont="1" applyAlignment="1">
      <alignment horizontal="center"/>
    </xf>
    <xf numFmtId="0" fontId="2" fillId="0" borderId="0" xfId="0" applyFont="1" applyAlignment="1">
      <alignment horizontal="left"/>
    </xf>
    <xf numFmtId="0" fontId="8" fillId="0" borderId="0" xfId="0" applyFont="1" applyAlignment="1">
      <alignment horizontal="left"/>
    </xf>
    <xf numFmtId="0" fontId="31" fillId="0" borderId="0" xfId="0" applyFont="1" applyAlignment="1">
      <alignment horizontal="center"/>
    </xf>
    <xf numFmtId="0" fontId="43" fillId="0" borderId="0" xfId="0" applyFont="1" applyAlignment="1">
      <alignment horizontal="right" vertical="center"/>
    </xf>
    <xf numFmtId="0" fontId="43" fillId="0" borderId="0" xfId="0" applyFont="1" applyAlignment="1">
      <alignment horizontal="right"/>
    </xf>
    <xf numFmtId="0" fontId="17" fillId="0" borderId="0" xfId="0" applyFont="1" applyAlignment="1">
      <alignment horizontal="center"/>
    </xf>
    <xf numFmtId="0" fontId="0" fillId="0" borderId="0" xfId="0" quotePrefix="1" applyAlignment="1">
      <alignment horizontal="right"/>
    </xf>
    <xf numFmtId="0" fontId="41" fillId="0" borderId="0" xfId="0" applyFont="1" applyAlignment="1">
      <alignment horizontal="left" vertical="center"/>
    </xf>
    <xf numFmtId="49" fontId="17" fillId="0" borderId="0" xfId="0" applyNumberFormat="1" applyFont="1" applyAlignment="1">
      <alignment horizontal="center"/>
    </xf>
    <xf numFmtId="0" fontId="17" fillId="0" borderId="0" xfId="0" applyFont="1" applyAlignment="1">
      <alignment horizontal="center" vertical="center"/>
    </xf>
    <xf numFmtId="167" fontId="0" fillId="0" borderId="0" xfId="0" applyNumberFormat="1"/>
    <xf numFmtId="167" fontId="22" fillId="0" borderId="0" xfId="0" applyNumberFormat="1" applyFont="1"/>
    <xf numFmtId="166" fontId="22" fillId="0" borderId="0" xfId="0" applyNumberFormat="1" applyFont="1"/>
    <xf numFmtId="11" fontId="0" fillId="0" borderId="0" xfId="0" applyNumberFormat="1"/>
    <xf numFmtId="168" fontId="0" fillId="0" borderId="0" xfId="0" applyNumberFormat="1"/>
    <xf numFmtId="22" fontId="9" fillId="0" borderId="0" xfId="0" applyNumberFormat="1" applyFont="1"/>
    <xf numFmtId="49" fontId="10" fillId="0" borderId="0" xfId="0" applyNumberFormat="1" applyFont="1" applyAlignment="1">
      <alignment horizontal="left"/>
    </xf>
    <xf numFmtId="0" fontId="9" fillId="0" borderId="0" xfId="0" applyFont="1" applyAlignment="1">
      <alignment horizontal="left" vertical="center"/>
    </xf>
    <xf numFmtId="0" fontId="46" fillId="0" borderId="0" xfId="0" applyFont="1" applyAlignment="1">
      <alignment horizontal="right" vertical="center"/>
    </xf>
    <xf numFmtId="0" fontId="0" fillId="0" borderId="0" xfId="0" applyAlignment="1">
      <alignment vertical="center" wrapText="1"/>
    </xf>
    <xf numFmtId="0" fontId="73" fillId="3" borderId="16" xfId="0" applyFont="1" applyFill="1" applyBorder="1" applyAlignment="1">
      <alignment horizontal="center"/>
    </xf>
    <xf numFmtId="0" fontId="73" fillId="0" borderId="16" xfId="0" applyFont="1" applyBorder="1" applyAlignment="1">
      <alignment horizontal="center"/>
    </xf>
    <xf numFmtId="0" fontId="48" fillId="3" borderId="16" xfId="0" applyFont="1" applyFill="1" applyBorder="1" applyAlignment="1">
      <alignment horizontal="center"/>
    </xf>
    <xf numFmtId="0" fontId="63" fillId="3" borderId="16" xfId="0" applyFont="1" applyFill="1" applyBorder="1" applyAlignment="1">
      <alignment horizontal="center"/>
    </xf>
    <xf numFmtId="0" fontId="48" fillId="0" borderId="16" xfId="0" applyFont="1" applyBorder="1" applyAlignment="1">
      <alignment horizontal="center"/>
    </xf>
    <xf numFmtId="0" fontId="63" fillId="0" borderId="16" xfId="0" applyFont="1" applyBorder="1" applyAlignment="1">
      <alignment horizontal="center"/>
    </xf>
    <xf numFmtId="0" fontId="48" fillId="3" borderId="17" xfId="0" applyFont="1" applyFill="1" applyBorder="1" applyAlignment="1">
      <alignment horizontal="center"/>
    </xf>
    <xf numFmtId="0" fontId="63" fillId="3" borderId="17" xfId="0" applyFont="1" applyFill="1" applyBorder="1" applyAlignment="1">
      <alignment horizontal="center"/>
    </xf>
    <xf numFmtId="2" fontId="10" fillId="0" borderId="10" xfId="0" applyNumberFormat="1" applyFont="1" applyBorder="1" applyAlignment="1">
      <alignment horizontal="center"/>
    </xf>
    <xf numFmtId="0" fontId="10" fillId="0" borderId="18" xfId="0" applyFont="1" applyBorder="1" applyAlignment="1">
      <alignment horizontal="center"/>
    </xf>
    <xf numFmtId="2" fontId="43" fillId="0" borderId="12" xfId="0" applyNumberFormat="1" applyFont="1" applyBorder="1" applyAlignment="1">
      <alignment horizontal="center"/>
    </xf>
    <xf numFmtId="2" fontId="0" fillId="0" borderId="12" xfId="0" applyNumberFormat="1" applyBorder="1" applyAlignment="1">
      <alignment horizontal="center"/>
    </xf>
    <xf numFmtId="0" fontId="9" fillId="0" borderId="19" xfId="0" applyFont="1" applyBorder="1" applyAlignment="1">
      <alignment horizontal="center"/>
    </xf>
    <xf numFmtId="2" fontId="0" fillId="0" borderId="14" xfId="0" applyNumberFormat="1" applyBorder="1" applyAlignment="1">
      <alignment horizontal="center"/>
    </xf>
    <xf numFmtId="14" fontId="0" fillId="0" borderId="0" xfId="0" applyNumberFormat="1" applyAlignment="1">
      <alignment horizontal="center"/>
    </xf>
    <xf numFmtId="0" fontId="10" fillId="0" borderId="9" xfId="0" applyFont="1" applyBorder="1" applyAlignment="1">
      <alignment horizontal="right"/>
    </xf>
    <xf numFmtId="0" fontId="10" fillId="0" borderId="11" xfId="0" applyFont="1" applyBorder="1" applyAlignment="1">
      <alignment horizontal="right"/>
    </xf>
    <xf numFmtId="1" fontId="71" fillId="0" borderId="0" xfId="0" applyNumberFormat="1" applyFont="1"/>
    <xf numFmtId="2" fontId="71" fillId="0" borderId="0" xfId="0" applyNumberFormat="1" applyFont="1"/>
    <xf numFmtId="0" fontId="75" fillId="0" borderId="0" xfId="0" applyFont="1" applyAlignment="1">
      <alignment vertical="center"/>
    </xf>
    <xf numFmtId="0" fontId="76" fillId="0" borderId="0" xfId="0" applyFont="1" applyAlignment="1">
      <alignment vertical="center"/>
    </xf>
    <xf numFmtId="0" fontId="76" fillId="0" borderId="0" xfId="0" applyFont="1" applyAlignment="1">
      <alignment vertical="center" wrapText="1"/>
    </xf>
    <xf numFmtId="0" fontId="48" fillId="3" borderId="16" xfId="0" applyFont="1" applyFill="1" applyBorder="1" applyAlignment="1">
      <alignment horizontal="left"/>
    </xf>
    <xf numFmtId="0" fontId="48" fillId="0" borderId="16" xfId="0" applyFont="1" applyBorder="1" applyAlignment="1">
      <alignment horizontal="left"/>
    </xf>
    <xf numFmtId="0" fontId="3" fillId="0" borderId="16" xfId="0" applyFont="1" applyBorder="1" applyAlignment="1">
      <alignment horizontal="left"/>
    </xf>
    <xf numFmtId="0" fontId="8" fillId="0" borderId="16" xfId="0" applyFont="1" applyBorder="1" applyAlignment="1">
      <alignment horizontal="left"/>
    </xf>
    <xf numFmtId="0" fontId="39" fillId="2" borderId="15" xfId="0" applyFont="1" applyFill="1" applyBorder="1" applyAlignment="1">
      <alignment horizontal="center"/>
    </xf>
    <xf numFmtId="0" fontId="1" fillId="3" borderId="16" xfId="0" applyFont="1" applyFill="1" applyBorder="1" applyAlignment="1">
      <alignment horizontal="left"/>
    </xf>
    <xf numFmtId="0" fontId="8" fillId="3" borderId="16" xfId="0" applyFont="1" applyFill="1" applyBorder="1" applyAlignment="1">
      <alignment horizontal="left"/>
    </xf>
    <xf numFmtId="0" fontId="6" fillId="0" borderId="16" xfId="0" applyFont="1" applyBorder="1" applyAlignment="1">
      <alignment horizontal="left"/>
    </xf>
    <xf numFmtId="0" fontId="1" fillId="0" borderId="16" xfId="0" applyFont="1" applyBorder="1" applyAlignment="1">
      <alignment horizontal="left"/>
    </xf>
    <xf numFmtId="0" fontId="76" fillId="0" borderId="0" xfId="0" applyFont="1" applyAlignment="1">
      <alignment horizontal="left" vertical="center" wrapText="1"/>
    </xf>
    <xf numFmtId="0" fontId="74" fillId="3" borderId="16" xfId="0" applyFont="1" applyFill="1" applyBorder="1" applyAlignment="1">
      <alignment horizontal="left"/>
    </xf>
    <xf numFmtId="0" fontId="74" fillId="0" borderId="16" xfId="0" applyFont="1" applyBorder="1" applyAlignment="1">
      <alignment horizontal="left"/>
    </xf>
    <xf numFmtId="0" fontId="7" fillId="3" borderId="16" xfId="0" applyFont="1" applyFill="1" applyBorder="1" applyAlignment="1">
      <alignment horizontal="left"/>
    </xf>
    <xf numFmtId="0" fontId="2" fillId="0" borderId="16" xfId="0" applyFont="1" applyBorder="1" applyAlignment="1">
      <alignment horizontal="left"/>
    </xf>
    <xf numFmtId="0" fontId="2" fillId="3" borderId="16" xfId="0" applyFont="1" applyFill="1" applyBorder="1" applyAlignment="1">
      <alignment horizontal="left"/>
    </xf>
    <xf numFmtId="0" fontId="3" fillId="3" borderId="16" xfId="0" applyFont="1" applyFill="1" applyBorder="1" applyAlignment="1">
      <alignment horizontal="left"/>
    </xf>
    <xf numFmtId="0" fontId="28" fillId="0" borderId="0" xfId="0" applyFont="1" applyAlignment="1">
      <alignment horizontal="center"/>
    </xf>
    <xf numFmtId="0" fontId="0" fillId="0" borderId="0" xfId="0" applyAlignment="1">
      <alignment horizontal="center" vertical="center" textRotation="90"/>
    </xf>
    <xf numFmtId="0" fontId="9" fillId="0" borderId="0" xfId="0" applyFont="1" applyAlignment="1">
      <alignment horizontal="center" vertical="center" textRotation="90"/>
    </xf>
    <xf numFmtId="0" fontId="17" fillId="0" borderId="0" xfId="0" applyFont="1" applyAlignment="1">
      <alignment horizontal="center"/>
    </xf>
    <xf numFmtId="0" fontId="9" fillId="0" borderId="0" xfId="0" applyFont="1" applyAlignment="1">
      <alignment horizontal="center"/>
    </xf>
  </cellXfs>
  <cellStyles count="3">
    <cellStyle name="Normal" xfId="0" builtinId="0"/>
    <cellStyle name="Normal 2" xfId="2" xr:uid="{00000000-0005-0000-0000-000001000000}"/>
    <cellStyle name="Normal 3" xfId="1" xr:uid="{00000000-0005-0000-0000-000002000000}"/>
  </cellStyles>
  <dxfs count="0"/>
  <tableStyles count="0" defaultTableStyle="TableStyleMedium2" defaultPivotStyle="PivotStyleLight16"/>
  <colors>
    <mruColors>
      <color rgb="FF0000FF"/>
      <color rgb="FF4454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APEXPARM.DAT!$AU$6:$AU$26</c:f>
              <c:numCache>
                <c:formatCode>General</c:formatCode>
                <c:ptCount val="21"/>
                <c:pt idx="0">
                  <c:v>0</c:v>
                </c:pt>
                <c:pt idx="1">
                  <c:v>0.7</c:v>
                </c:pt>
                <c:pt idx="2">
                  <c:v>1.4</c:v>
                </c:pt>
                <c:pt idx="3">
                  <c:v>2.0999999999999996</c:v>
                </c:pt>
                <c:pt idx="4">
                  <c:v>2.8</c:v>
                </c:pt>
                <c:pt idx="5">
                  <c:v>3.5</c:v>
                </c:pt>
                <c:pt idx="6">
                  <c:v>4.1999999999999993</c:v>
                </c:pt>
                <c:pt idx="7">
                  <c:v>4.8999999999999995</c:v>
                </c:pt>
                <c:pt idx="8">
                  <c:v>5.6</c:v>
                </c:pt>
                <c:pt idx="9">
                  <c:v>6.3</c:v>
                </c:pt>
                <c:pt idx="10">
                  <c:v>7</c:v>
                </c:pt>
                <c:pt idx="11">
                  <c:v>7.6999999999999993</c:v>
                </c:pt>
                <c:pt idx="12">
                  <c:v>8.3999999999999986</c:v>
                </c:pt>
                <c:pt idx="13">
                  <c:v>9.1</c:v>
                </c:pt>
                <c:pt idx="14">
                  <c:v>9.7999999999999989</c:v>
                </c:pt>
                <c:pt idx="15">
                  <c:v>10.5</c:v>
                </c:pt>
                <c:pt idx="16">
                  <c:v>11.2</c:v>
                </c:pt>
                <c:pt idx="17">
                  <c:v>11.899999999999999</c:v>
                </c:pt>
                <c:pt idx="18">
                  <c:v>12.6</c:v>
                </c:pt>
                <c:pt idx="19">
                  <c:v>13.299999999999999</c:v>
                </c:pt>
                <c:pt idx="20">
                  <c:v>14</c:v>
                </c:pt>
              </c:numCache>
            </c:numRef>
          </c:xVal>
          <c:yVal>
            <c:numRef>
              <c:f>APEXPARM.DAT!$AV$6:$AV$26</c:f>
              <c:numCache>
                <c:formatCode>0.0E+00</c:formatCode>
                <c:ptCount val="21"/>
                <c:pt idx="0">
                  <c:v>0</c:v>
                </c:pt>
                <c:pt idx="1">
                  <c:v>1.4261046436132766E-2</c:v>
                </c:pt>
                <c:pt idx="2">
                  <c:v>3.9405479951089575E-2</c:v>
                </c:pt>
                <c:pt idx="3">
                  <c:v>8.0238032205428966E-2</c:v>
                </c:pt>
                <c:pt idx="4">
                  <c:v>0.14156279711511155</c:v>
                </c:pt>
                <c:pt idx="5">
                  <c:v>0.22615316664055121</c:v>
                </c:pt>
                <c:pt idx="6">
                  <c:v>0.33208392395918168</c:v>
                </c:pt>
                <c:pt idx="7">
                  <c:v>0.45126545716373684</c:v>
                </c:pt>
                <c:pt idx="8">
                  <c:v>0.57127069940979536</c:v>
                </c:pt>
                <c:pt idx="9">
                  <c:v>0.68002476011034163</c:v>
                </c:pt>
                <c:pt idx="10">
                  <c:v>0.76999999999999968</c:v>
                </c:pt>
                <c:pt idx="11">
                  <c:v>0.8392538059307143</c:v>
                </c:pt>
                <c:pt idx="12">
                  <c:v>0.88980619086963175</c:v>
                </c:pt>
                <c:pt idx="13">
                  <c:v>0.92538516968459239</c:v>
                </c:pt>
                <c:pt idx="14">
                  <c:v>0.94983848407396587</c:v>
                </c:pt>
                <c:pt idx="15">
                  <c:v>0.96640162498372095</c:v>
                </c:pt>
                <c:pt idx="16">
                  <c:v>0.97752687040115716</c:v>
                </c:pt>
                <c:pt idx="17">
                  <c:v>0.98496751515045788</c:v>
                </c:pt>
                <c:pt idx="18">
                  <c:v>0.98993543273216722</c:v>
                </c:pt>
                <c:pt idx="19">
                  <c:v>0.99325208534252396</c:v>
                </c:pt>
                <c:pt idx="20">
                  <c:v>0.99546826948049871</c:v>
                </c:pt>
              </c:numCache>
            </c:numRef>
          </c:yVal>
          <c:smooth val="0"/>
          <c:extLst>
            <c:ext xmlns:c16="http://schemas.microsoft.com/office/drawing/2014/chart" uri="{C3380CC4-5D6E-409C-BE32-E72D297353CC}">
              <c16:uniqueId val="{00000000-2E6E-4A3F-865D-CF45AFDFE741}"/>
            </c:ext>
          </c:extLst>
        </c:ser>
        <c:dLbls>
          <c:showLegendKey val="0"/>
          <c:showVal val="0"/>
          <c:showCatName val="0"/>
          <c:showSerName val="0"/>
          <c:showPercent val="0"/>
          <c:showBubbleSize val="0"/>
        </c:dLbls>
        <c:axId val="814545039"/>
        <c:axId val="306949727"/>
      </c:scatterChart>
      <c:valAx>
        <c:axId val="8145450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949727"/>
        <c:crosses val="autoZero"/>
        <c:crossBetween val="midCat"/>
      </c:valAx>
      <c:valAx>
        <c:axId val="306949727"/>
        <c:scaling>
          <c:orientation val="minMax"/>
        </c:scaling>
        <c:delete val="0"/>
        <c:axPos val="l"/>
        <c:majorGridlines>
          <c:spPr>
            <a:ln w="9525" cap="flat" cmpd="sng" algn="ctr">
              <a:solidFill>
                <a:schemeClr val="tx1">
                  <a:lumMod val="15000"/>
                  <a:lumOff val="85000"/>
                </a:schemeClr>
              </a:solidFill>
              <a:round/>
            </a:ln>
            <a:effectLst/>
          </c:spPr>
        </c:majorGridlines>
        <c:numFmt formatCode="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45450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5" Type="http://schemas.openxmlformats.org/officeDocument/2006/relationships/image" Target="../media/image10.emf"/><Relationship Id="rId4"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8.emf"/><Relationship Id="rId1" Type="http://schemas.openxmlformats.org/officeDocument/2006/relationships/image" Target="../media/image19.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3.emf"/><Relationship Id="rId1" Type="http://schemas.openxmlformats.org/officeDocument/2006/relationships/image" Target="../media/image24.emf"/><Relationship Id="rId5" Type="http://schemas.openxmlformats.org/officeDocument/2006/relationships/image" Target="../media/image21.emf"/><Relationship Id="rId4" Type="http://schemas.openxmlformats.org/officeDocument/2006/relationships/image" Target="../media/image22.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 Id="rId6" Type="http://schemas.openxmlformats.org/officeDocument/2006/relationships/image" Target="../media/image26.emf"/><Relationship Id="rId5" Type="http://schemas.openxmlformats.org/officeDocument/2006/relationships/image" Target="../media/image31.emf"/><Relationship Id="rId4" Type="http://schemas.openxmlformats.org/officeDocument/2006/relationships/image" Target="../media/image2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 Id="rId5" Type="http://schemas.openxmlformats.org/officeDocument/2006/relationships/image" Target="../media/image32.emf"/><Relationship Id="rId4" Type="http://schemas.openxmlformats.org/officeDocument/2006/relationships/image" Target="../media/image33.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 Id="rId5" Type="http://schemas.openxmlformats.org/officeDocument/2006/relationships/image" Target="../media/image41.emf"/><Relationship Id="rId4" Type="http://schemas.openxmlformats.org/officeDocument/2006/relationships/image" Target="../media/image4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3.emf"/><Relationship Id="rId1" Type="http://schemas.openxmlformats.org/officeDocument/2006/relationships/image" Target="../media/image42.emf"/><Relationship Id="rId5" Type="http://schemas.openxmlformats.org/officeDocument/2006/relationships/image" Target="../media/image46.emf"/><Relationship Id="rId4"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49.emf"/><Relationship Id="rId1" Type="http://schemas.openxmlformats.org/officeDocument/2006/relationships/image" Target="../media/image50.emf"/><Relationship Id="rId5" Type="http://schemas.openxmlformats.org/officeDocument/2006/relationships/image" Target="../media/image47.emf"/><Relationship Id="rId4" Type="http://schemas.openxmlformats.org/officeDocument/2006/relationships/image" Target="../media/image48.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56.emf"/><Relationship Id="rId2" Type="http://schemas.openxmlformats.org/officeDocument/2006/relationships/image" Target="../media/image55.emf"/><Relationship Id="rId1" Type="http://schemas.openxmlformats.org/officeDocument/2006/relationships/image" Target="../media/image54.emf"/><Relationship Id="rId5" Type="http://schemas.openxmlformats.org/officeDocument/2006/relationships/image" Target="../media/image52.emf"/><Relationship Id="rId4" Type="http://schemas.openxmlformats.org/officeDocument/2006/relationships/image" Target="../media/image53.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59.emf"/><Relationship Id="rId1" Type="http://schemas.openxmlformats.org/officeDocument/2006/relationships/image" Target="../media/image60.emf"/><Relationship Id="rId5" Type="http://schemas.openxmlformats.org/officeDocument/2006/relationships/image" Target="../media/image57.emf"/><Relationship Id="rId4" Type="http://schemas.openxmlformats.org/officeDocument/2006/relationships/image" Target="../media/image58.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4.emf"/><Relationship Id="rId1" Type="http://schemas.openxmlformats.org/officeDocument/2006/relationships/image" Target="../media/image65.emf"/><Relationship Id="rId5" Type="http://schemas.openxmlformats.org/officeDocument/2006/relationships/image" Target="../media/image62.emf"/><Relationship Id="rId4" Type="http://schemas.openxmlformats.org/officeDocument/2006/relationships/image" Target="../media/image6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68.emf"/><Relationship Id="rId2" Type="http://schemas.openxmlformats.org/officeDocument/2006/relationships/image" Target="../media/image69.emf"/><Relationship Id="rId1" Type="http://schemas.openxmlformats.org/officeDocument/2006/relationships/image" Target="../media/image70.emf"/><Relationship Id="rId4" Type="http://schemas.openxmlformats.org/officeDocument/2006/relationships/image" Target="../media/image67.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3.emf"/><Relationship Id="rId1" Type="http://schemas.openxmlformats.org/officeDocument/2006/relationships/image" Target="../media/image74.emf"/><Relationship Id="rId4" Type="http://schemas.openxmlformats.org/officeDocument/2006/relationships/image" Target="../media/image7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76.emf"/><Relationship Id="rId2" Type="http://schemas.openxmlformats.org/officeDocument/2006/relationships/image" Target="../media/image77.emf"/><Relationship Id="rId1" Type="http://schemas.openxmlformats.org/officeDocument/2006/relationships/image" Target="../media/image78.emf"/><Relationship Id="rId4" Type="http://schemas.openxmlformats.org/officeDocument/2006/relationships/image" Target="../media/image75.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80.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81.emf"/><Relationship Id="rId1" Type="http://schemas.openxmlformats.org/officeDocument/2006/relationships/image" Target="../media/image82.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4.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5.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88.emf"/><Relationship Id="rId1" Type="http://schemas.openxmlformats.org/officeDocument/2006/relationships/image" Target="../media/image87.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91.emf"/><Relationship Id="rId1" Type="http://schemas.openxmlformats.org/officeDocument/2006/relationships/image" Target="../media/image92.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01.emf"/><Relationship Id="rId2" Type="http://schemas.openxmlformats.org/officeDocument/2006/relationships/image" Target="../media/image100.emf"/><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oneCellAnchor>
    <xdr:from>
      <xdr:col>11</xdr:col>
      <xdr:colOff>323215</xdr:colOff>
      <xdr:row>1</xdr:row>
      <xdr:rowOff>34290</xdr:rowOff>
    </xdr:from>
    <xdr:ext cx="1981200" cy="884897"/>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51115" y="218440"/>
          <a:ext cx="1981200" cy="8848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xdr:twoCellAnchor editAs="oneCell">
    <xdr:from>
      <xdr:col>1</xdr:col>
      <xdr:colOff>495300</xdr:colOff>
      <xdr:row>1</xdr:row>
      <xdr:rowOff>16163</xdr:rowOff>
    </xdr:from>
    <xdr:to>
      <xdr:col>2</xdr:col>
      <xdr:colOff>1438275</xdr:colOff>
      <xdr:row>4</xdr:row>
      <xdr:rowOff>180974</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6275" y="206663"/>
          <a:ext cx="1762125" cy="9077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12</xdr:col>
          <xdr:colOff>560614</xdr:colOff>
          <xdr:row>5</xdr:row>
          <xdr:rowOff>125186</xdr:rowOff>
        </xdr:from>
        <xdr:to>
          <xdr:col>14</xdr:col>
          <xdr:colOff>620486</xdr:colOff>
          <xdr:row>7</xdr:row>
          <xdr:rowOff>59871</xdr:rowOff>
        </xdr:to>
        <xdr:sp macro="" textlink="">
          <xdr:nvSpPr>
            <xdr:cNvPr id="37891" name="cmdOpenProj" hidden="1">
              <a:extLst>
                <a:ext uri="{63B3BB69-23CF-44E3-9099-C40C66FF867C}">
                  <a14:compatExt spid="_x0000_s37891"/>
                </a:ext>
                <a:ext uri="{FF2B5EF4-FFF2-40B4-BE49-F238E27FC236}">
                  <a16:creationId xmlns:a16="http://schemas.microsoft.com/office/drawing/2014/main" id="{00000000-0008-0000-0000-000003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0</xdr:row>
          <xdr:rowOff>65314</xdr:rowOff>
        </xdr:from>
        <xdr:to>
          <xdr:col>4</xdr:col>
          <xdr:colOff>484414</xdr:colOff>
          <xdr:row>1</xdr:row>
          <xdr:rowOff>125186</xdr:rowOff>
        </xdr:to>
        <xdr:sp macro="" textlink="">
          <xdr:nvSpPr>
            <xdr:cNvPr id="34817" name="cmdReadFil"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522514</xdr:colOff>
          <xdr:row>0</xdr:row>
          <xdr:rowOff>65314</xdr:rowOff>
        </xdr:from>
        <xdr:to>
          <xdr:col>6</xdr:col>
          <xdr:colOff>326571</xdr:colOff>
          <xdr:row>1</xdr:row>
          <xdr:rowOff>125186</xdr:rowOff>
        </xdr:to>
        <xdr:sp macro="" textlink="">
          <xdr:nvSpPr>
            <xdr:cNvPr id="34818" name="cmdWriteFil" hidden="1">
              <a:extLst>
                <a:ext uri="{63B3BB69-23CF-44E3-9099-C40C66FF867C}">
                  <a14:compatExt spid="_x0000_s34818"/>
                </a:ext>
                <a:ext uri="{FF2B5EF4-FFF2-40B4-BE49-F238E27FC236}">
                  <a16:creationId xmlns:a16="http://schemas.microsoft.com/office/drawing/2014/main" id="{00000000-0008-0000-01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522514</xdr:colOff>
          <xdr:row>0</xdr:row>
          <xdr:rowOff>65314</xdr:rowOff>
        </xdr:from>
        <xdr:to>
          <xdr:col>8</xdr:col>
          <xdr:colOff>315686</xdr:colOff>
          <xdr:row>1</xdr:row>
          <xdr:rowOff>125186</xdr:rowOff>
        </xdr:to>
        <xdr:sp macro="" textlink="">
          <xdr:nvSpPr>
            <xdr:cNvPr id="34819" name="cmdRun"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0</xdr:row>
          <xdr:rowOff>76200</xdr:rowOff>
        </xdr:from>
        <xdr:to>
          <xdr:col>7</xdr:col>
          <xdr:colOff>446314</xdr:colOff>
          <xdr:row>1</xdr:row>
          <xdr:rowOff>136071</xdr:rowOff>
        </xdr:to>
        <xdr:sp macro="" textlink="">
          <xdr:nvSpPr>
            <xdr:cNvPr id="4097" name="cmdReadRun"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76200</xdr:rowOff>
        </xdr:from>
        <xdr:to>
          <xdr:col>9</xdr:col>
          <xdr:colOff>293914</xdr:colOff>
          <xdr:row>1</xdr:row>
          <xdr:rowOff>136071</xdr:rowOff>
        </xdr:to>
        <xdr:sp macro="" textlink="">
          <xdr:nvSpPr>
            <xdr:cNvPr id="4098" name="cmdWriteRun"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0</xdr:row>
          <xdr:rowOff>76200</xdr:rowOff>
        </xdr:from>
        <xdr:to>
          <xdr:col>11</xdr:col>
          <xdr:colOff>250371</xdr:colOff>
          <xdr:row>1</xdr:row>
          <xdr:rowOff>136071</xdr:rowOff>
        </xdr:to>
        <xdr:sp macro="" textlink="">
          <xdr:nvSpPr>
            <xdr:cNvPr id="4101" name="cmdRun"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0</xdr:row>
          <xdr:rowOff>217714</xdr:rowOff>
        </xdr:from>
        <xdr:to>
          <xdr:col>10</xdr:col>
          <xdr:colOff>27214</xdr:colOff>
          <xdr:row>1</xdr:row>
          <xdr:rowOff>212271</xdr:rowOff>
        </xdr:to>
        <xdr:sp macro="" textlink="">
          <xdr:nvSpPr>
            <xdr:cNvPr id="1025" name="cmdWrite"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370114</xdr:colOff>
          <xdr:row>0</xdr:row>
          <xdr:rowOff>217714</xdr:rowOff>
        </xdr:from>
        <xdr:to>
          <xdr:col>8</xdr:col>
          <xdr:colOff>174171</xdr:colOff>
          <xdr:row>1</xdr:row>
          <xdr:rowOff>212271</xdr:rowOff>
        </xdr:to>
        <xdr:sp macro="" textlink="">
          <xdr:nvSpPr>
            <xdr:cNvPr id="1028" name="cmdRead"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125186</xdr:colOff>
          <xdr:row>0</xdr:row>
          <xdr:rowOff>217714</xdr:rowOff>
        </xdr:from>
        <xdr:to>
          <xdr:col>11</xdr:col>
          <xdr:colOff>555171</xdr:colOff>
          <xdr:row>1</xdr:row>
          <xdr:rowOff>212271</xdr:rowOff>
        </xdr:to>
        <xdr:sp macro="" textlink="">
          <xdr:nvSpPr>
            <xdr:cNvPr id="1032" name="cmdRun"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21771</xdr:colOff>
          <xdr:row>1</xdr:row>
          <xdr:rowOff>21771</xdr:rowOff>
        </xdr:from>
        <xdr:to>
          <xdr:col>3</xdr:col>
          <xdr:colOff>59871</xdr:colOff>
          <xdr:row>2</xdr:row>
          <xdr:rowOff>10886</xdr:rowOff>
        </xdr:to>
        <xdr:sp macro="" textlink="">
          <xdr:nvSpPr>
            <xdr:cNvPr id="1034" name="cmbBoxCont"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0</xdr:row>
          <xdr:rowOff>217714</xdr:rowOff>
        </xdr:from>
        <xdr:to>
          <xdr:col>6</xdr:col>
          <xdr:colOff>255814</xdr:colOff>
          <xdr:row>1</xdr:row>
          <xdr:rowOff>212271</xdr:rowOff>
        </xdr:to>
        <xdr:sp macro="" textlink="">
          <xdr:nvSpPr>
            <xdr:cNvPr id="1036" name="cmdGetCont"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48986</xdr:colOff>
          <xdr:row>0</xdr:row>
          <xdr:rowOff>59871</xdr:rowOff>
        </xdr:from>
        <xdr:to>
          <xdr:col>6</xdr:col>
          <xdr:colOff>457200</xdr:colOff>
          <xdr:row>1</xdr:row>
          <xdr:rowOff>114300</xdr:rowOff>
        </xdr:to>
        <xdr:sp macro="" textlink="">
          <xdr:nvSpPr>
            <xdr:cNvPr id="11265" name="cmdReadDim"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506186</xdr:colOff>
          <xdr:row>0</xdr:row>
          <xdr:rowOff>59871</xdr:rowOff>
        </xdr:from>
        <xdr:to>
          <xdr:col>8</xdr:col>
          <xdr:colOff>304800</xdr:colOff>
          <xdr:row>1</xdr:row>
          <xdr:rowOff>125186</xdr:rowOff>
        </xdr:to>
        <xdr:sp macro="" textlink="">
          <xdr:nvSpPr>
            <xdr:cNvPr id="11266" name="cmdWriteDim"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364671</xdr:colOff>
          <xdr:row>0</xdr:row>
          <xdr:rowOff>59871</xdr:rowOff>
        </xdr:from>
        <xdr:to>
          <xdr:col>10</xdr:col>
          <xdr:colOff>163286</xdr:colOff>
          <xdr:row>1</xdr:row>
          <xdr:rowOff>125186</xdr:rowOff>
        </xdr:to>
        <xdr:sp macro="" textlink="">
          <xdr:nvSpPr>
            <xdr:cNvPr id="11267" name="cmdRun"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0</xdr:row>
          <xdr:rowOff>59871</xdr:rowOff>
        </xdr:from>
        <xdr:to>
          <xdr:col>8</xdr:col>
          <xdr:colOff>437244</xdr:colOff>
          <xdr:row>1</xdr:row>
          <xdr:rowOff>114300</xdr:rowOff>
        </xdr:to>
        <xdr:sp macro="" textlink="">
          <xdr:nvSpPr>
            <xdr:cNvPr id="10248" name="cmdReadPrnt"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484414</xdr:colOff>
          <xdr:row>0</xdr:row>
          <xdr:rowOff>59871</xdr:rowOff>
        </xdr:from>
        <xdr:to>
          <xdr:col>10</xdr:col>
          <xdr:colOff>283029</xdr:colOff>
          <xdr:row>1</xdr:row>
          <xdr:rowOff>114300</xdr:rowOff>
        </xdr:to>
        <xdr:sp macro="" textlink="">
          <xdr:nvSpPr>
            <xdr:cNvPr id="10249" name="cmdWritePrnt"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370114</xdr:colOff>
          <xdr:row>0</xdr:row>
          <xdr:rowOff>59871</xdr:rowOff>
        </xdr:from>
        <xdr:to>
          <xdr:col>12</xdr:col>
          <xdr:colOff>168729</xdr:colOff>
          <xdr:row>1</xdr:row>
          <xdr:rowOff>114300</xdr:rowOff>
        </xdr:to>
        <xdr:sp macro="" textlink="">
          <xdr:nvSpPr>
            <xdr:cNvPr id="10250" name="cmdRun"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555171</xdr:colOff>
          <xdr:row>0</xdr:row>
          <xdr:rowOff>228600</xdr:rowOff>
        </xdr:from>
        <xdr:to>
          <xdr:col>8</xdr:col>
          <xdr:colOff>429986</xdr:colOff>
          <xdr:row>1</xdr:row>
          <xdr:rowOff>239486</xdr:rowOff>
        </xdr:to>
        <xdr:sp macro="" textlink="">
          <xdr:nvSpPr>
            <xdr:cNvPr id="12289" name="cmdReadParm"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446314</xdr:colOff>
          <xdr:row>0</xdr:row>
          <xdr:rowOff>228600</xdr:rowOff>
        </xdr:from>
        <xdr:to>
          <xdr:col>10</xdr:col>
          <xdr:colOff>315686</xdr:colOff>
          <xdr:row>1</xdr:row>
          <xdr:rowOff>239486</xdr:rowOff>
        </xdr:to>
        <xdr:sp macro="" textlink="">
          <xdr:nvSpPr>
            <xdr:cNvPr id="12290" name="cmdWriteParm"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370114</xdr:colOff>
          <xdr:row>0</xdr:row>
          <xdr:rowOff>228600</xdr:rowOff>
        </xdr:from>
        <xdr:to>
          <xdr:col>12</xdr:col>
          <xdr:colOff>239486</xdr:colOff>
          <xdr:row>1</xdr:row>
          <xdr:rowOff>239486</xdr:rowOff>
        </xdr:to>
        <xdr:sp macro="" textlink="">
          <xdr:nvSpPr>
            <xdr:cNvPr id="12291" name="cmdRun"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21771</xdr:colOff>
          <xdr:row>1</xdr:row>
          <xdr:rowOff>21771</xdr:rowOff>
        </xdr:from>
        <xdr:to>
          <xdr:col>3</xdr:col>
          <xdr:colOff>65314</xdr:colOff>
          <xdr:row>2</xdr:row>
          <xdr:rowOff>10886</xdr:rowOff>
        </xdr:to>
        <xdr:sp macro="" textlink="">
          <xdr:nvSpPr>
            <xdr:cNvPr id="12293" name="cmbBoxParm"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65314</xdr:colOff>
          <xdr:row>0</xdr:row>
          <xdr:rowOff>228600</xdr:rowOff>
        </xdr:from>
        <xdr:to>
          <xdr:col>6</xdr:col>
          <xdr:colOff>495300</xdr:colOff>
          <xdr:row>1</xdr:row>
          <xdr:rowOff>239486</xdr:rowOff>
        </xdr:to>
        <xdr:sp macro="" textlink="">
          <xdr:nvSpPr>
            <xdr:cNvPr id="12294" name="cmbGetParm" hidden="1">
              <a:extLst>
                <a:ext uri="{63B3BB69-23CF-44E3-9099-C40C66FF867C}">
                  <a14:compatExt spid="_x0000_s12294"/>
                </a:ext>
                <a:ext uri="{FF2B5EF4-FFF2-40B4-BE49-F238E27FC236}">
                  <a16:creationId xmlns:a16="http://schemas.microsoft.com/office/drawing/2014/main" id="{00000000-0008-0000-06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568324</xdr:colOff>
      <xdr:row>3</xdr:row>
      <xdr:rowOff>146050</xdr:rowOff>
    </xdr:from>
    <xdr:to>
      <xdr:col>50</xdr:col>
      <xdr:colOff>558799</xdr:colOff>
      <xdr:row>27</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593271</xdr:colOff>
          <xdr:row>1</xdr:row>
          <xdr:rowOff>38100</xdr:rowOff>
        </xdr:from>
        <xdr:to>
          <xdr:col>8</xdr:col>
          <xdr:colOff>364671</xdr:colOff>
          <xdr:row>2</xdr:row>
          <xdr:rowOff>163286</xdr:rowOff>
        </xdr:to>
        <xdr:sp macro="" textlink="">
          <xdr:nvSpPr>
            <xdr:cNvPr id="30721" name="cmdReadOpc" hidden="1">
              <a:extLst>
                <a:ext uri="{63B3BB69-23CF-44E3-9099-C40C66FF867C}">
                  <a14:compatExt spid="_x0000_s30721"/>
                </a:ext>
                <a:ext uri="{FF2B5EF4-FFF2-40B4-BE49-F238E27FC236}">
                  <a16:creationId xmlns:a16="http://schemas.microsoft.com/office/drawing/2014/main" id="{00000000-0008-0000-07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402771</xdr:colOff>
          <xdr:row>1</xdr:row>
          <xdr:rowOff>38100</xdr:rowOff>
        </xdr:from>
        <xdr:to>
          <xdr:col>10</xdr:col>
          <xdr:colOff>201386</xdr:colOff>
          <xdr:row>2</xdr:row>
          <xdr:rowOff>163286</xdr:rowOff>
        </xdr:to>
        <xdr:sp macro="" textlink="">
          <xdr:nvSpPr>
            <xdr:cNvPr id="30722" name="cmdWriteOpc" hidden="1">
              <a:extLst>
                <a:ext uri="{63B3BB69-23CF-44E3-9099-C40C66FF867C}">
                  <a14:compatExt spid="_x0000_s30722"/>
                </a:ext>
                <a:ext uri="{FF2B5EF4-FFF2-40B4-BE49-F238E27FC236}">
                  <a16:creationId xmlns:a16="http://schemas.microsoft.com/office/drawing/2014/main" id="{00000000-0008-0000-07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136071</xdr:rowOff>
        </xdr:from>
        <xdr:to>
          <xdr:col>3</xdr:col>
          <xdr:colOff>76200</xdr:colOff>
          <xdr:row>3</xdr:row>
          <xdr:rowOff>0</xdr:rowOff>
        </xdr:to>
        <xdr:sp macro="" textlink="">
          <xdr:nvSpPr>
            <xdr:cNvPr id="30723" name="cmbBoxOpc" hidden="1">
              <a:extLst>
                <a:ext uri="{63B3BB69-23CF-44E3-9099-C40C66FF867C}">
                  <a14:compatExt spid="_x0000_s30723"/>
                </a:ext>
                <a:ext uri="{FF2B5EF4-FFF2-40B4-BE49-F238E27FC236}">
                  <a16:creationId xmlns:a16="http://schemas.microsoft.com/office/drawing/2014/main" id="{00000000-0008-0000-07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48986</xdr:colOff>
          <xdr:row>1</xdr:row>
          <xdr:rowOff>38100</xdr:rowOff>
        </xdr:from>
        <xdr:to>
          <xdr:col>6</xdr:col>
          <xdr:colOff>457200</xdr:colOff>
          <xdr:row>2</xdr:row>
          <xdr:rowOff>163286</xdr:rowOff>
        </xdr:to>
        <xdr:sp macro="" textlink="">
          <xdr:nvSpPr>
            <xdr:cNvPr id="30739" name="cmdGetOpc" hidden="1">
              <a:extLst>
                <a:ext uri="{63B3BB69-23CF-44E3-9099-C40C66FF867C}">
                  <a14:compatExt spid="_x0000_s30739"/>
                </a:ext>
                <a:ext uri="{FF2B5EF4-FFF2-40B4-BE49-F238E27FC236}">
                  <a16:creationId xmlns:a16="http://schemas.microsoft.com/office/drawing/2014/main" id="{00000000-0008-0000-0700-00001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402771</xdr:colOff>
          <xdr:row>1</xdr:row>
          <xdr:rowOff>38100</xdr:rowOff>
        </xdr:from>
        <xdr:to>
          <xdr:col>12</xdr:col>
          <xdr:colOff>190500</xdr:colOff>
          <xdr:row>2</xdr:row>
          <xdr:rowOff>174171</xdr:rowOff>
        </xdr:to>
        <xdr:sp macro="" textlink="">
          <xdr:nvSpPr>
            <xdr:cNvPr id="30740" name="cmdRun" hidden="1">
              <a:extLst>
                <a:ext uri="{63B3BB69-23CF-44E3-9099-C40C66FF867C}">
                  <a14:compatExt spid="_x0000_s30740"/>
                </a:ext>
                <a:ext uri="{FF2B5EF4-FFF2-40B4-BE49-F238E27FC236}">
                  <a16:creationId xmlns:a16="http://schemas.microsoft.com/office/drawing/2014/main" id="{00000000-0008-0000-0700-00001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163286</xdr:colOff>
          <xdr:row>4</xdr:row>
          <xdr:rowOff>10886</xdr:rowOff>
        </xdr:from>
        <xdr:to>
          <xdr:col>1</xdr:col>
          <xdr:colOff>402771</xdr:colOff>
          <xdr:row>35</xdr:row>
          <xdr:rowOff>0</xdr:rowOff>
        </xdr:to>
        <xdr:sp macro="" textlink="">
          <xdr:nvSpPr>
            <xdr:cNvPr id="99564" name="chkShowHelp" hidden="1">
              <a:extLst>
                <a:ext uri="{63B3BB69-23CF-44E3-9099-C40C66FF867C}">
                  <a14:compatExt spid="_x0000_s99564"/>
                </a:ext>
                <a:ext uri="{FF2B5EF4-FFF2-40B4-BE49-F238E27FC236}">
                  <a16:creationId xmlns:a16="http://schemas.microsoft.com/office/drawing/2014/main" id="{00000000-0008-0000-0700-0000EC8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593271</xdr:colOff>
          <xdr:row>2</xdr:row>
          <xdr:rowOff>38100</xdr:rowOff>
        </xdr:from>
        <xdr:to>
          <xdr:col>8</xdr:col>
          <xdr:colOff>328386</xdr:colOff>
          <xdr:row>3</xdr:row>
          <xdr:rowOff>168729</xdr:rowOff>
        </xdr:to>
        <xdr:sp macro="" textlink="">
          <xdr:nvSpPr>
            <xdr:cNvPr id="72710" name="cmdReadSol" hidden="1">
              <a:extLst>
                <a:ext uri="{63B3BB69-23CF-44E3-9099-C40C66FF867C}">
                  <a14:compatExt spid="_x0000_s72710"/>
                </a:ext>
                <a:ext uri="{FF2B5EF4-FFF2-40B4-BE49-F238E27FC236}">
                  <a16:creationId xmlns:a16="http://schemas.microsoft.com/office/drawing/2014/main" id="{00000000-0008-0000-0800-000006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402771</xdr:colOff>
          <xdr:row>2</xdr:row>
          <xdr:rowOff>38100</xdr:rowOff>
        </xdr:from>
        <xdr:to>
          <xdr:col>10</xdr:col>
          <xdr:colOff>205014</xdr:colOff>
          <xdr:row>3</xdr:row>
          <xdr:rowOff>168729</xdr:rowOff>
        </xdr:to>
        <xdr:sp macro="" textlink="">
          <xdr:nvSpPr>
            <xdr:cNvPr id="72711" name="cmdWriteSol" hidden="1">
              <a:extLst>
                <a:ext uri="{63B3BB69-23CF-44E3-9099-C40C66FF867C}">
                  <a14:compatExt spid="_x0000_s72711"/>
                </a:ext>
                <a:ext uri="{FF2B5EF4-FFF2-40B4-BE49-F238E27FC236}">
                  <a16:creationId xmlns:a16="http://schemas.microsoft.com/office/drawing/2014/main" id="{00000000-0008-0000-0800-000007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136071</xdr:rowOff>
        </xdr:from>
        <xdr:to>
          <xdr:col>3</xdr:col>
          <xdr:colOff>76200</xdr:colOff>
          <xdr:row>4</xdr:row>
          <xdr:rowOff>0</xdr:rowOff>
        </xdr:to>
        <xdr:sp macro="" textlink="">
          <xdr:nvSpPr>
            <xdr:cNvPr id="72712" name="cmbBoxSol" hidden="1">
              <a:extLst>
                <a:ext uri="{63B3BB69-23CF-44E3-9099-C40C66FF867C}">
                  <a14:compatExt spid="_x0000_s72712"/>
                </a:ext>
                <a:ext uri="{FF2B5EF4-FFF2-40B4-BE49-F238E27FC236}">
                  <a16:creationId xmlns:a16="http://schemas.microsoft.com/office/drawing/2014/main" id="{00000000-0008-0000-0800-000008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48986</xdr:colOff>
          <xdr:row>2</xdr:row>
          <xdr:rowOff>38100</xdr:rowOff>
        </xdr:from>
        <xdr:to>
          <xdr:col>6</xdr:col>
          <xdr:colOff>442686</xdr:colOff>
          <xdr:row>3</xdr:row>
          <xdr:rowOff>168729</xdr:rowOff>
        </xdr:to>
        <xdr:sp macro="" textlink="">
          <xdr:nvSpPr>
            <xdr:cNvPr id="72713" name="cmdGetSol" hidden="1">
              <a:extLst>
                <a:ext uri="{63B3BB69-23CF-44E3-9099-C40C66FF867C}">
                  <a14:compatExt spid="_x0000_s72713"/>
                </a:ext>
                <a:ext uri="{FF2B5EF4-FFF2-40B4-BE49-F238E27FC236}">
                  <a16:creationId xmlns:a16="http://schemas.microsoft.com/office/drawing/2014/main" id="{00000000-0008-0000-0800-000009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402771</xdr:colOff>
          <xdr:row>2</xdr:row>
          <xdr:rowOff>38100</xdr:rowOff>
        </xdr:from>
        <xdr:to>
          <xdr:col>12</xdr:col>
          <xdr:colOff>205014</xdr:colOff>
          <xdr:row>3</xdr:row>
          <xdr:rowOff>168729</xdr:rowOff>
        </xdr:to>
        <xdr:sp macro="" textlink="">
          <xdr:nvSpPr>
            <xdr:cNvPr id="72714" name="cmdRunSol" hidden="1">
              <a:extLst>
                <a:ext uri="{63B3BB69-23CF-44E3-9099-C40C66FF867C}">
                  <a14:compatExt spid="_x0000_s72714"/>
                </a:ext>
                <a:ext uri="{FF2B5EF4-FFF2-40B4-BE49-F238E27FC236}">
                  <a16:creationId xmlns:a16="http://schemas.microsoft.com/office/drawing/2014/main" id="{00000000-0008-0000-0800-00000A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2656114</xdr:colOff>
          <xdr:row>0</xdr:row>
          <xdr:rowOff>255814</xdr:rowOff>
        </xdr:from>
        <xdr:to>
          <xdr:col>1</xdr:col>
          <xdr:colOff>3706586</xdr:colOff>
          <xdr:row>2</xdr:row>
          <xdr:rowOff>21771</xdr:rowOff>
        </xdr:to>
        <xdr:sp macro="" textlink="">
          <xdr:nvSpPr>
            <xdr:cNvPr id="47105" name="cmdReadSub" hidden="1">
              <a:extLst>
                <a:ext uri="{63B3BB69-23CF-44E3-9099-C40C66FF867C}">
                  <a14:compatExt spid="_x0000_s47105"/>
                </a:ext>
                <a:ext uri="{FF2B5EF4-FFF2-40B4-BE49-F238E27FC236}">
                  <a16:creationId xmlns:a16="http://schemas.microsoft.com/office/drawing/2014/main" id="{00000000-0008-0000-0900-000001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3744686</xdr:colOff>
          <xdr:row>0</xdr:row>
          <xdr:rowOff>255814</xdr:rowOff>
        </xdr:from>
        <xdr:to>
          <xdr:col>2</xdr:col>
          <xdr:colOff>179614</xdr:colOff>
          <xdr:row>2</xdr:row>
          <xdr:rowOff>21771</xdr:rowOff>
        </xdr:to>
        <xdr:sp macro="" textlink="">
          <xdr:nvSpPr>
            <xdr:cNvPr id="47106" name="cmdWriteSub" hidden="1">
              <a:extLst>
                <a:ext uri="{63B3BB69-23CF-44E3-9099-C40C66FF867C}">
                  <a14:compatExt spid="_x0000_s47106"/>
                </a:ext>
                <a:ext uri="{FF2B5EF4-FFF2-40B4-BE49-F238E27FC236}">
                  <a16:creationId xmlns:a16="http://schemas.microsoft.com/office/drawing/2014/main" id="{00000000-0008-0000-09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0</xdr:row>
          <xdr:rowOff>255814</xdr:rowOff>
        </xdr:from>
        <xdr:to>
          <xdr:col>3</xdr:col>
          <xdr:colOff>239486</xdr:colOff>
          <xdr:row>2</xdr:row>
          <xdr:rowOff>21771</xdr:rowOff>
        </xdr:to>
        <xdr:sp macro="" textlink="">
          <xdr:nvSpPr>
            <xdr:cNvPr id="47107" name="cmdRun" hidden="1">
              <a:extLst>
                <a:ext uri="{63B3BB69-23CF-44E3-9099-C40C66FF867C}">
                  <a14:compatExt spid="_x0000_s47107"/>
                </a:ext>
                <a:ext uri="{FF2B5EF4-FFF2-40B4-BE49-F238E27FC236}">
                  <a16:creationId xmlns:a16="http://schemas.microsoft.com/office/drawing/2014/main" id="{00000000-0008-0000-0900-000003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21771</xdr:colOff>
          <xdr:row>1</xdr:row>
          <xdr:rowOff>21771</xdr:rowOff>
        </xdr:from>
        <xdr:to>
          <xdr:col>1</xdr:col>
          <xdr:colOff>1475014</xdr:colOff>
          <xdr:row>1</xdr:row>
          <xdr:rowOff>250371</xdr:rowOff>
        </xdr:to>
        <xdr:sp macro="" textlink="">
          <xdr:nvSpPr>
            <xdr:cNvPr id="47113" name="cmbBoxSub" hidden="1">
              <a:extLst>
                <a:ext uri="{63B3BB69-23CF-44E3-9099-C40C66FF867C}">
                  <a14:compatExt spid="_x0000_s47113"/>
                </a:ext>
                <a:ext uri="{FF2B5EF4-FFF2-40B4-BE49-F238E27FC236}">
                  <a16:creationId xmlns:a16="http://schemas.microsoft.com/office/drawing/2014/main" id="{00000000-0008-0000-0900-000009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1534886</xdr:colOff>
          <xdr:row>0</xdr:row>
          <xdr:rowOff>255814</xdr:rowOff>
        </xdr:from>
        <xdr:to>
          <xdr:col>1</xdr:col>
          <xdr:colOff>2552700</xdr:colOff>
          <xdr:row>2</xdr:row>
          <xdr:rowOff>10886</xdr:rowOff>
        </xdr:to>
        <xdr:sp macro="" textlink="">
          <xdr:nvSpPr>
            <xdr:cNvPr id="47114" name="cmdGetSub" hidden="1">
              <a:extLst>
                <a:ext uri="{63B3BB69-23CF-44E3-9099-C40C66FF867C}">
                  <a14:compatExt spid="_x0000_s47114"/>
                </a:ext>
                <a:ext uri="{FF2B5EF4-FFF2-40B4-BE49-F238E27FC236}">
                  <a16:creationId xmlns:a16="http://schemas.microsoft.com/office/drawing/2014/main" id="{00000000-0008-0000-0900-00000A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506186</xdr:colOff>
          <xdr:row>0</xdr:row>
          <xdr:rowOff>288471</xdr:rowOff>
        </xdr:from>
        <xdr:to>
          <xdr:col>10</xdr:col>
          <xdr:colOff>304800</xdr:colOff>
          <xdr:row>2</xdr:row>
          <xdr:rowOff>27214</xdr:rowOff>
        </xdr:to>
        <xdr:sp macro="" textlink="">
          <xdr:nvSpPr>
            <xdr:cNvPr id="81921" name="cmdWrite" hidden="1">
              <a:extLst>
                <a:ext uri="{63B3BB69-23CF-44E3-9099-C40C66FF867C}">
                  <a14:compatExt spid="_x0000_s81921"/>
                </a:ext>
                <a:ext uri="{FF2B5EF4-FFF2-40B4-BE49-F238E27FC236}">
                  <a16:creationId xmlns:a16="http://schemas.microsoft.com/office/drawing/2014/main" id="{00000000-0008-0000-0A00-000001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0</xdr:row>
          <xdr:rowOff>288471</xdr:rowOff>
        </xdr:from>
        <xdr:to>
          <xdr:col>8</xdr:col>
          <xdr:colOff>446314</xdr:colOff>
          <xdr:row>2</xdr:row>
          <xdr:rowOff>27214</xdr:rowOff>
        </xdr:to>
        <xdr:sp macro="" textlink="">
          <xdr:nvSpPr>
            <xdr:cNvPr id="81922" name="cmdRead" hidden="1">
              <a:extLst>
                <a:ext uri="{63B3BB69-23CF-44E3-9099-C40C66FF867C}">
                  <a14:compatExt spid="_x0000_s81922"/>
                </a:ext>
                <a:ext uri="{FF2B5EF4-FFF2-40B4-BE49-F238E27FC236}">
                  <a16:creationId xmlns:a16="http://schemas.microsoft.com/office/drawing/2014/main" id="{00000000-0008-0000-0A00-000002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402771</xdr:colOff>
          <xdr:row>0</xdr:row>
          <xdr:rowOff>288471</xdr:rowOff>
        </xdr:from>
        <xdr:to>
          <xdr:col>12</xdr:col>
          <xdr:colOff>217714</xdr:colOff>
          <xdr:row>2</xdr:row>
          <xdr:rowOff>27214</xdr:rowOff>
        </xdr:to>
        <xdr:sp macro="" textlink="">
          <xdr:nvSpPr>
            <xdr:cNvPr id="81923" name="cmdRun" hidden="1">
              <a:extLst>
                <a:ext uri="{63B3BB69-23CF-44E3-9099-C40C66FF867C}">
                  <a14:compatExt spid="_x0000_s81923"/>
                </a:ext>
                <a:ext uri="{FF2B5EF4-FFF2-40B4-BE49-F238E27FC236}">
                  <a16:creationId xmlns:a16="http://schemas.microsoft.com/office/drawing/2014/main" id="{00000000-0008-0000-0A00-000003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21771</xdr:colOff>
          <xdr:row>1</xdr:row>
          <xdr:rowOff>21771</xdr:rowOff>
        </xdr:from>
        <xdr:to>
          <xdr:col>3</xdr:col>
          <xdr:colOff>59871</xdr:colOff>
          <xdr:row>2</xdr:row>
          <xdr:rowOff>10886</xdr:rowOff>
        </xdr:to>
        <xdr:sp macro="" textlink="">
          <xdr:nvSpPr>
            <xdr:cNvPr id="81924" name="cmbBoxSit" hidden="1">
              <a:extLst>
                <a:ext uri="{63B3BB69-23CF-44E3-9099-C40C66FF867C}">
                  <a14:compatExt spid="_x0000_s81924"/>
                </a:ext>
                <a:ext uri="{FF2B5EF4-FFF2-40B4-BE49-F238E27FC236}">
                  <a16:creationId xmlns:a16="http://schemas.microsoft.com/office/drawing/2014/main" id="{00000000-0008-0000-0A00-000004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125186</xdr:colOff>
          <xdr:row>0</xdr:row>
          <xdr:rowOff>288471</xdr:rowOff>
        </xdr:from>
        <xdr:to>
          <xdr:col>6</xdr:col>
          <xdr:colOff>533400</xdr:colOff>
          <xdr:row>2</xdr:row>
          <xdr:rowOff>27214</xdr:rowOff>
        </xdr:to>
        <xdr:sp macro="" textlink="">
          <xdr:nvSpPr>
            <xdr:cNvPr id="81925" name="cmdGetSit" hidden="1">
              <a:extLst>
                <a:ext uri="{63B3BB69-23CF-44E3-9099-C40C66FF867C}">
                  <a14:compatExt spid="_x0000_s81925"/>
                </a:ext>
                <a:ext uri="{FF2B5EF4-FFF2-40B4-BE49-F238E27FC236}">
                  <a16:creationId xmlns:a16="http://schemas.microsoft.com/office/drawing/2014/main" id="{00000000-0008-0000-0A00-000005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533400</xdr:colOff>
          <xdr:row>0</xdr:row>
          <xdr:rowOff>250371</xdr:rowOff>
        </xdr:from>
        <xdr:to>
          <xdr:col>8</xdr:col>
          <xdr:colOff>332014</xdr:colOff>
          <xdr:row>2</xdr:row>
          <xdr:rowOff>0</xdr:rowOff>
        </xdr:to>
        <xdr:sp macro="" textlink="">
          <xdr:nvSpPr>
            <xdr:cNvPr id="49153" name="cmdReadTil" hidden="1">
              <a:extLst>
                <a:ext uri="{63B3BB69-23CF-44E3-9099-C40C66FF867C}">
                  <a14:compatExt spid="_x0000_s49153"/>
                </a:ext>
                <a:ext uri="{FF2B5EF4-FFF2-40B4-BE49-F238E27FC236}">
                  <a16:creationId xmlns:a16="http://schemas.microsoft.com/office/drawing/2014/main" id="{00000000-0008-0000-0B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370114</xdr:colOff>
          <xdr:row>0</xdr:row>
          <xdr:rowOff>250371</xdr:rowOff>
        </xdr:from>
        <xdr:to>
          <xdr:col>10</xdr:col>
          <xdr:colOff>174171</xdr:colOff>
          <xdr:row>2</xdr:row>
          <xdr:rowOff>0</xdr:rowOff>
        </xdr:to>
        <xdr:sp macro="" textlink="">
          <xdr:nvSpPr>
            <xdr:cNvPr id="49154" name="cmdWriteTil" hidden="1">
              <a:extLst>
                <a:ext uri="{63B3BB69-23CF-44E3-9099-C40C66FF867C}">
                  <a14:compatExt spid="_x0000_s49154"/>
                </a:ext>
                <a:ext uri="{FF2B5EF4-FFF2-40B4-BE49-F238E27FC236}">
                  <a16:creationId xmlns:a16="http://schemas.microsoft.com/office/drawing/2014/main" id="{00000000-0008-0000-0B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277586</xdr:colOff>
          <xdr:row>0</xdr:row>
          <xdr:rowOff>250371</xdr:rowOff>
        </xdr:from>
        <xdr:to>
          <xdr:col>12</xdr:col>
          <xdr:colOff>76200</xdr:colOff>
          <xdr:row>2</xdr:row>
          <xdr:rowOff>0</xdr:rowOff>
        </xdr:to>
        <xdr:sp macro="" textlink="">
          <xdr:nvSpPr>
            <xdr:cNvPr id="49155" name="cmdRun" hidden="1">
              <a:extLst>
                <a:ext uri="{63B3BB69-23CF-44E3-9099-C40C66FF867C}">
                  <a14:compatExt spid="_x0000_s49155"/>
                </a:ext>
                <a:ext uri="{FF2B5EF4-FFF2-40B4-BE49-F238E27FC236}">
                  <a16:creationId xmlns:a16="http://schemas.microsoft.com/office/drawing/2014/main" id="{00000000-0008-0000-0B00-000003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21771</xdr:colOff>
          <xdr:row>1</xdr:row>
          <xdr:rowOff>21771</xdr:rowOff>
        </xdr:from>
        <xdr:to>
          <xdr:col>3</xdr:col>
          <xdr:colOff>27214</xdr:colOff>
          <xdr:row>2</xdr:row>
          <xdr:rowOff>10886</xdr:rowOff>
        </xdr:to>
        <xdr:sp macro="" textlink="">
          <xdr:nvSpPr>
            <xdr:cNvPr id="49191" name="cmbBoxTil" hidden="1">
              <a:extLst>
                <a:ext uri="{63B3BB69-23CF-44E3-9099-C40C66FF867C}">
                  <a14:compatExt spid="_x0000_s49191"/>
                </a:ext>
                <a:ext uri="{FF2B5EF4-FFF2-40B4-BE49-F238E27FC236}">
                  <a16:creationId xmlns:a16="http://schemas.microsoft.com/office/drawing/2014/main" id="{00000000-0008-0000-0B00-000027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21771</xdr:colOff>
          <xdr:row>0</xdr:row>
          <xdr:rowOff>250371</xdr:rowOff>
        </xdr:from>
        <xdr:to>
          <xdr:col>6</xdr:col>
          <xdr:colOff>429986</xdr:colOff>
          <xdr:row>2</xdr:row>
          <xdr:rowOff>0</xdr:rowOff>
        </xdr:to>
        <xdr:sp macro="" textlink="">
          <xdr:nvSpPr>
            <xdr:cNvPr id="49192" name="cmdGetTil" hidden="1">
              <a:extLst>
                <a:ext uri="{63B3BB69-23CF-44E3-9099-C40C66FF867C}">
                  <a14:compatExt spid="_x0000_s49192"/>
                </a:ext>
                <a:ext uri="{FF2B5EF4-FFF2-40B4-BE49-F238E27FC236}">
                  <a16:creationId xmlns:a16="http://schemas.microsoft.com/office/drawing/2014/main" id="{00000000-0008-0000-0B00-000028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555171</xdr:colOff>
          <xdr:row>0</xdr:row>
          <xdr:rowOff>250371</xdr:rowOff>
        </xdr:from>
        <xdr:to>
          <xdr:col>8</xdr:col>
          <xdr:colOff>391886</xdr:colOff>
          <xdr:row>2</xdr:row>
          <xdr:rowOff>10886</xdr:rowOff>
        </xdr:to>
        <xdr:sp macro="" textlink="">
          <xdr:nvSpPr>
            <xdr:cNvPr id="61441" name="cmdReadCrop" hidden="1">
              <a:extLst>
                <a:ext uri="{63B3BB69-23CF-44E3-9099-C40C66FF867C}">
                  <a14:compatExt spid="_x0000_s61441"/>
                </a:ext>
                <a:ext uri="{FF2B5EF4-FFF2-40B4-BE49-F238E27FC236}">
                  <a16:creationId xmlns:a16="http://schemas.microsoft.com/office/drawing/2014/main" id="{00000000-0008-0000-0C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408214</xdr:colOff>
          <xdr:row>0</xdr:row>
          <xdr:rowOff>250371</xdr:rowOff>
        </xdr:from>
        <xdr:to>
          <xdr:col>10</xdr:col>
          <xdr:colOff>250371</xdr:colOff>
          <xdr:row>2</xdr:row>
          <xdr:rowOff>10886</xdr:rowOff>
        </xdr:to>
        <xdr:sp macro="" textlink="">
          <xdr:nvSpPr>
            <xdr:cNvPr id="61442" name="cmdWriteCrop" hidden="1">
              <a:extLst>
                <a:ext uri="{63B3BB69-23CF-44E3-9099-C40C66FF867C}">
                  <a14:compatExt spid="_x0000_s61442"/>
                </a:ext>
                <a:ext uri="{FF2B5EF4-FFF2-40B4-BE49-F238E27FC236}">
                  <a16:creationId xmlns:a16="http://schemas.microsoft.com/office/drawing/2014/main" id="{00000000-0008-0000-0C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326571</xdr:colOff>
          <xdr:row>0</xdr:row>
          <xdr:rowOff>250371</xdr:rowOff>
        </xdr:from>
        <xdr:to>
          <xdr:col>12</xdr:col>
          <xdr:colOff>174171</xdr:colOff>
          <xdr:row>2</xdr:row>
          <xdr:rowOff>10886</xdr:rowOff>
        </xdr:to>
        <xdr:sp macro="" textlink="">
          <xdr:nvSpPr>
            <xdr:cNvPr id="61443" name="cmdRun" hidden="1">
              <a:extLst>
                <a:ext uri="{63B3BB69-23CF-44E3-9099-C40C66FF867C}">
                  <a14:compatExt spid="_x0000_s61443"/>
                </a:ext>
                <a:ext uri="{FF2B5EF4-FFF2-40B4-BE49-F238E27FC236}">
                  <a16:creationId xmlns:a16="http://schemas.microsoft.com/office/drawing/2014/main" id="{00000000-0008-0000-0C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21771</xdr:colOff>
          <xdr:row>1</xdr:row>
          <xdr:rowOff>21771</xdr:rowOff>
        </xdr:from>
        <xdr:to>
          <xdr:col>3</xdr:col>
          <xdr:colOff>59871</xdr:colOff>
          <xdr:row>2</xdr:row>
          <xdr:rowOff>10886</xdr:rowOff>
        </xdr:to>
        <xdr:sp macro="" textlink="">
          <xdr:nvSpPr>
            <xdr:cNvPr id="61504" name="cmbBoxCrop" hidden="1">
              <a:extLst>
                <a:ext uri="{63B3BB69-23CF-44E3-9099-C40C66FF867C}">
                  <a14:compatExt spid="_x0000_s61504"/>
                </a:ext>
                <a:ext uri="{FF2B5EF4-FFF2-40B4-BE49-F238E27FC236}">
                  <a16:creationId xmlns:a16="http://schemas.microsoft.com/office/drawing/2014/main" id="{00000000-0008-0000-0C00-000040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48986</xdr:colOff>
          <xdr:row>0</xdr:row>
          <xdr:rowOff>250371</xdr:rowOff>
        </xdr:from>
        <xdr:to>
          <xdr:col>6</xdr:col>
          <xdr:colOff>468086</xdr:colOff>
          <xdr:row>2</xdr:row>
          <xdr:rowOff>10886</xdr:rowOff>
        </xdr:to>
        <xdr:sp macro="" textlink="">
          <xdr:nvSpPr>
            <xdr:cNvPr id="61505" name="cmdGetCrop" hidden="1">
              <a:extLst>
                <a:ext uri="{63B3BB69-23CF-44E3-9099-C40C66FF867C}">
                  <a14:compatExt spid="_x0000_s61505"/>
                </a:ext>
                <a:ext uri="{FF2B5EF4-FFF2-40B4-BE49-F238E27FC236}">
                  <a16:creationId xmlns:a16="http://schemas.microsoft.com/office/drawing/2014/main" id="{00000000-0008-0000-0C00-00004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517071</xdr:colOff>
          <xdr:row>0</xdr:row>
          <xdr:rowOff>239486</xdr:rowOff>
        </xdr:from>
        <xdr:to>
          <xdr:col>8</xdr:col>
          <xdr:colOff>315686</xdr:colOff>
          <xdr:row>1</xdr:row>
          <xdr:rowOff>239486</xdr:rowOff>
        </xdr:to>
        <xdr:sp macro="" textlink="">
          <xdr:nvSpPr>
            <xdr:cNvPr id="17420" name="cmdReadFert"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342900</xdr:colOff>
          <xdr:row>0</xdr:row>
          <xdr:rowOff>239486</xdr:rowOff>
        </xdr:from>
        <xdr:to>
          <xdr:col>10</xdr:col>
          <xdr:colOff>141514</xdr:colOff>
          <xdr:row>1</xdr:row>
          <xdr:rowOff>239486</xdr:rowOff>
        </xdr:to>
        <xdr:sp macro="" textlink="">
          <xdr:nvSpPr>
            <xdr:cNvPr id="17421" name="cmdWriteFert"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217714</xdr:colOff>
          <xdr:row>0</xdr:row>
          <xdr:rowOff>239486</xdr:rowOff>
        </xdr:from>
        <xdr:to>
          <xdr:col>12</xdr:col>
          <xdr:colOff>10886</xdr:colOff>
          <xdr:row>1</xdr:row>
          <xdr:rowOff>239486</xdr:rowOff>
        </xdr:to>
        <xdr:sp macro="" textlink="">
          <xdr:nvSpPr>
            <xdr:cNvPr id="17422" name="cmdRun"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21771</xdr:colOff>
          <xdr:row>1</xdr:row>
          <xdr:rowOff>21771</xdr:rowOff>
        </xdr:from>
        <xdr:to>
          <xdr:col>3</xdr:col>
          <xdr:colOff>48986</xdr:colOff>
          <xdr:row>2</xdr:row>
          <xdr:rowOff>10886</xdr:rowOff>
        </xdr:to>
        <xdr:sp macro="" textlink="">
          <xdr:nvSpPr>
            <xdr:cNvPr id="17424" name="cmbBoxFert"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21771</xdr:colOff>
          <xdr:row>0</xdr:row>
          <xdr:rowOff>239486</xdr:rowOff>
        </xdr:from>
        <xdr:to>
          <xdr:col>6</xdr:col>
          <xdr:colOff>429986</xdr:colOff>
          <xdr:row>1</xdr:row>
          <xdr:rowOff>239486</xdr:rowOff>
        </xdr:to>
        <xdr:sp macro="" textlink="">
          <xdr:nvSpPr>
            <xdr:cNvPr id="17426" name="cmdGetFert" hidden="1">
              <a:extLst>
                <a:ext uri="{63B3BB69-23CF-44E3-9099-C40C66FF867C}">
                  <a14:compatExt spid="_x0000_s17426"/>
                </a:ext>
                <a:ext uri="{FF2B5EF4-FFF2-40B4-BE49-F238E27FC236}">
                  <a16:creationId xmlns:a16="http://schemas.microsoft.com/office/drawing/2014/main" id="{00000000-0008-0000-0D00-00001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517071</xdr:colOff>
          <xdr:row>0</xdr:row>
          <xdr:rowOff>250371</xdr:rowOff>
        </xdr:from>
        <xdr:to>
          <xdr:col>7</xdr:col>
          <xdr:colOff>212271</xdr:colOff>
          <xdr:row>2</xdr:row>
          <xdr:rowOff>0</xdr:rowOff>
        </xdr:to>
        <xdr:sp macro="" textlink="">
          <xdr:nvSpPr>
            <xdr:cNvPr id="18441" name="cmdReadPest" hidden="1">
              <a:extLst>
                <a:ext uri="{63B3BB69-23CF-44E3-9099-C40C66FF867C}">
                  <a14:compatExt spid="_x0000_s18441"/>
                </a:ext>
                <a:ext uri="{FF2B5EF4-FFF2-40B4-BE49-F238E27FC236}">
                  <a16:creationId xmlns:a16="http://schemas.microsoft.com/office/drawing/2014/main" id="{00000000-0008-0000-0E00-00000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212271</xdr:colOff>
          <xdr:row>0</xdr:row>
          <xdr:rowOff>250371</xdr:rowOff>
        </xdr:from>
        <xdr:to>
          <xdr:col>8</xdr:col>
          <xdr:colOff>571500</xdr:colOff>
          <xdr:row>2</xdr:row>
          <xdr:rowOff>0</xdr:rowOff>
        </xdr:to>
        <xdr:sp macro="" textlink="">
          <xdr:nvSpPr>
            <xdr:cNvPr id="18442" name="cmdWritePest" hidden="1">
              <a:extLst>
                <a:ext uri="{63B3BB69-23CF-44E3-9099-C40C66FF867C}">
                  <a14:compatExt spid="_x0000_s18442"/>
                </a:ext>
                <a:ext uri="{FF2B5EF4-FFF2-40B4-BE49-F238E27FC236}">
                  <a16:creationId xmlns:a16="http://schemas.microsoft.com/office/drawing/2014/main" id="{00000000-0008-0000-0E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250371</xdr:rowOff>
        </xdr:from>
        <xdr:to>
          <xdr:col>10</xdr:col>
          <xdr:colOff>402771</xdr:colOff>
          <xdr:row>2</xdr:row>
          <xdr:rowOff>0</xdr:rowOff>
        </xdr:to>
        <xdr:sp macro="" textlink="">
          <xdr:nvSpPr>
            <xdr:cNvPr id="18443" name="cmdRun" hidden="1">
              <a:extLst>
                <a:ext uri="{63B3BB69-23CF-44E3-9099-C40C66FF867C}">
                  <a14:compatExt spid="_x0000_s18443"/>
                </a:ext>
                <a:ext uri="{FF2B5EF4-FFF2-40B4-BE49-F238E27FC236}">
                  <a16:creationId xmlns:a16="http://schemas.microsoft.com/office/drawing/2014/main" id="{00000000-0008-0000-0E00-00000B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21771</xdr:colOff>
          <xdr:row>1</xdr:row>
          <xdr:rowOff>21771</xdr:rowOff>
        </xdr:from>
        <xdr:to>
          <xdr:col>2</xdr:col>
          <xdr:colOff>48986</xdr:colOff>
          <xdr:row>2</xdr:row>
          <xdr:rowOff>10886</xdr:rowOff>
        </xdr:to>
        <xdr:sp macro="" textlink="">
          <xdr:nvSpPr>
            <xdr:cNvPr id="18445" name="cmbBoxPest" hidden="1">
              <a:extLst>
                <a:ext uri="{63B3BB69-23CF-44E3-9099-C40C66FF867C}">
                  <a14:compatExt spid="_x0000_s18445"/>
                </a:ext>
                <a:ext uri="{FF2B5EF4-FFF2-40B4-BE49-F238E27FC236}">
                  <a16:creationId xmlns:a16="http://schemas.microsoft.com/office/drawing/2014/main" id="{00000000-0008-0000-0E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59871</xdr:colOff>
          <xdr:row>0</xdr:row>
          <xdr:rowOff>250371</xdr:rowOff>
        </xdr:from>
        <xdr:to>
          <xdr:col>5</xdr:col>
          <xdr:colOff>440871</xdr:colOff>
          <xdr:row>2</xdr:row>
          <xdr:rowOff>0</xdr:rowOff>
        </xdr:to>
        <xdr:sp macro="" textlink="">
          <xdr:nvSpPr>
            <xdr:cNvPr id="18446" name="cmdGetPest" hidden="1">
              <a:extLst>
                <a:ext uri="{63B3BB69-23CF-44E3-9099-C40C66FF867C}">
                  <a14:compatExt spid="_x0000_s18446"/>
                </a:ext>
                <a:ext uri="{FF2B5EF4-FFF2-40B4-BE49-F238E27FC236}">
                  <a16:creationId xmlns:a16="http://schemas.microsoft.com/office/drawing/2014/main" id="{00000000-0008-0000-0E00-00000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315686</xdr:colOff>
          <xdr:row>0</xdr:row>
          <xdr:rowOff>255814</xdr:rowOff>
        </xdr:from>
        <xdr:to>
          <xdr:col>7</xdr:col>
          <xdr:colOff>522514</xdr:colOff>
          <xdr:row>2</xdr:row>
          <xdr:rowOff>21771</xdr:rowOff>
        </xdr:to>
        <xdr:sp macro="" textlink="">
          <xdr:nvSpPr>
            <xdr:cNvPr id="96260" name="cmdReadDly" hidden="1">
              <a:extLst>
                <a:ext uri="{63B3BB69-23CF-44E3-9099-C40C66FF867C}">
                  <a14:compatExt spid="_x0000_s96260"/>
                </a:ext>
                <a:ext uri="{FF2B5EF4-FFF2-40B4-BE49-F238E27FC236}">
                  <a16:creationId xmlns:a16="http://schemas.microsoft.com/office/drawing/2014/main" id="{00000000-0008-0000-0F00-000004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xdr:row>
          <xdr:rowOff>10886</xdr:rowOff>
        </xdr:from>
        <xdr:to>
          <xdr:col>3</xdr:col>
          <xdr:colOff>250371</xdr:colOff>
          <xdr:row>1</xdr:row>
          <xdr:rowOff>239486</xdr:rowOff>
        </xdr:to>
        <xdr:sp macro="" textlink="">
          <xdr:nvSpPr>
            <xdr:cNvPr id="96261" name="cmbBoxDly" hidden="1">
              <a:extLst>
                <a:ext uri="{63B3BB69-23CF-44E3-9099-C40C66FF867C}">
                  <a14:compatExt spid="_x0000_s96261"/>
                </a:ext>
                <a:ext uri="{FF2B5EF4-FFF2-40B4-BE49-F238E27FC236}">
                  <a16:creationId xmlns:a16="http://schemas.microsoft.com/office/drawing/2014/main" id="{00000000-0008-0000-0F00-000005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65314</xdr:colOff>
          <xdr:row>0</xdr:row>
          <xdr:rowOff>255814</xdr:rowOff>
        </xdr:from>
        <xdr:to>
          <xdr:col>6</xdr:col>
          <xdr:colOff>250371</xdr:colOff>
          <xdr:row>2</xdr:row>
          <xdr:rowOff>10886</xdr:rowOff>
        </xdr:to>
        <xdr:sp macro="" textlink="">
          <xdr:nvSpPr>
            <xdr:cNvPr id="96262" name="cmdGetDly" hidden="1">
              <a:extLst>
                <a:ext uri="{63B3BB69-23CF-44E3-9099-C40C66FF867C}">
                  <a14:compatExt spid="_x0000_s96262"/>
                </a:ext>
                <a:ext uri="{FF2B5EF4-FFF2-40B4-BE49-F238E27FC236}">
                  <a16:creationId xmlns:a16="http://schemas.microsoft.com/office/drawing/2014/main" id="{00000000-0008-0000-0F00-000006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522514</xdr:colOff>
          <xdr:row>0</xdr:row>
          <xdr:rowOff>255814</xdr:rowOff>
        </xdr:from>
        <xdr:to>
          <xdr:col>8</xdr:col>
          <xdr:colOff>734786</xdr:colOff>
          <xdr:row>2</xdr:row>
          <xdr:rowOff>21771</xdr:rowOff>
        </xdr:to>
        <xdr:sp macro="" textlink="">
          <xdr:nvSpPr>
            <xdr:cNvPr id="96263" name="cmdWriteDly" hidden="1">
              <a:extLst>
                <a:ext uri="{63B3BB69-23CF-44E3-9099-C40C66FF867C}">
                  <a14:compatExt spid="_x0000_s96263"/>
                </a:ext>
                <a:ext uri="{FF2B5EF4-FFF2-40B4-BE49-F238E27FC236}">
                  <a16:creationId xmlns:a16="http://schemas.microsoft.com/office/drawing/2014/main" id="{00000000-0008-0000-0F00-00000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315686</xdr:colOff>
          <xdr:row>0</xdr:row>
          <xdr:rowOff>255814</xdr:rowOff>
        </xdr:from>
        <xdr:to>
          <xdr:col>7</xdr:col>
          <xdr:colOff>571500</xdr:colOff>
          <xdr:row>2</xdr:row>
          <xdr:rowOff>21771</xdr:rowOff>
        </xdr:to>
        <xdr:sp macro="" textlink="">
          <xdr:nvSpPr>
            <xdr:cNvPr id="97281" name="cmdReadWp1" hidden="1">
              <a:extLst>
                <a:ext uri="{63B3BB69-23CF-44E3-9099-C40C66FF867C}">
                  <a14:compatExt spid="_x0000_s97281"/>
                </a:ext>
                <a:ext uri="{FF2B5EF4-FFF2-40B4-BE49-F238E27FC236}">
                  <a16:creationId xmlns:a16="http://schemas.microsoft.com/office/drawing/2014/main" id="{00000000-0008-0000-1000-000001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xdr:row>
          <xdr:rowOff>10886</xdr:rowOff>
        </xdr:from>
        <xdr:to>
          <xdr:col>2</xdr:col>
          <xdr:colOff>674914</xdr:colOff>
          <xdr:row>1</xdr:row>
          <xdr:rowOff>239486</xdr:rowOff>
        </xdr:to>
        <xdr:sp macro="" textlink="">
          <xdr:nvSpPr>
            <xdr:cNvPr id="97282" name="cmbBoxWp1" hidden="1">
              <a:extLst>
                <a:ext uri="{63B3BB69-23CF-44E3-9099-C40C66FF867C}">
                  <a14:compatExt spid="_x0000_s97282"/>
                </a:ext>
                <a:ext uri="{FF2B5EF4-FFF2-40B4-BE49-F238E27FC236}">
                  <a16:creationId xmlns:a16="http://schemas.microsoft.com/office/drawing/2014/main" id="{00000000-0008-0000-1000-000002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65314</xdr:colOff>
          <xdr:row>0</xdr:row>
          <xdr:rowOff>255814</xdr:rowOff>
        </xdr:from>
        <xdr:to>
          <xdr:col>6</xdr:col>
          <xdr:colOff>293914</xdr:colOff>
          <xdr:row>2</xdr:row>
          <xdr:rowOff>10886</xdr:rowOff>
        </xdr:to>
        <xdr:sp macro="" textlink="">
          <xdr:nvSpPr>
            <xdr:cNvPr id="97283" name="cmdGetWp1" hidden="1">
              <a:extLst>
                <a:ext uri="{63B3BB69-23CF-44E3-9099-C40C66FF867C}">
                  <a14:compatExt spid="_x0000_s97283"/>
                </a:ext>
                <a:ext uri="{FF2B5EF4-FFF2-40B4-BE49-F238E27FC236}">
                  <a16:creationId xmlns:a16="http://schemas.microsoft.com/office/drawing/2014/main" id="{00000000-0008-0000-1000-000003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522514</xdr:colOff>
          <xdr:row>0</xdr:row>
          <xdr:rowOff>255814</xdr:rowOff>
        </xdr:from>
        <xdr:to>
          <xdr:col>8</xdr:col>
          <xdr:colOff>783771</xdr:colOff>
          <xdr:row>2</xdr:row>
          <xdr:rowOff>21771</xdr:rowOff>
        </xdr:to>
        <xdr:sp macro="" textlink="">
          <xdr:nvSpPr>
            <xdr:cNvPr id="97284" name="cmdWriteWp1" hidden="1">
              <a:extLst>
                <a:ext uri="{63B3BB69-23CF-44E3-9099-C40C66FF867C}">
                  <a14:compatExt spid="_x0000_s97284"/>
                </a:ext>
                <a:ext uri="{FF2B5EF4-FFF2-40B4-BE49-F238E27FC236}">
                  <a16:creationId xmlns:a16="http://schemas.microsoft.com/office/drawing/2014/main" id="{00000000-0008-0000-1000-000004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315686</xdr:colOff>
          <xdr:row>0</xdr:row>
          <xdr:rowOff>255814</xdr:rowOff>
        </xdr:from>
        <xdr:to>
          <xdr:col>7</xdr:col>
          <xdr:colOff>571500</xdr:colOff>
          <xdr:row>2</xdr:row>
          <xdr:rowOff>21771</xdr:rowOff>
        </xdr:to>
        <xdr:sp macro="" textlink="">
          <xdr:nvSpPr>
            <xdr:cNvPr id="98305" name="cmdReadWnd" hidden="1">
              <a:extLst>
                <a:ext uri="{63B3BB69-23CF-44E3-9099-C40C66FF867C}">
                  <a14:compatExt spid="_x0000_s98305"/>
                </a:ext>
                <a:ext uri="{FF2B5EF4-FFF2-40B4-BE49-F238E27FC236}">
                  <a16:creationId xmlns:a16="http://schemas.microsoft.com/office/drawing/2014/main" id="{00000000-0008-0000-1100-000001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xdr:row>
          <xdr:rowOff>10886</xdr:rowOff>
        </xdr:from>
        <xdr:to>
          <xdr:col>2</xdr:col>
          <xdr:colOff>674914</xdr:colOff>
          <xdr:row>1</xdr:row>
          <xdr:rowOff>239486</xdr:rowOff>
        </xdr:to>
        <xdr:sp macro="" textlink="">
          <xdr:nvSpPr>
            <xdr:cNvPr id="98306" name="cmbBoxWnd" hidden="1">
              <a:extLst>
                <a:ext uri="{63B3BB69-23CF-44E3-9099-C40C66FF867C}">
                  <a14:compatExt spid="_x0000_s98306"/>
                </a:ext>
                <a:ext uri="{FF2B5EF4-FFF2-40B4-BE49-F238E27FC236}">
                  <a16:creationId xmlns:a16="http://schemas.microsoft.com/office/drawing/2014/main" id="{00000000-0008-0000-1100-000002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65314</xdr:colOff>
          <xdr:row>0</xdr:row>
          <xdr:rowOff>255814</xdr:rowOff>
        </xdr:from>
        <xdr:to>
          <xdr:col>6</xdr:col>
          <xdr:colOff>293914</xdr:colOff>
          <xdr:row>2</xdr:row>
          <xdr:rowOff>10886</xdr:rowOff>
        </xdr:to>
        <xdr:sp macro="" textlink="">
          <xdr:nvSpPr>
            <xdr:cNvPr id="98307" name="cmdGetWnd" hidden="1">
              <a:extLst>
                <a:ext uri="{63B3BB69-23CF-44E3-9099-C40C66FF867C}">
                  <a14:compatExt spid="_x0000_s98307"/>
                </a:ext>
                <a:ext uri="{FF2B5EF4-FFF2-40B4-BE49-F238E27FC236}">
                  <a16:creationId xmlns:a16="http://schemas.microsoft.com/office/drawing/2014/main" id="{00000000-0008-0000-1100-000003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522514</xdr:colOff>
          <xdr:row>0</xdr:row>
          <xdr:rowOff>255814</xdr:rowOff>
        </xdr:from>
        <xdr:to>
          <xdr:col>8</xdr:col>
          <xdr:colOff>783771</xdr:colOff>
          <xdr:row>2</xdr:row>
          <xdr:rowOff>21771</xdr:rowOff>
        </xdr:to>
        <xdr:sp macro="" textlink="">
          <xdr:nvSpPr>
            <xdr:cNvPr id="98308" name="cmdWriteWnd" hidden="1">
              <a:extLst>
                <a:ext uri="{63B3BB69-23CF-44E3-9099-C40C66FF867C}">
                  <a14:compatExt spid="_x0000_s98308"/>
                </a:ext>
                <a:ext uri="{FF2B5EF4-FFF2-40B4-BE49-F238E27FC236}">
                  <a16:creationId xmlns:a16="http://schemas.microsoft.com/office/drawing/2014/main" id="{00000000-0008-0000-1100-000004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65314</xdr:rowOff>
        </xdr:from>
        <xdr:to>
          <xdr:col>2</xdr:col>
          <xdr:colOff>3875314</xdr:colOff>
          <xdr:row>1</xdr:row>
          <xdr:rowOff>125186</xdr:rowOff>
        </xdr:to>
        <xdr:sp macro="" textlink="">
          <xdr:nvSpPr>
            <xdr:cNvPr id="93185" name="cmdReadSite" hidden="1">
              <a:extLst>
                <a:ext uri="{63B3BB69-23CF-44E3-9099-C40C66FF867C}">
                  <a14:compatExt spid="_x0000_s93185"/>
                </a:ext>
                <a:ext uri="{FF2B5EF4-FFF2-40B4-BE49-F238E27FC236}">
                  <a16:creationId xmlns:a16="http://schemas.microsoft.com/office/drawing/2014/main" id="{00000000-0008-0000-1200-0000016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3913414</xdr:colOff>
          <xdr:row>0</xdr:row>
          <xdr:rowOff>65314</xdr:rowOff>
        </xdr:from>
        <xdr:to>
          <xdr:col>3</xdr:col>
          <xdr:colOff>0</xdr:colOff>
          <xdr:row>1</xdr:row>
          <xdr:rowOff>125186</xdr:rowOff>
        </xdr:to>
        <xdr:sp macro="" textlink="">
          <xdr:nvSpPr>
            <xdr:cNvPr id="93186" name="cmdWriteSite" hidden="1">
              <a:extLst>
                <a:ext uri="{63B3BB69-23CF-44E3-9099-C40C66FF867C}">
                  <a14:compatExt spid="_x0000_s93186"/>
                </a:ext>
                <a:ext uri="{FF2B5EF4-FFF2-40B4-BE49-F238E27FC236}">
                  <a16:creationId xmlns:a16="http://schemas.microsoft.com/office/drawing/2014/main" id="{00000000-0008-0000-1200-0000026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65314</xdr:rowOff>
        </xdr:from>
        <xdr:to>
          <xdr:col>2</xdr:col>
          <xdr:colOff>3875314</xdr:colOff>
          <xdr:row>1</xdr:row>
          <xdr:rowOff>125186</xdr:rowOff>
        </xdr:to>
        <xdr:sp macro="" textlink="">
          <xdr:nvSpPr>
            <xdr:cNvPr id="73729" name="cmdReadOpsc" hidden="1">
              <a:extLst>
                <a:ext uri="{63B3BB69-23CF-44E3-9099-C40C66FF867C}">
                  <a14:compatExt spid="_x0000_s73729"/>
                </a:ext>
                <a:ext uri="{FF2B5EF4-FFF2-40B4-BE49-F238E27FC236}">
                  <a16:creationId xmlns:a16="http://schemas.microsoft.com/office/drawing/2014/main" id="{00000000-0008-0000-1300-000001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3913414</xdr:colOff>
          <xdr:row>0</xdr:row>
          <xdr:rowOff>65314</xdr:rowOff>
        </xdr:from>
        <xdr:to>
          <xdr:col>3</xdr:col>
          <xdr:colOff>0</xdr:colOff>
          <xdr:row>1</xdr:row>
          <xdr:rowOff>125186</xdr:rowOff>
        </xdr:to>
        <xdr:sp macro="" textlink="">
          <xdr:nvSpPr>
            <xdr:cNvPr id="73730" name="cmdWriteOpsc" hidden="1">
              <a:extLst>
                <a:ext uri="{63B3BB69-23CF-44E3-9099-C40C66FF867C}">
                  <a14:compatExt spid="_x0000_s73730"/>
                </a:ext>
                <a:ext uri="{FF2B5EF4-FFF2-40B4-BE49-F238E27FC236}">
                  <a16:creationId xmlns:a16="http://schemas.microsoft.com/office/drawing/2014/main" id="{00000000-0008-0000-1300-000002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65314</xdr:rowOff>
        </xdr:from>
        <xdr:to>
          <xdr:col>2</xdr:col>
          <xdr:colOff>3875314</xdr:colOff>
          <xdr:row>1</xdr:row>
          <xdr:rowOff>125186</xdr:rowOff>
        </xdr:to>
        <xdr:sp macro="" textlink="">
          <xdr:nvSpPr>
            <xdr:cNvPr id="82945" name="cmdReadSolc" hidden="1">
              <a:extLst>
                <a:ext uri="{63B3BB69-23CF-44E3-9099-C40C66FF867C}">
                  <a14:compatExt spid="_x0000_s82945"/>
                </a:ext>
                <a:ext uri="{FF2B5EF4-FFF2-40B4-BE49-F238E27FC236}">
                  <a16:creationId xmlns:a16="http://schemas.microsoft.com/office/drawing/2014/main" id="{00000000-0008-0000-1400-000001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3913414</xdr:colOff>
          <xdr:row>0</xdr:row>
          <xdr:rowOff>65314</xdr:rowOff>
        </xdr:from>
        <xdr:to>
          <xdr:col>3</xdr:col>
          <xdr:colOff>0</xdr:colOff>
          <xdr:row>1</xdr:row>
          <xdr:rowOff>125186</xdr:rowOff>
        </xdr:to>
        <xdr:sp macro="" textlink="">
          <xdr:nvSpPr>
            <xdr:cNvPr id="82946" name="cmdWriteSolc" hidden="1">
              <a:extLst>
                <a:ext uri="{63B3BB69-23CF-44E3-9099-C40C66FF867C}">
                  <a14:compatExt spid="_x0000_s82946"/>
                </a:ext>
                <a:ext uri="{FF2B5EF4-FFF2-40B4-BE49-F238E27FC236}">
                  <a16:creationId xmlns:a16="http://schemas.microsoft.com/office/drawing/2014/main" id="{00000000-0008-0000-1400-000002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631371</xdr:colOff>
          <xdr:row>0</xdr:row>
          <xdr:rowOff>76200</xdr:rowOff>
        </xdr:from>
        <xdr:to>
          <xdr:col>6</xdr:col>
          <xdr:colOff>212271</xdr:colOff>
          <xdr:row>1</xdr:row>
          <xdr:rowOff>125186</xdr:rowOff>
        </xdr:to>
        <xdr:sp macro="" textlink="">
          <xdr:nvSpPr>
            <xdr:cNvPr id="27649" name="cmdReadWtr" hidden="1">
              <a:extLst>
                <a:ext uri="{63B3BB69-23CF-44E3-9099-C40C66FF867C}">
                  <a14:compatExt spid="_x0000_s27649"/>
                </a:ext>
                <a:ext uri="{FF2B5EF4-FFF2-40B4-BE49-F238E27FC236}">
                  <a16:creationId xmlns:a16="http://schemas.microsoft.com/office/drawing/2014/main" id="{00000000-0008-0000-15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255814</xdr:colOff>
          <xdr:row>0</xdr:row>
          <xdr:rowOff>65314</xdr:rowOff>
        </xdr:from>
        <xdr:to>
          <xdr:col>8</xdr:col>
          <xdr:colOff>59871</xdr:colOff>
          <xdr:row>1</xdr:row>
          <xdr:rowOff>114300</xdr:rowOff>
        </xdr:to>
        <xdr:sp macro="" textlink="">
          <xdr:nvSpPr>
            <xdr:cNvPr id="27650" name="cmdWriteWtr" hidden="1">
              <a:extLst>
                <a:ext uri="{63B3BB69-23CF-44E3-9099-C40C66FF867C}">
                  <a14:compatExt spid="_x0000_s27650"/>
                </a:ext>
                <a:ext uri="{FF2B5EF4-FFF2-40B4-BE49-F238E27FC236}">
                  <a16:creationId xmlns:a16="http://schemas.microsoft.com/office/drawing/2014/main" id="{00000000-0008-0000-15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636814</xdr:colOff>
          <xdr:row>0</xdr:row>
          <xdr:rowOff>65314</xdr:rowOff>
        </xdr:from>
        <xdr:to>
          <xdr:col>6</xdr:col>
          <xdr:colOff>152400</xdr:colOff>
          <xdr:row>1</xdr:row>
          <xdr:rowOff>114300</xdr:rowOff>
        </xdr:to>
        <xdr:sp macro="" textlink="">
          <xdr:nvSpPr>
            <xdr:cNvPr id="28673" name="cmdReadWp1" hidden="1">
              <a:extLst>
                <a:ext uri="{63B3BB69-23CF-44E3-9099-C40C66FF867C}">
                  <a14:compatExt spid="_x0000_s28673"/>
                </a:ext>
                <a:ext uri="{FF2B5EF4-FFF2-40B4-BE49-F238E27FC236}">
                  <a16:creationId xmlns:a16="http://schemas.microsoft.com/office/drawing/2014/main" id="{00000000-0008-0000-16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0</xdr:row>
          <xdr:rowOff>65314</xdr:rowOff>
        </xdr:from>
        <xdr:to>
          <xdr:col>7</xdr:col>
          <xdr:colOff>598714</xdr:colOff>
          <xdr:row>1</xdr:row>
          <xdr:rowOff>114300</xdr:rowOff>
        </xdr:to>
        <xdr:sp macro="" textlink="">
          <xdr:nvSpPr>
            <xdr:cNvPr id="28674" name="cmdWriteWp1" hidden="1">
              <a:extLst>
                <a:ext uri="{63B3BB69-23CF-44E3-9099-C40C66FF867C}">
                  <a14:compatExt spid="_x0000_s28674"/>
                </a:ext>
                <a:ext uri="{FF2B5EF4-FFF2-40B4-BE49-F238E27FC236}">
                  <a16:creationId xmlns:a16="http://schemas.microsoft.com/office/drawing/2014/main" id="{00000000-0008-0000-1600-000002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772886</xdr:colOff>
          <xdr:row>0</xdr:row>
          <xdr:rowOff>76200</xdr:rowOff>
        </xdr:from>
        <xdr:to>
          <xdr:col>6</xdr:col>
          <xdr:colOff>0</xdr:colOff>
          <xdr:row>1</xdr:row>
          <xdr:rowOff>136071</xdr:rowOff>
        </xdr:to>
        <xdr:sp macro="" textlink="">
          <xdr:nvSpPr>
            <xdr:cNvPr id="29697" name="cmdReadWnd" hidden="1">
              <a:extLst>
                <a:ext uri="{63B3BB69-23CF-44E3-9099-C40C66FF867C}">
                  <a14:compatExt spid="_x0000_s29697"/>
                </a:ext>
                <a:ext uri="{FF2B5EF4-FFF2-40B4-BE49-F238E27FC236}">
                  <a16:creationId xmlns:a16="http://schemas.microsoft.com/office/drawing/2014/main" id="{00000000-0008-0000-17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65314</xdr:colOff>
          <xdr:row>0</xdr:row>
          <xdr:rowOff>76200</xdr:rowOff>
        </xdr:from>
        <xdr:to>
          <xdr:col>7</xdr:col>
          <xdr:colOff>478971</xdr:colOff>
          <xdr:row>1</xdr:row>
          <xdr:rowOff>136071</xdr:rowOff>
        </xdr:to>
        <xdr:sp macro="" textlink="">
          <xdr:nvSpPr>
            <xdr:cNvPr id="29698" name="cmdWriteWnd" hidden="1">
              <a:extLst>
                <a:ext uri="{63B3BB69-23CF-44E3-9099-C40C66FF867C}">
                  <a14:compatExt spid="_x0000_s29698"/>
                </a:ext>
                <a:ext uri="{FF2B5EF4-FFF2-40B4-BE49-F238E27FC236}">
                  <a16:creationId xmlns:a16="http://schemas.microsoft.com/office/drawing/2014/main" id="{00000000-0008-0000-17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65314</xdr:rowOff>
        </xdr:from>
        <xdr:to>
          <xdr:col>2</xdr:col>
          <xdr:colOff>3875314</xdr:colOff>
          <xdr:row>1</xdr:row>
          <xdr:rowOff>125186</xdr:rowOff>
        </xdr:to>
        <xdr:sp macro="" textlink="">
          <xdr:nvSpPr>
            <xdr:cNvPr id="94209" name="cmdReadSuba" hidden="1">
              <a:extLst>
                <a:ext uri="{63B3BB69-23CF-44E3-9099-C40C66FF867C}">
                  <a14:compatExt spid="_x0000_s94209"/>
                </a:ext>
                <a:ext uri="{FF2B5EF4-FFF2-40B4-BE49-F238E27FC236}">
                  <a16:creationId xmlns:a16="http://schemas.microsoft.com/office/drawing/2014/main" id="{00000000-0008-0000-1800-000001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3913414</xdr:colOff>
          <xdr:row>0</xdr:row>
          <xdr:rowOff>65314</xdr:rowOff>
        </xdr:from>
        <xdr:to>
          <xdr:col>3</xdr:col>
          <xdr:colOff>0</xdr:colOff>
          <xdr:row>1</xdr:row>
          <xdr:rowOff>125186</xdr:rowOff>
        </xdr:to>
        <xdr:sp macro="" textlink="">
          <xdr:nvSpPr>
            <xdr:cNvPr id="94210" name="cmdWriteSuba" hidden="1">
              <a:extLst>
                <a:ext uri="{63B3BB69-23CF-44E3-9099-C40C66FF867C}">
                  <a14:compatExt spid="_x0000_s94210"/>
                </a:ext>
                <a:ext uri="{FF2B5EF4-FFF2-40B4-BE49-F238E27FC236}">
                  <a16:creationId xmlns:a16="http://schemas.microsoft.com/office/drawing/2014/main" id="{00000000-0008-0000-1800-000002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228600</xdr:colOff>
          <xdr:row>0</xdr:row>
          <xdr:rowOff>255814</xdr:rowOff>
        </xdr:from>
        <xdr:to>
          <xdr:col>8</xdr:col>
          <xdr:colOff>571500</xdr:colOff>
          <xdr:row>2</xdr:row>
          <xdr:rowOff>21771</xdr:rowOff>
        </xdr:to>
        <xdr:sp macro="" textlink="">
          <xdr:nvSpPr>
            <xdr:cNvPr id="136193" name="cmdReadAcy" hidden="1">
              <a:extLst>
                <a:ext uri="{63B3BB69-23CF-44E3-9099-C40C66FF867C}">
                  <a14:compatExt spid="_x0000_s136193"/>
                </a:ext>
                <a:ext uri="{FF2B5EF4-FFF2-40B4-BE49-F238E27FC236}">
                  <a16:creationId xmlns:a16="http://schemas.microsoft.com/office/drawing/2014/main" id="{00000000-0008-0000-1900-0000011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xdr:row>
          <xdr:rowOff>10886</xdr:rowOff>
        </xdr:from>
        <xdr:to>
          <xdr:col>3</xdr:col>
          <xdr:colOff>59871</xdr:colOff>
          <xdr:row>1</xdr:row>
          <xdr:rowOff>239486</xdr:rowOff>
        </xdr:to>
        <xdr:sp macro="" textlink="">
          <xdr:nvSpPr>
            <xdr:cNvPr id="136194" name="cmbBoxAcy" hidden="1">
              <a:extLst>
                <a:ext uri="{63B3BB69-23CF-44E3-9099-C40C66FF867C}">
                  <a14:compatExt spid="_x0000_s136194"/>
                </a:ext>
                <a:ext uri="{FF2B5EF4-FFF2-40B4-BE49-F238E27FC236}">
                  <a16:creationId xmlns:a16="http://schemas.microsoft.com/office/drawing/2014/main" id="{00000000-0008-0000-1900-0000021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620486</xdr:colOff>
          <xdr:row>0</xdr:row>
          <xdr:rowOff>255814</xdr:rowOff>
        </xdr:from>
        <xdr:to>
          <xdr:col>7</xdr:col>
          <xdr:colOff>179614</xdr:colOff>
          <xdr:row>2</xdr:row>
          <xdr:rowOff>10886</xdr:rowOff>
        </xdr:to>
        <xdr:sp macro="" textlink="">
          <xdr:nvSpPr>
            <xdr:cNvPr id="136195" name="cmdGetAcy" hidden="1">
              <a:extLst>
                <a:ext uri="{63B3BB69-23CF-44E3-9099-C40C66FF867C}">
                  <a14:compatExt spid="_x0000_s136195"/>
                </a:ext>
                <a:ext uri="{FF2B5EF4-FFF2-40B4-BE49-F238E27FC236}">
                  <a16:creationId xmlns:a16="http://schemas.microsoft.com/office/drawing/2014/main" id="{00000000-0008-0000-1900-0000031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239486</xdr:colOff>
          <xdr:row>0</xdr:row>
          <xdr:rowOff>255814</xdr:rowOff>
        </xdr:from>
        <xdr:to>
          <xdr:col>8</xdr:col>
          <xdr:colOff>582386</xdr:colOff>
          <xdr:row>2</xdr:row>
          <xdr:rowOff>21771</xdr:rowOff>
        </xdr:to>
        <xdr:sp macro="" textlink="">
          <xdr:nvSpPr>
            <xdr:cNvPr id="137217" name="cmdReadAwp" hidden="1">
              <a:extLst>
                <a:ext uri="{63B3BB69-23CF-44E3-9099-C40C66FF867C}">
                  <a14:compatExt spid="_x0000_s137217"/>
                </a:ext>
                <a:ext uri="{FF2B5EF4-FFF2-40B4-BE49-F238E27FC236}">
                  <a16:creationId xmlns:a16="http://schemas.microsoft.com/office/drawing/2014/main" id="{00000000-0008-0000-1A00-0000011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xdr:row>
          <xdr:rowOff>10886</xdr:rowOff>
        </xdr:from>
        <xdr:to>
          <xdr:col>3</xdr:col>
          <xdr:colOff>59871</xdr:colOff>
          <xdr:row>1</xdr:row>
          <xdr:rowOff>239486</xdr:rowOff>
        </xdr:to>
        <xdr:sp macro="" textlink="">
          <xdr:nvSpPr>
            <xdr:cNvPr id="137218" name="cmbBoxAwp" hidden="1">
              <a:extLst>
                <a:ext uri="{63B3BB69-23CF-44E3-9099-C40C66FF867C}">
                  <a14:compatExt spid="_x0000_s137218"/>
                </a:ext>
                <a:ext uri="{FF2B5EF4-FFF2-40B4-BE49-F238E27FC236}">
                  <a16:creationId xmlns:a16="http://schemas.microsoft.com/office/drawing/2014/main" id="{00000000-0008-0000-1A00-0000021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620486</xdr:colOff>
          <xdr:row>0</xdr:row>
          <xdr:rowOff>255814</xdr:rowOff>
        </xdr:from>
        <xdr:to>
          <xdr:col>7</xdr:col>
          <xdr:colOff>255814</xdr:colOff>
          <xdr:row>2</xdr:row>
          <xdr:rowOff>21771</xdr:rowOff>
        </xdr:to>
        <xdr:sp macro="" textlink="">
          <xdr:nvSpPr>
            <xdr:cNvPr id="137219" name="cmdGetAwp" hidden="1">
              <a:extLst>
                <a:ext uri="{63B3BB69-23CF-44E3-9099-C40C66FF867C}">
                  <a14:compatExt spid="_x0000_s137219"/>
                </a:ext>
                <a:ext uri="{FF2B5EF4-FFF2-40B4-BE49-F238E27FC236}">
                  <a16:creationId xmlns:a16="http://schemas.microsoft.com/office/drawing/2014/main" id="{00000000-0008-0000-1A00-0000031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277586</xdr:colOff>
          <xdr:row>0</xdr:row>
          <xdr:rowOff>255814</xdr:rowOff>
        </xdr:from>
        <xdr:to>
          <xdr:col>8</xdr:col>
          <xdr:colOff>620486</xdr:colOff>
          <xdr:row>2</xdr:row>
          <xdr:rowOff>21771</xdr:rowOff>
        </xdr:to>
        <xdr:sp macro="" textlink="">
          <xdr:nvSpPr>
            <xdr:cNvPr id="138241" name="cmdReadRch" hidden="1">
              <a:extLst>
                <a:ext uri="{63B3BB69-23CF-44E3-9099-C40C66FF867C}">
                  <a14:compatExt spid="_x0000_s138241"/>
                </a:ext>
                <a:ext uri="{FF2B5EF4-FFF2-40B4-BE49-F238E27FC236}">
                  <a16:creationId xmlns:a16="http://schemas.microsoft.com/office/drawing/2014/main" id="{00000000-0008-0000-1B00-0000011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xdr:row>
          <xdr:rowOff>10886</xdr:rowOff>
        </xdr:from>
        <xdr:to>
          <xdr:col>3</xdr:col>
          <xdr:colOff>59871</xdr:colOff>
          <xdr:row>1</xdr:row>
          <xdr:rowOff>239486</xdr:rowOff>
        </xdr:to>
        <xdr:sp macro="" textlink="">
          <xdr:nvSpPr>
            <xdr:cNvPr id="138242" name="cmbBoxRch" hidden="1">
              <a:extLst>
                <a:ext uri="{63B3BB69-23CF-44E3-9099-C40C66FF867C}">
                  <a14:compatExt spid="_x0000_s138242"/>
                </a:ext>
                <a:ext uri="{FF2B5EF4-FFF2-40B4-BE49-F238E27FC236}">
                  <a16:creationId xmlns:a16="http://schemas.microsoft.com/office/drawing/2014/main" id="{00000000-0008-0000-1B00-0000021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620486</xdr:colOff>
          <xdr:row>0</xdr:row>
          <xdr:rowOff>255814</xdr:rowOff>
        </xdr:from>
        <xdr:to>
          <xdr:col>7</xdr:col>
          <xdr:colOff>255814</xdr:colOff>
          <xdr:row>2</xdr:row>
          <xdr:rowOff>21771</xdr:rowOff>
        </xdr:to>
        <xdr:sp macro="" textlink="">
          <xdr:nvSpPr>
            <xdr:cNvPr id="138243" name="cmdGetRch" hidden="1">
              <a:extLst>
                <a:ext uri="{63B3BB69-23CF-44E3-9099-C40C66FF867C}">
                  <a14:compatExt spid="_x0000_s138243"/>
                </a:ext>
                <a:ext uri="{FF2B5EF4-FFF2-40B4-BE49-F238E27FC236}">
                  <a16:creationId xmlns:a16="http://schemas.microsoft.com/office/drawing/2014/main" id="{00000000-0008-0000-1B00-0000031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control" Target="../activeX/activeX2.xml"/><Relationship Id="rId7"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5.emf"/><Relationship Id="rId5" Type="http://schemas.openxmlformats.org/officeDocument/2006/relationships/control" Target="../activeX/activeX3.xml"/><Relationship Id="rId4" Type="http://schemas.openxmlformats.org/officeDocument/2006/relationships/image" Target="../media/image4.emf"/></Relationships>
</file>

<file path=xl/worksheets/_rels/sheet3.x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control" Target="../activeX/activeX5.xml"/><Relationship Id="rId7"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8.emf"/><Relationship Id="rId5" Type="http://schemas.openxmlformats.org/officeDocument/2006/relationships/control" Target="../activeX/activeX6.xml"/><Relationship Id="rId4" Type="http://schemas.openxmlformats.org/officeDocument/2006/relationships/image" Target="../media/image7.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4.emf"/><Relationship Id="rId3" Type="http://schemas.openxmlformats.org/officeDocument/2006/relationships/vmlDrawing" Target="../drawings/vmlDrawing4.vml"/><Relationship Id="rId7" Type="http://schemas.openxmlformats.org/officeDocument/2006/relationships/image" Target="../media/image11.emf"/><Relationship Id="rId12" Type="http://schemas.openxmlformats.org/officeDocument/2006/relationships/control" Target="../activeX/activeX12.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9.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11.xml"/><Relationship Id="rId4" Type="http://schemas.openxmlformats.org/officeDocument/2006/relationships/control" Target="../activeX/activeX8.xml"/><Relationship Id="rId9" Type="http://schemas.openxmlformats.org/officeDocument/2006/relationships/image" Target="../media/image12.emf"/><Relationship Id="rId1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5.xml"/><Relationship Id="rId3" Type="http://schemas.openxmlformats.org/officeDocument/2006/relationships/vmlDrawing" Target="../drawings/vmlDrawing5.vml"/><Relationship Id="rId7" Type="http://schemas.openxmlformats.org/officeDocument/2006/relationships/image" Target="../media/image16.emf"/><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ontrol" Target="../activeX/activeX14.xml"/><Relationship Id="rId5" Type="http://schemas.openxmlformats.org/officeDocument/2006/relationships/image" Target="../media/image15.emf"/><Relationship Id="rId4" Type="http://schemas.openxmlformats.org/officeDocument/2006/relationships/control" Target="../activeX/activeX13.xml"/><Relationship Id="rId9" Type="http://schemas.openxmlformats.org/officeDocument/2006/relationships/image" Target="../media/image17.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vmlDrawing" Target="../drawings/vmlDrawing6.vml"/><Relationship Id="rId7" Type="http://schemas.openxmlformats.org/officeDocument/2006/relationships/image" Target="../media/image19.emf"/><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17.xml"/><Relationship Id="rId5" Type="http://schemas.openxmlformats.org/officeDocument/2006/relationships/image" Target="../media/image18.emf"/><Relationship Id="rId10" Type="http://schemas.openxmlformats.org/officeDocument/2006/relationships/comments" Target="../comments3.xml"/><Relationship Id="rId4" Type="http://schemas.openxmlformats.org/officeDocument/2006/relationships/control" Target="../activeX/activeX16.xml"/><Relationship Id="rId9" Type="http://schemas.openxmlformats.org/officeDocument/2006/relationships/image" Target="../media/image20.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1.xml"/><Relationship Id="rId13" Type="http://schemas.openxmlformats.org/officeDocument/2006/relationships/image" Target="../media/image25.emf"/><Relationship Id="rId3" Type="http://schemas.openxmlformats.org/officeDocument/2006/relationships/vmlDrawing" Target="../drawings/vmlDrawing7.vml"/><Relationship Id="rId7" Type="http://schemas.openxmlformats.org/officeDocument/2006/relationships/image" Target="../media/image22.emf"/><Relationship Id="rId12" Type="http://schemas.openxmlformats.org/officeDocument/2006/relationships/control" Target="../activeX/activeX23.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ntrol" Target="../activeX/activeX20.xml"/><Relationship Id="rId11" Type="http://schemas.openxmlformats.org/officeDocument/2006/relationships/image" Target="../media/image24.emf"/><Relationship Id="rId5" Type="http://schemas.openxmlformats.org/officeDocument/2006/relationships/image" Target="../media/image21.emf"/><Relationship Id="rId10" Type="http://schemas.openxmlformats.org/officeDocument/2006/relationships/control" Target="../activeX/activeX22.xml"/><Relationship Id="rId4" Type="http://schemas.openxmlformats.org/officeDocument/2006/relationships/control" Target="../activeX/activeX19.xml"/><Relationship Id="rId9" Type="http://schemas.openxmlformats.org/officeDocument/2006/relationships/image" Target="../media/image23.emf"/><Relationship Id="rId1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0.emf"/><Relationship Id="rId3" Type="http://schemas.openxmlformats.org/officeDocument/2006/relationships/vmlDrawing" Target="../drawings/vmlDrawing8.vml"/><Relationship Id="rId7" Type="http://schemas.openxmlformats.org/officeDocument/2006/relationships/image" Target="../media/image27.emf"/><Relationship Id="rId12" Type="http://schemas.openxmlformats.org/officeDocument/2006/relationships/control" Target="../activeX/activeX28.xml"/><Relationship Id="rId2" Type="http://schemas.openxmlformats.org/officeDocument/2006/relationships/drawing" Target="../drawings/drawing8.xml"/><Relationship Id="rId16" Type="http://schemas.openxmlformats.org/officeDocument/2006/relationships/comments" Target="../comments5.xml"/><Relationship Id="rId1" Type="http://schemas.openxmlformats.org/officeDocument/2006/relationships/printerSettings" Target="../printerSettings/printerSettings6.bin"/><Relationship Id="rId6" Type="http://schemas.openxmlformats.org/officeDocument/2006/relationships/control" Target="../activeX/activeX25.xml"/><Relationship Id="rId11" Type="http://schemas.openxmlformats.org/officeDocument/2006/relationships/image" Target="../media/image29.emf"/><Relationship Id="rId5" Type="http://schemas.openxmlformats.org/officeDocument/2006/relationships/image" Target="../media/image26.emf"/><Relationship Id="rId15" Type="http://schemas.openxmlformats.org/officeDocument/2006/relationships/image" Target="../media/image31.emf"/><Relationship Id="rId10" Type="http://schemas.openxmlformats.org/officeDocument/2006/relationships/control" Target="../activeX/activeX27.xml"/><Relationship Id="rId4" Type="http://schemas.openxmlformats.org/officeDocument/2006/relationships/control" Target="../activeX/activeX24.xml"/><Relationship Id="rId9" Type="http://schemas.openxmlformats.org/officeDocument/2006/relationships/image" Target="../media/image28.emf"/><Relationship Id="rId14" Type="http://schemas.openxmlformats.org/officeDocument/2006/relationships/control" Target="../activeX/activeX29.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6.emf"/><Relationship Id="rId3" Type="http://schemas.openxmlformats.org/officeDocument/2006/relationships/vmlDrawing" Target="../drawings/vmlDrawing9.vml"/><Relationship Id="rId7" Type="http://schemas.openxmlformats.org/officeDocument/2006/relationships/image" Target="../media/image33.emf"/><Relationship Id="rId12" Type="http://schemas.openxmlformats.org/officeDocument/2006/relationships/control" Target="../activeX/activeX34.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ontrol" Target="../activeX/activeX31.xml"/><Relationship Id="rId11" Type="http://schemas.openxmlformats.org/officeDocument/2006/relationships/image" Target="../media/image35.emf"/><Relationship Id="rId5" Type="http://schemas.openxmlformats.org/officeDocument/2006/relationships/image" Target="../media/image32.emf"/><Relationship Id="rId10" Type="http://schemas.openxmlformats.org/officeDocument/2006/relationships/control" Target="../activeX/activeX33.xml"/><Relationship Id="rId4" Type="http://schemas.openxmlformats.org/officeDocument/2006/relationships/control" Target="../activeX/activeX30.xml"/><Relationship Id="rId9" Type="http://schemas.openxmlformats.org/officeDocument/2006/relationships/image" Target="../media/image34.emf"/><Relationship Id="rId1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1.emf"/><Relationship Id="rId3" Type="http://schemas.openxmlformats.org/officeDocument/2006/relationships/vmlDrawing" Target="../drawings/vmlDrawing10.vml"/><Relationship Id="rId7" Type="http://schemas.openxmlformats.org/officeDocument/2006/relationships/image" Target="../media/image38.emf"/><Relationship Id="rId12" Type="http://schemas.openxmlformats.org/officeDocument/2006/relationships/control" Target="../activeX/activeX39.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0.emf"/><Relationship Id="rId5" Type="http://schemas.openxmlformats.org/officeDocument/2006/relationships/image" Target="../media/image37.emf"/><Relationship Id="rId10" Type="http://schemas.openxmlformats.org/officeDocument/2006/relationships/control" Target="../activeX/activeX38.xml"/><Relationship Id="rId4" Type="http://schemas.openxmlformats.org/officeDocument/2006/relationships/control" Target="../activeX/activeX35.xml"/><Relationship Id="rId9" Type="http://schemas.openxmlformats.org/officeDocument/2006/relationships/image" Target="../media/image39.emf"/><Relationship Id="rId1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42.xml"/><Relationship Id="rId13" Type="http://schemas.openxmlformats.org/officeDocument/2006/relationships/image" Target="../media/image46.emf"/><Relationship Id="rId3" Type="http://schemas.openxmlformats.org/officeDocument/2006/relationships/vmlDrawing" Target="../drawings/vmlDrawing11.vml"/><Relationship Id="rId7" Type="http://schemas.openxmlformats.org/officeDocument/2006/relationships/image" Target="../media/image43.emf"/><Relationship Id="rId12" Type="http://schemas.openxmlformats.org/officeDocument/2006/relationships/control" Target="../activeX/activeX44.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ontrol" Target="../activeX/activeX41.xml"/><Relationship Id="rId11" Type="http://schemas.openxmlformats.org/officeDocument/2006/relationships/image" Target="../media/image45.emf"/><Relationship Id="rId5" Type="http://schemas.openxmlformats.org/officeDocument/2006/relationships/image" Target="../media/image42.emf"/><Relationship Id="rId10" Type="http://schemas.openxmlformats.org/officeDocument/2006/relationships/control" Target="../activeX/activeX43.xml"/><Relationship Id="rId4" Type="http://schemas.openxmlformats.org/officeDocument/2006/relationships/control" Target="../activeX/activeX40.xml"/><Relationship Id="rId9" Type="http://schemas.openxmlformats.org/officeDocument/2006/relationships/image" Target="../media/image44.emf"/><Relationship Id="rId1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8" Type="http://schemas.openxmlformats.org/officeDocument/2006/relationships/image" Target="../media/image49.emf"/><Relationship Id="rId13" Type="http://schemas.openxmlformats.org/officeDocument/2006/relationships/comments" Target="../comments9.xml"/><Relationship Id="rId3" Type="http://schemas.openxmlformats.org/officeDocument/2006/relationships/control" Target="../activeX/activeX45.xml"/><Relationship Id="rId7" Type="http://schemas.openxmlformats.org/officeDocument/2006/relationships/control" Target="../activeX/activeX47.xml"/><Relationship Id="rId12" Type="http://schemas.openxmlformats.org/officeDocument/2006/relationships/image" Target="../media/image51.emf"/><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48.emf"/><Relationship Id="rId11" Type="http://schemas.openxmlformats.org/officeDocument/2006/relationships/control" Target="../activeX/activeX49.xml"/><Relationship Id="rId5" Type="http://schemas.openxmlformats.org/officeDocument/2006/relationships/control" Target="../activeX/activeX46.xml"/><Relationship Id="rId10" Type="http://schemas.openxmlformats.org/officeDocument/2006/relationships/image" Target="../media/image50.emf"/><Relationship Id="rId4" Type="http://schemas.openxmlformats.org/officeDocument/2006/relationships/image" Target="../media/image47.emf"/><Relationship Id="rId9" Type="http://schemas.openxmlformats.org/officeDocument/2006/relationships/control" Target="../activeX/activeX48.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6.emf"/><Relationship Id="rId3" Type="http://schemas.openxmlformats.org/officeDocument/2006/relationships/vmlDrawing" Target="../drawings/vmlDrawing13.vml"/><Relationship Id="rId7" Type="http://schemas.openxmlformats.org/officeDocument/2006/relationships/image" Target="../media/image53.emf"/><Relationship Id="rId12" Type="http://schemas.openxmlformats.org/officeDocument/2006/relationships/control" Target="../activeX/activeX54.x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ontrol" Target="../activeX/activeX51.xml"/><Relationship Id="rId11" Type="http://schemas.openxmlformats.org/officeDocument/2006/relationships/image" Target="../media/image55.emf"/><Relationship Id="rId5" Type="http://schemas.openxmlformats.org/officeDocument/2006/relationships/image" Target="../media/image52.emf"/><Relationship Id="rId10" Type="http://schemas.openxmlformats.org/officeDocument/2006/relationships/control" Target="../activeX/activeX53.xml"/><Relationship Id="rId4" Type="http://schemas.openxmlformats.org/officeDocument/2006/relationships/control" Target="../activeX/activeX50.xml"/><Relationship Id="rId9" Type="http://schemas.openxmlformats.org/officeDocument/2006/relationships/image" Target="../media/image54.emf"/><Relationship Id="rId1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8" Type="http://schemas.openxmlformats.org/officeDocument/2006/relationships/image" Target="../media/image59.emf"/><Relationship Id="rId13" Type="http://schemas.openxmlformats.org/officeDocument/2006/relationships/comments" Target="../comments11.xml"/><Relationship Id="rId3" Type="http://schemas.openxmlformats.org/officeDocument/2006/relationships/control" Target="../activeX/activeX55.xml"/><Relationship Id="rId7" Type="http://schemas.openxmlformats.org/officeDocument/2006/relationships/control" Target="../activeX/activeX57.xml"/><Relationship Id="rId12" Type="http://schemas.openxmlformats.org/officeDocument/2006/relationships/image" Target="../media/image61.emf"/><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58.emf"/><Relationship Id="rId11" Type="http://schemas.openxmlformats.org/officeDocument/2006/relationships/control" Target="../activeX/activeX59.xml"/><Relationship Id="rId5" Type="http://schemas.openxmlformats.org/officeDocument/2006/relationships/control" Target="../activeX/activeX56.xml"/><Relationship Id="rId10" Type="http://schemas.openxmlformats.org/officeDocument/2006/relationships/image" Target="../media/image60.emf"/><Relationship Id="rId4" Type="http://schemas.openxmlformats.org/officeDocument/2006/relationships/image" Target="../media/image57.emf"/><Relationship Id="rId9" Type="http://schemas.openxmlformats.org/officeDocument/2006/relationships/control" Target="../activeX/activeX58.xml"/></Relationships>
</file>

<file path=xl/worksheets/_rels/sheet15.xml.rels><?xml version="1.0" encoding="UTF-8" standalone="yes"?>
<Relationships xmlns="http://schemas.openxmlformats.org/package/2006/relationships"><Relationship Id="rId8" Type="http://schemas.openxmlformats.org/officeDocument/2006/relationships/image" Target="../media/image64.emf"/><Relationship Id="rId13" Type="http://schemas.openxmlformats.org/officeDocument/2006/relationships/comments" Target="../comments12.xml"/><Relationship Id="rId3" Type="http://schemas.openxmlformats.org/officeDocument/2006/relationships/control" Target="../activeX/activeX60.xml"/><Relationship Id="rId7" Type="http://schemas.openxmlformats.org/officeDocument/2006/relationships/control" Target="../activeX/activeX62.xml"/><Relationship Id="rId12" Type="http://schemas.openxmlformats.org/officeDocument/2006/relationships/image" Target="../media/image66.emf"/><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63.emf"/><Relationship Id="rId11" Type="http://schemas.openxmlformats.org/officeDocument/2006/relationships/control" Target="../activeX/activeX64.xml"/><Relationship Id="rId5" Type="http://schemas.openxmlformats.org/officeDocument/2006/relationships/control" Target="../activeX/activeX61.xml"/><Relationship Id="rId10" Type="http://schemas.openxmlformats.org/officeDocument/2006/relationships/image" Target="../media/image65.emf"/><Relationship Id="rId4" Type="http://schemas.openxmlformats.org/officeDocument/2006/relationships/image" Target="../media/image62.emf"/><Relationship Id="rId9" Type="http://schemas.openxmlformats.org/officeDocument/2006/relationships/control" Target="../activeX/activeX63.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16.vml"/><Relationship Id="rId7" Type="http://schemas.openxmlformats.org/officeDocument/2006/relationships/image" Target="../media/image68.emf"/><Relationship Id="rId12" Type="http://schemas.openxmlformats.org/officeDocument/2006/relationships/comments" Target="../comments13.xml"/><Relationship Id="rId2" Type="http://schemas.openxmlformats.org/officeDocument/2006/relationships/drawing" Target="../drawings/drawing16.xml"/><Relationship Id="rId1" Type="http://schemas.openxmlformats.org/officeDocument/2006/relationships/printerSettings" Target="../printerSettings/printerSettings11.bin"/><Relationship Id="rId6" Type="http://schemas.openxmlformats.org/officeDocument/2006/relationships/control" Target="../activeX/activeX66.xml"/><Relationship Id="rId11" Type="http://schemas.openxmlformats.org/officeDocument/2006/relationships/image" Target="../media/image70.emf"/><Relationship Id="rId5" Type="http://schemas.openxmlformats.org/officeDocument/2006/relationships/image" Target="../media/image67.emf"/><Relationship Id="rId10" Type="http://schemas.openxmlformats.org/officeDocument/2006/relationships/control" Target="../activeX/activeX68.xml"/><Relationship Id="rId4" Type="http://schemas.openxmlformats.org/officeDocument/2006/relationships/control" Target="../activeX/activeX65.xml"/><Relationship Id="rId9" Type="http://schemas.openxmlformats.org/officeDocument/2006/relationships/image" Target="../media/image69.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71.xml"/><Relationship Id="rId3" Type="http://schemas.openxmlformats.org/officeDocument/2006/relationships/vmlDrawing" Target="../drawings/vmlDrawing17.vml"/><Relationship Id="rId7" Type="http://schemas.openxmlformats.org/officeDocument/2006/relationships/image" Target="../media/image72.emf"/><Relationship Id="rId12" Type="http://schemas.openxmlformats.org/officeDocument/2006/relationships/comments" Target="../comments14.xml"/><Relationship Id="rId2" Type="http://schemas.openxmlformats.org/officeDocument/2006/relationships/drawing" Target="../drawings/drawing17.xml"/><Relationship Id="rId1" Type="http://schemas.openxmlformats.org/officeDocument/2006/relationships/printerSettings" Target="../printerSettings/printerSettings12.bin"/><Relationship Id="rId6" Type="http://schemas.openxmlformats.org/officeDocument/2006/relationships/control" Target="../activeX/activeX70.xml"/><Relationship Id="rId11" Type="http://schemas.openxmlformats.org/officeDocument/2006/relationships/image" Target="../media/image74.emf"/><Relationship Id="rId5" Type="http://schemas.openxmlformats.org/officeDocument/2006/relationships/image" Target="../media/image71.emf"/><Relationship Id="rId10" Type="http://schemas.openxmlformats.org/officeDocument/2006/relationships/control" Target="../activeX/activeX72.xml"/><Relationship Id="rId4" Type="http://schemas.openxmlformats.org/officeDocument/2006/relationships/control" Target="../activeX/activeX69.xml"/><Relationship Id="rId9" Type="http://schemas.openxmlformats.org/officeDocument/2006/relationships/image" Target="../media/image73.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75.xml"/><Relationship Id="rId3" Type="http://schemas.openxmlformats.org/officeDocument/2006/relationships/vmlDrawing" Target="../drawings/vmlDrawing18.vml"/><Relationship Id="rId7" Type="http://schemas.openxmlformats.org/officeDocument/2006/relationships/image" Target="../media/image76.emf"/><Relationship Id="rId12" Type="http://schemas.openxmlformats.org/officeDocument/2006/relationships/comments" Target="../comments15.xml"/><Relationship Id="rId2" Type="http://schemas.openxmlformats.org/officeDocument/2006/relationships/drawing" Target="../drawings/drawing18.xml"/><Relationship Id="rId1" Type="http://schemas.openxmlformats.org/officeDocument/2006/relationships/printerSettings" Target="../printerSettings/printerSettings13.bin"/><Relationship Id="rId6" Type="http://schemas.openxmlformats.org/officeDocument/2006/relationships/control" Target="../activeX/activeX74.xml"/><Relationship Id="rId11" Type="http://schemas.openxmlformats.org/officeDocument/2006/relationships/image" Target="../media/image78.emf"/><Relationship Id="rId5" Type="http://schemas.openxmlformats.org/officeDocument/2006/relationships/image" Target="../media/image75.emf"/><Relationship Id="rId10" Type="http://schemas.openxmlformats.org/officeDocument/2006/relationships/control" Target="../activeX/activeX76.xml"/><Relationship Id="rId4" Type="http://schemas.openxmlformats.org/officeDocument/2006/relationships/control" Target="../activeX/activeX73.xml"/><Relationship Id="rId9" Type="http://schemas.openxmlformats.org/officeDocument/2006/relationships/image" Target="../media/image77.emf"/></Relationships>
</file>

<file path=xl/worksheets/_rels/sheet19.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9.vml"/><Relationship Id="rId7" Type="http://schemas.openxmlformats.org/officeDocument/2006/relationships/image" Target="../media/image80.emf"/><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ontrol" Target="../activeX/activeX78.xml"/><Relationship Id="rId5" Type="http://schemas.openxmlformats.org/officeDocument/2006/relationships/image" Target="../media/image79.emf"/><Relationship Id="rId4" Type="http://schemas.openxmlformats.org/officeDocument/2006/relationships/control" Target="../activeX/activeX77.xml"/></Relationships>
</file>

<file path=xl/worksheets/_rels/sheet20.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20.vml"/><Relationship Id="rId7" Type="http://schemas.openxmlformats.org/officeDocument/2006/relationships/image" Target="../media/image82.emf"/><Relationship Id="rId2" Type="http://schemas.openxmlformats.org/officeDocument/2006/relationships/drawing" Target="../drawings/drawing20.xml"/><Relationship Id="rId1" Type="http://schemas.openxmlformats.org/officeDocument/2006/relationships/printerSettings" Target="../printerSettings/printerSettings15.bin"/><Relationship Id="rId6" Type="http://schemas.openxmlformats.org/officeDocument/2006/relationships/control" Target="../activeX/activeX80.xml"/><Relationship Id="rId5" Type="http://schemas.openxmlformats.org/officeDocument/2006/relationships/image" Target="../media/image81.emf"/><Relationship Id="rId4" Type="http://schemas.openxmlformats.org/officeDocument/2006/relationships/control" Target="../activeX/activeX79.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81.xml"/><Relationship Id="rId7" Type="http://schemas.openxmlformats.org/officeDocument/2006/relationships/comments" Target="../comments18.xml"/><Relationship Id="rId2" Type="http://schemas.openxmlformats.org/officeDocument/2006/relationships/vmlDrawing" Target="../drawings/vmlDrawing21.vml"/><Relationship Id="rId1" Type="http://schemas.openxmlformats.org/officeDocument/2006/relationships/drawing" Target="../drawings/drawing21.xml"/><Relationship Id="rId6" Type="http://schemas.openxmlformats.org/officeDocument/2006/relationships/image" Target="../media/image84.emf"/><Relationship Id="rId5" Type="http://schemas.openxmlformats.org/officeDocument/2006/relationships/control" Target="../activeX/activeX82.xml"/><Relationship Id="rId4" Type="http://schemas.openxmlformats.org/officeDocument/2006/relationships/image" Target="../media/image83.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83.xml"/><Relationship Id="rId7" Type="http://schemas.openxmlformats.org/officeDocument/2006/relationships/comments" Target="../comments19.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86.emf"/><Relationship Id="rId5" Type="http://schemas.openxmlformats.org/officeDocument/2006/relationships/control" Target="../activeX/activeX84.xml"/><Relationship Id="rId4" Type="http://schemas.openxmlformats.org/officeDocument/2006/relationships/image" Target="../media/image85.emf"/></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85.xml"/><Relationship Id="rId7" Type="http://schemas.openxmlformats.org/officeDocument/2006/relationships/comments" Target="../comments20.xml"/><Relationship Id="rId2" Type="http://schemas.openxmlformats.org/officeDocument/2006/relationships/vmlDrawing" Target="../drawings/vmlDrawing23.vml"/><Relationship Id="rId1" Type="http://schemas.openxmlformats.org/officeDocument/2006/relationships/drawing" Target="../drawings/drawing23.xml"/><Relationship Id="rId6" Type="http://schemas.openxmlformats.org/officeDocument/2006/relationships/image" Target="../media/image88.emf"/><Relationship Id="rId5" Type="http://schemas.openxmlformats.org/officeDocument/2006/relationships/control" Target="../activeX/activeX86.xml"/><Relationship Id="rId4" Type="http://schemas.openxmlformats.org/officeDocument/2006/relationships/image" Target="../media/image87.emf"/></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87.xml"/><Relationship Id="rId7" Type="http://schemas.openxmlformats.org/officeDocument/2006/relationships/comments" Target="../comments21.xml"/><Relationship Id="rId2" Type="http://schemas.openxmlformats.org/officeDocument/2006/relationships/vmlDrawing" Target="../drawings/vmlDrawing24.vml"/><Relationship Id="rId1" Type="http://schemas.openxmlformats.org/officeDocument/2006/relationships/drawing" Target="../drawings/drawing24.xml"/><Relationship Id="rId6" Type="http://schemas.openxmlformats.org/officeDocument/2006/relationships/image" Target="../media/image90.emf"/><Relationship Id="rId5" Type="http://schemas.openxmlformats.org/officeDocument/2006/relationships/control" Target="../activeX/activeX88.xml"/><Relationship Id="rId4" Type="http://schemas.openxmlformats.org/officeDocument/2006/relationships/image" Target="../media/image89.emf"/></Relationships>
</file>

<file path=xl/worksheets/_rels/sheet25.xml.rels><?xml version="1.0" encoding="UTF-8" standalone="yes"?>
<Relationships xmlns="http://schemas.openxmlformats.org/package/2006/relationships"><Relationship Id="rId8" Type="http://schemas.openxmlformats.org/officeDocument/2006/relationships/comments" Target="../comments22.xml"/><Relationship Id="rId3" Type="http://schemas.openxmlformats.org/officeDocument/2006/relationships/vmlDrawing" Target="../drawings/vmlDrawing25.vml"/><Relationship Id="rId7" Type="http://schemas.openxmlformats.org/officeDocument/2006/relationships/image" Target="../media/image92.emf"/><Relationship Id="rId2" Type="http://schemas.openxmlformats.org/officeDocument/2006/relationships/drawing" Target="../drawings/drawing25.xml"/><Relationship Id="rId1" Type="http://schemas.openxmlformats.org/officeDocument/2006/relationships/printerSettings" Target="../printerSettings/printerSettings16.bin"/><Relationship Id="rId6" Type="http://schemas.openxmlformats.org/officeDocument/2006/relationships/control" Target="../activeX/activeX90.xml"/><Relationship Id="rId5" Type="http://schemas.openxmlformats.org/officeDocument/2006/relationships/image" Target="../media/image91.emf"/><Relationship Id="rId4" Type="http://schemas.openxmlformats.org/officeDocument/2006/relationships/control" Target="../activeX/activeX89.xml"/></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93.xml"/><Relationship Id="rId3" Type="http://schemas.openxmlformats.org/officeDocument/2006/relationships/vmlDrawing" Target="../drawings/vmlDrawing26.vml"/><Relationship Id="rId7" Type="http://schemas.openxmlformats.org/officeDocument/2006/relationships/image" Target="../media/image94.emf"/><Relationship Id="rId2" Type="http://schemas.openxmlformats.org/officeDocument/2006/relationships/drawing" Target="../drawings/drawing26.xml"/><Relationship Id="rId1" Type="http://schemas.openxmlformats.org/officeDocument/2006/relationships/printerSettings" Target="../printerSettings/printerSettings17.bin"/><Relationship Id="rId6" Type="http://schemas.openxmlformats.org/officeDocument/2006/relationships/control" Target="../activeX/activeX92.xml"/><Relationship Id="rId5" Type="http://schemas.openxmlformats.org/officeDocument/2006/relationships/image" Target="../media/image93.emf"/><Relationship Id="rId4" Type="http://schemas.openxmlformats.org/officeDocument/2006/relationships/control" Target="../activeX/activeX91.xml"/><Relationship Id="rId9" Type="http://schemas.openxmlformats.org/officeDocument/2006/relationships/image" Target="../media/image95.emf"/></Relationships>
</file>

<file path=xl/worksheets/_rels/sheet27.xml.rels><?xml version="1.0" encoding="UTF-8" standalone="yes"?>
<Relationships xmlns="http://schemas.openxmlformats.org/package/2006/relationships"><Relationship Id="rId8" Type="http://schemas.openxmlformats.org/officeDocument/2006/relationships/control" Target="../activeX/activeX96.xml"/><Relationship Id="rId3" Type="http://schemas.openxmlformats.org/officeDocument/2006/relationships/vmlDrawing" Target="../drawings/vmlDrawing27.vml"/><Relationship Id="rId7" Type="http://schemas.openxmlformats.org/officeDocument/2006/relationships/image" Target="../media/image97.emf"/><Relationship Id="rId2" Type="http://schemas.openxmlformats.org/officeDocument/2006/relationships/drawing" Target="../drawings/drawing27.xml"/><Relationship Id="rId1" Type="http://schemas.openxmlformats.org/officeDocument/2006/relationships/printerSettings" Target="../printerSettings/printerSettings18.bin"/><Relationship Id="rId6" Type="http://schemas.openxmlformats.org/officeDocument/2006/relationships/control" Target="../activeX/activeX95.xml"/><Relationship Id="rId5" Type="http://schemas.openxmlformats.org/officeDocument/2006/relationships/image" Target="../media/image96.emf"/><Relationship Id="rId4" Type="http://schemas.openxmlformats.org/officeDocument/2006/relationships/control" Target="../activeX/activeX94.xml"/><Relationship Id="rId9" Type="http://schemas.openxmlformats.org/officeDocument/2006/relationships/image" Target="../media/image98.emf"/></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99.xml"/><Relationship Id="rId3" Type="http://schemas.openxmlformats.org/officeDocument/2006/relationships/vmlDrawing" Target="../drawings/vmlDrawing28.vml"/><Relationship Id="rId7" Type="http://schemas.openxmlformats.org/officeDocument/2006/relationships/image" Target="../media/image100.emf"/><Relationship Id="rId2" Type="http://schemas.openxmlformats.org/officeDocument/2006/relationships/drawing" Target="../drawings/drawing28.xml"/><Relationship Id="rId1" Type="http://schemas.openxmlformats.org/officeDocument/2006/relationships/printerSettings" Target="../printerSettings/printerSettings19.bin"/><Relationship Id="rId6" Type="http://schemas.openxmlformats.org/officeDocument/2006/relationships/control" Target="../activeX/activeX98.xml"/><Relationship Id="rId5" Type="http://schemas.openxmlformats.org/officeDocument/2006/relationships/image" Target="../media/image99.emf"/><Relationship Id="rId4" Type="http://schemas.openxmlformats.org/officeDocument/2006/relationships/control" Target="../activeX/activeX97.xml"/><Relationship Id="rId9"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Q59"/>
  <sheetViews>
    <sheetView workbookViewId="0">
      <selection activeCell="R14" sqref="R14"/>
    </sheetView>
  </sheetViews>
  <sheetFormatPr defaultRowHeight="14.6" x14ac:dyDescent="0.4"/>
  <cols>
    <col min="1" max="1" width="2.69140625" customWidth="1"/>
    <col min="2" max="2" width="12.3046875" customWidth="1"/>
    <col min="3" max="3" width="24.15234375" customWidth="1"/>
    <col min="7" max="7" width="10.3828125" bestFit="1" customWidth="1"/>
    <col min="8" max="8" width="6.84375" customWidth="1"/>
    <col min="12" max="12" width="11.84375" customWidth="1"/>
    <col min="13" max="15" width="8.84375" customWidth="1"/>
  </cols>
  <sheetData>
    <row r="1" spans="1:849" x14ac:dyDescent="0.4">
      <c r="A1" s="6"/>
    </row>
    <row r="2" spans="1:849" s="46" customFormat="1" ht="29.15" customHeight="1" x14ac:dyDescent="0.4">
      <c r="A2"/>
      <c r="B2" s="44"/>
      <c r="C2" s="45"/>
      <c r="D2" s="45"/>
      <c r="E2" s="101" t="s">
        <v>1880</v>
      </c>
      <c r="F2" s="59"/>
      <c r="G2" s="59"/>
      <c r="H2" s="59"/>
      <c r="I2" s="59"/>
      <c r="J2" s="45"/>
      <c r="K2" s="45"/>
      <c r="L2" s="45"/>
      <c r="M2" s="45"/>
      <c r="N2" s="45"/>
      <c r="O2" s="60"/>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row>
    <row r="3" spans="1:849" s="49" customFormat="1" ht="15" customHeight="1" x14ac:dyDescent="0.5">
      <c r="A3"/>
      <c r="B3" s="47"/>
      <c r="C3" s="48"/>
      <c r="D3" s="48"/>
      <c r="E3" s="102" t="s">
        <v>1881</v>
      </c>
      <c r="F3" s="61"/>
      <c r="G3" s="61"/>
      <c r="H3" s="61"/>
      <c r="I3" s="61"/>
      <c r="J3" s="48"/>
      <c r="K3" s="48"/>
      <c r="L3" s="48"/>
      <c r="M3" s="48"/>
      <c r="N3" s="48"/>
      <c r="O3" s="62"/>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row>
    <row r="4" spans="1:849" s="46" customFormat="1" ht="15" customHeight="1" x14ac:dyDescent="0.5">
      <c r="A4"/>
      <c r="B4" s="47"/>
      <c r="C4" s="50"/>
      <c r="D4" s="50"/>
      <c r="E4" s="51"/>
      <c r="F4" s="52" t="s">
        <v>884</v>
      </c>
      <c r="G4" s="151">
        <v>44635</v>
      </c>
      <c r="H4" s="151"/>
      <c r="I4" s="151"/>
      <c r="J4" s="50"/>
      <c r="K4" s="50"/>
      <c r="L4" s="50"/>
      <c r="M4" s="50"/>
      <c r="N4" s="50"/>
      <c r="O4" s="53"/>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row>
    <row r="5" spans="1:849" s="46" customFormat="1" ht="15" customHeight="1" x14ac:dyDescent="0.5">
      <c r="A5"/>
      <c r="B5" s="54"/>
      <c r="C5" s="55"/>
      <c r="D5" s="55"/>
      <c r="E5" s="55"/>
      <c r="F5" s="56"/>
      <c r="G5" s="56"/>
      <c r="H5" s="57"/>
      <c r="I5" s="55"/>
      <c r="J5" s="55"/>
      <c r="K5" s="55"/>
      <c r="L5" s="55"/>
      <c r="M5" s="55"/>
      <c r="N5" s="55"/>
      <c r="O5" s="58"/>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row>
    <row r="7" spans="1:849" x14ac:dyDescent="0.4">
      <c r="B7" s="1" t="s">
        <v>915</v>
      </c>
      <c r="C7" s="79"/>
      <c r="K7" s="37" t="s">
        <v>1064</v>
      </c>
      <c r="L7" s="195" t="s">
        <v>1783</v>
      </c>
      <c r="M7" s="8" t="s">
        <v>1400</v>
      </c>
    </row>
    <row r="9" spans="1:849" s="68" customFormat="1" ht="18.45" x14ac:dyDescent="0.5">
      <c r="B9" s="146" t="s">
        <v>1409</v>
      </c>
      <c r="C9" s="146" t="s">
        <v>882</v>
      </c>
      <c r="D9" s="223" t="s">
        <v>883</v>
      </c>
      <c r="E9" s="223"/>
      <c r="F9" s="223"/>
      <c r="G9" s="223"/>
      <c r="H9" s="223"/>
      <c r="I9" s="223"/>
      <c r="J9" s="223"/>
      <c r="K9" s="223"/>
      <c r="L9" s="223"/>
      <c r="M9" s="223"/>
      <c r="N9" s="223"/>
      <c r="O9" s="223"/>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row>
    <row r="10" spans="1:849" s="43" customFormat="1" ht="18.45" x14ac:dyDescent="0.5">
      <c r="B10" s="147">
        <v>1</v>
      </c>
      <c r="C10" s="152" t="s">
        <v>1300</v>
      </c>
      <c r="D10" s="221" t="s">
        <v>1306</v>
      </c>
      <c r="E10" s="222"/>
      <c r="F10" s="222"/>
      <c r="G10" s="222"/>
      <c r="H10" s="222"/>
      <c r="I10" s="222"/>
      <c r="J10" s="222"/>
      <c r="K10" s="222"/>
      <c r="L10" s="222"/>
      <c r="M10" s="222"/>
      <c r="N10" s="222"/>
      <c r="O10" s="222"/>
    </row>
    <row r="11" spans="1:849" s="43" customFormat="1" ht="18.45" x14ac:dyDescent="0.5">
      <c r="B11" s="148">
        <v>2</v>
      </c>
      <c r="C11" s="203" t="s">
        <v>1785</v>
      </c>
      <c r="D11" s="225" t="s">
        <v>23</v>
      </c>
      <c r="E11" s="225"/>
      <c r="F11" s="225"/>
      <c r="G11" s="225"/>
      <c r="H11" s="225"/>
      <c r="I11" s="225"/>
      <c r="J11" s="225"/>
      <c r="K11" s="225"/>
      <c r="L11" s="225"/>
      <c r="M11" s="225"/>
      <c r="N11" s="225"/>
      <c r="O11" s="225"/>
    </row>
    <row r="12" spans="1:849" s="43" customFormat="1" ht="18.45" x14ac:dyDescent="0.5">
      <c r="B12" s="147">
        <v>3</v>
      </c>
      <c r="C12" s="152" t="s">
        <v>1786</v>
      </c>
      <c r="D12" s="227" t="s">
        <v>1403</v>
      </c>
      <c r="E12" s="222"/>
      <c r="F12" s="222"/>
      <c r="G12" s="222"/>
      <c r="H12" s="222"/>
      <c r="I12" s="222"/>
      <c r="J12" s="222"/>
      <c r="K12" s="222"/>
      <c r="L12" s="222"/>
      <c r="M12" s="222"/>
      <c r="N12" s="222"/>
      <c r="O12" s="222"/>
    </row>
    <row r="13" spans="1:849" s="43" customFormat="1" ht="18.45" x14ac:dyDescent="0.5">
      <c r="B13" s="148">
        <v>4</v>
      </c>
      <c r="C13" s="203" t="s">
        <v>1787</v>
      </c>
      <c r="D13" s="224" t="s">
        <v>1402</v>
      </c>
      <c r="E13" s="225"/>
      <c r="F13" s="225"/>
      <c r="G13" s="225"/>
      <c r="H13" s="225"/>
      <c r="I13" s="225"/>
      <c r="J13" s="225"/>
      <c r="K13" s="225"/>
      <c r="L13" s="225"/>
      <c r="M13" s="225"/>
      <c r="N13" s="225"/>
      <c r="O13" s="225"/>
    </row>
    <row r="14" spans="1:849" s="43" customFormat="1" ht="18.45" x14ac:dyDescent="0.5">
      <c r="B14" s="147">
        <v>5</v>
      </c>
      <c r="C14" s="152" t="s">
        <v>1821</v>
      </c>
      <c r="D14" s="222" t="s">
        <v>20</v>
      </c>
      <c r="E14" s="222"/>
      <c r="F14" s="222"/>
      <c r="G14" s="222"/>
      <c r="H14" s="222"/>
      <c r="I14" s="222"/>
      <c r="J14" s="222"/>
      <c r="K14" s="222"/>
      <c r="L14" s="222"/>
      <c r="M14" s="222"/>
      <c r="N14" s="222"/>
      <c r="O14" s="222"/>
    </row>
    <row r="15" spans="1:849" s="43" customFormat="1" ht="18.45" x14ac:dyDescent="0.5">
      <c r="B15" s="148">
        <v>6</v>
      </c>
      <c r="C15" s="203" t="s">
        <v>1822</v>
      </c>
      <c r="D15" s="225" t="s">
        <v>19</v>
      </c>
      <c r="E15" s="225"/>
      <c r="F15" s="225"/>
      <c r="G15" s="225"/>
      <c r="H15" s="225"/>
      <c r="I15" s="225"/>
      <c r="J15" s="225"/>
      <c r="K15" s="225"/>
      <c r="L15" s="225"/>
      <c r="M15" s="225"/>
      <c r="N15" s="225"/>
      <c r="O15" s="225"/>
    </row>
    <row r="16" spans="1:849" s="43" customFormat="1" ht="18.45" x14ac:dyDescent="0.5">
      <c r="B16" s="147">
        <v>7</v>
      </c>
      <c r="C16" s="152" t="s">
        <v>1823</v>
      </c>
      <c r="D16" s="222" t="s">
        <v>22</v>
      </c>
      <c r="E16" s="222"/>
      <c r="F16" s="222"/>
      <c r="G16" s="222"/>
      <c r="H16" s="222"/>
      <c r="I16" s="222"/>
      <c r="J16" s="222"/>
      <c r="K16" s="222"/>
      <c r="L16" s="222"/>
      <c r="M16" s="222"/>
      <c r="N16" s="222"/>
      <c r="O16" s="222"/>
    </row>
    <row r="17" spans="2:15" s="43" customFormat="1" ht="18.45" x14ac:dyDescent="0.5">
      <c r="B17" s="148">
        <v>8</v>
      </c>
      <c r="C17" s="203" t="s">
        <v>1824</v>
      </c>
      <c r="D17" s="225" t="s">
        <v>21</v>
      </c>
      <c r="E17" s="225"/>
      <c r="F17" s="225"/>
      <c r="G17" s="225"/>
      <c r="H17" s="225"/>
      <c r="I17" s="225"/>
      <c r="J17" s="225"/>
      <c r="K17" s="225"/>
      <c r="L17" s="225"/>
      <c r="M17" s="225"/>
      <c r="N17" s="225"/>
      <c r="O17" s="225"/>
    </row>
    <row r="18" spans="2:15" s="43" customFormat="1" ht="18.45" x14ac:dyDescent="0.5">
      <c r="B18" s="147">
        <v>9</v>
      </c>
      <c r="C18" s="152" t="s">
        <v>1795</v>
      </c>
      <c r="D18" s="222" t="s">
        <v>16</v>
      </c>
      <c r="E18" s="222"/>
      <c r="F18" s="222"/>
      <c r="G18" s="222"/>
      <c r="H18" s="222"/>
      <c r="I18" s="222"/>
      <c r="J18" s="222"/>
      <c r="K18" s="222"/>
      <c r="L18" s="222"/>
      <c r="M18" s="222"/>
      <c r="N18" s="222"/>
      <c r="O18" s="222"/>
    </row>
    <row r="19" spans="2:15" s="43" customFormat="1" ht="18.45" x14ac:dyDescent="0.5">
      <c r="B19" s="148">
        <v>10</v>
      </c>
      <c r="C19" s="203" t="s">
        <v>1796</v>
      </c>
      <c r="D19" s="224" t="s">
        <v>1404</v>
      </c>
      <c r="E19" s="225"/>
      <c r="F19" s="225"/>
      <c r="G19" s="225"/>
      <c r="H19" s="225"/>
      <c r="I19" s="225"/>
      <c r="J19" s="225"/>
      <c r="K19" s="225"/>
      <c r="L19" s="225"/>
      <c r="M19" s="225"/>
      <c r="N19" s="225"/>
      <c r="O19" s="225"/>
    </row>
    <row r="20" spans="2:15" s="43" customFormat="1" ht="18.45" x14ac:dyDescent="0.5">
      <c r="B20" s="147">
        <v>11</v>
      </c>
      <c r="C20" s="152" t="s">
        <v>1788</v>
      </c>
      <c r="D20" s="227" t="s">
        <v>1401</v>
      </c>
      <c r="E20" s="222"/>
      <c r="F20" s="222"/>
      <c r="G20" s="222"/>
      <c r="H20" s="222"/>
      <c r="I20" s="222"/>
      <c r="J20" s="222"/>
      <c r="K20" s="222"/>
      <c r="L20" s="222"/>
      <c r="M20" s="222"/>
      <c r="N20" s="222"/>
      <c r="O20" s="222"/>
    </row>
    <row r="21" spans="2:15" s="43" customFormat="1" ht="18.45" x14ac:dyDescent="0.5">
      <c r="B21" s="148">
        <v>12</v>
      </c>
      <c r="C21" s="203" t="s">
        <v>1829</v>
      </c>
      <c r="D21" s="224" t="s">
        <v>1405</v>
      </c>
      <c r="E21" s="225"/>
      <c r="F21" s="225"/>
      <c r="G21" s="225"/>
      <c r="H21" s="225"/>
      <c r="I21" s="225"/>
      <c r="J21" s="225"/>
      <c r="K21" s="225"/>
      <c r="L21" s="225"/>
      <c r="M21" s="225"/>
      <c r="N21" s="225"/>
      <c r="O21" s="225"/>
    </row>
    <row r="22" spans="2:15" s="43" customFormat="1" ht="18.45" x14ac:dyDescent="0.5">
      <c r="B22" s="147">
        <v>13</v>
      </c>
      <c r="C22" s="152" t="s">
        <v>1825</v>
      </c>
      <c r="D22" s="226" t="s">
        <v>977</v>
      </c>
      <c r="E22" s="222"/>
      <c r="F22" s="222"/>
      <c r="G22" s="222"/>
      <c r="H22" s="222"/>
      <c r="I22" s="222"/>
      <c r="J22" s="222"/>
      <c r="K22" s="222"/>
      <c r="L22" s="222"/>
      <c r="M22" s="222"/>
      <c r="N22" s="222"/>
      <c r="O22" s="222"/>
    </row>
    <row r="23" spans="2:15" s="43" customFormat="1" ht="18.45" x14ac:dyDescent="0.5">
      <c r="B23" s="148">
        <v>14</v>
      </c>
      <c r="C23" s="203" t="s">
        <v>1789</v>
      </c>
      <c r="D23" s="224" t="s">
        <v>1406</v>
      </c>
      <c r="E23" s="225"/>
      <c r="F23" s="225"/>
      <c r="G23" s="225"/>
      <c r="H23" s="225"/>
      <c r="I23" s="225"/>
      <c r="J23" s="225"/>
      <c r="K23" s="225"/>
      <c r="L23" s="225"/>
      <c r="M23" s="225"/>
      <c r="N23" s="225"/>
      <c r="O23" s="225"/>
    </row>
    <row r="24" spans="2:15" s="43" customFormat="1" ht="18.45" x14ac:dyDescent="0.5">
      <c r="B24" s="147">
        <v>15</v>
      </c>
      <c r="C24" s="152" t="s">
        <v>1790</v>
      </c>
      <c r="D24" s="227" t="s">
        <v>1407</v>
      </c>
      <c r="E24" s="222"/>
      <c r="F24" s="222"/>
      <c r="G24" s="222"/>
      <c r="H24" s="222"/>
      <c r="I24" s="222"/>
      <c r="J24" s="222"/>
      <c r="K24" s="222"/>
      <c r="L24" s="222"/>
      <c r="M24" s="222"/>
      <c r="N24" s="222"/>
      <c r="O24" s="222"/>
    </row>
    <row r="25" spans="2:15" s="43" customFormat="1" ht="18.45" x14ac:dyDescent="0.5">
      <c r="B25" s="148">
        <v>16</v>
      </c>
      <c r="C25" s="203" t="s">
        <v>1797</v>
      </c>
      <c r="D25" s="225" t="s">
        <v>17</v>
      </c>
      <c r="E25" s="225"/>
      <c r="F25" s="225"/>
      <c r="G25" s="225"/>
      <c r="H25" s="225"/>
      <c r="I25" s="225"/>
      <c r="J25" s="225"/>
      <c r="K25" s="225"/>
      <c r="L25" s="225"/>
      <c r="M25" s="225"/>
      <c r="N25" s="225"/>
      <c r="O25" s="225"/>
    </row>
    <row r="26" spans="2:15" s="43" customFormat="1" ht="18.45" x14ac:dyDescent="0.5">
      <c r="B26" s="147">
        <v>17</v>
      </c>
      <c r="C26" s="152" t="s">
        <v>1791</v>
      </c>
      <c r="D26" s="222" t="s">
        <v>18</v>
      </c>
      <c r="E26" s="222"/>
      <c r="F26" s="222"/>
      <c r="G26" s="222"/>
      <c r="H26" s="222"/>
      <c r="I26" s="222"/>
      <c r="J26" s="222"/>
      <c r="K26" s="222"/>
      <c r="L26" s="222"/>
      <c r="M26" s="222"/>
      <c r="N26" s="222"/>
      <c r="O26" s="222"/>
    </row>
    <row r="27" spans="2:15" ht="15.9" x14ac:dyDescent="0.45">
      <c r="B27" s="148">
        <v>18</v>
      </c>
      <c r="C27" s="203" t="s">
        <v>1830</v>
      </c>
      <c r="D27" s="231" t="s">
        <v>885</v>
      </c>
      <c r="E27" s="225"/>
      <c r="F27" s="225"/>
      <c r="G27" s="225"/>
      <c r="H27" s="225"/>
      <c r="I27" s="225"/>
      <c r="J27" s="225"/>
      <c r="K27" s="225"/>
      <c r="L27" s="225"/>
      <c r="M27" s="225"/>
      <c r="N27" s="225"/>
      <c r="O27" s="225"/>
    </row>
    <row r="28" spans="2:15" s="43" customFormat="1" ht="18.45" x14ac:dyDescent="0.5">
      <c r="B28" s="147">
        <v>19</v>
      </c>
      <c r="C28" s="152" t="s">
        <v>1798</v>
      </c>
      <c r="D28" s="227" t="s">
        <v>1408</v>
      </c>
      <c r="E28" s="222"/>
      <c r="F28" s="222"/>
      <c r="G28" s="222"/>
      <c r="H28" s="222"/>
      <c r="I28" s="222"/>
      <c r="J28" s="222"/>
      <c r="K28" s="222"/>
      <c r="L28" s="222"/>
      <c r="M28" s="222"/>
      <c r="N28" s="222"/>
      <c r="O28" s="222"/>
    </row>
    <row r="29" spans="2:15" ht="15.9" x14ac:dyDescent="0.45">
      <c r="B29" s="148">
        <v>20</v>
      </c>
      <c r="C29" s="204" t="s">
        <v>1826</v>
      </c>
      <c r="D29" s="234" t="s">
        <v>1298</v>
      </c>
      <c r="E29" s="225"/>
      <c r="F29" s="225"/>
      <c r="G29" s="225"/>
      <c r="H29" s="225"/>
      <c r="I29" s="225"/>
      <c r="J29" s="225"/>
      <c r="K29" s="225"/>
      <c r="L29" s="225"/>
      <c r="M29" s="225"/>
      <c r="N29" s="225"/>
      <c r="O29" s="225"/>
    </row>
    <row r="30" spans="2:15" s="43" customFormat="1" ht="18.45" x14ac:dyDescent="0.5">
      <c r="B30" s="149">
        <v>21</v>
      </c>
      <c r="C30" s="152" t="s">
        <v>1827</v>
      </c>
      <c r="D30" s="226" t="s">
        <v>1296</v>
      </c>
      <c r="E30" s="222"/>
      <c r="F30" s="222"/>
      <c r="G30" s="222"/>
      <c r="H30" s="222"/>
      <c r="I30" s="222"/>
      <c r="J30" s="222"/>
      <c r="K30" s="222"/>
      <c r="L30" s="222"/>
      <c r="M30" s="222"/>
      <c r="N30" s="222"/>
      <c r="O30" s="222"/>
    </row>
    <row r="31" spans="2:15" ht="15.9" x14ac:dyDescent="0.45">
      <c r="B31" s="150">
        <v>22</v>
      </c>
      <c r="C31" s="204" t="s">
        <v>1828</v>
      </c>
      <c r="D31" s="234" t="s">
        <v>1299</v>
      </c>
      <c r="E31" s="225"/>
      <c r="F31" s="225"/>
      <c r="G31" s="225"/>
      <c r="H31" s="225"/>
      <c r="I31" s="225"/>
      <c r="J31" s="225"/>
      <c r="K31" s="225"/>
      <c r="L31" s="225"/>
      <c r="M31" s="225"/>
      <c r="N31" s="225"/>
      <c r="O31" s="225"/>
    </row>
    <row r="32" spans="2:15" ht="15.9" x14ac:dyDescent="0.45">
      <c r="B32" s="149">
        <v>23</v>
      </c>
      <c r="C32" s="201" t="s">
        <v>1792</v>
      </c>
      <c r="D32" s="232" t="s">
        <v>1397</v>
      </c>
      <c r="E32" s="222"/>
      <c r="F32" s="222"/>
      <c r="G32" s="222"/>
      <c r="H32" s="222"/>
      <c r="I32" s="222"/>
      <c r="J32" s="222"/>
      <c r="K32" s="222"/>
      <c r="L32" s="222"/>
      <c r="M32" s="222"/>
      <c r="N32" s="222"/>
      <c r="O32" s="222"/>
    </row>
    <row r="33" spans="2:20" ht="15.9" x14ac:dyDescent="0.45">
      <c r="B33" s="150">
        <v>24</v>
      </c>
      <c r="C33" s="200" t="s">
        <v>1793</v>
      </c>
      <c r="D33" s="233" t="s">
        <v>1398</v>
      </c>
      <c r="E33" s="225"/>
      <c r="F33" s="225"/>
      <c r="G33" s="225"/>
      <c r="H33" s="225"/>
      <c r="I33" s="225"/>
      <c r="J33" s="225"/>
      <c r="K33" s="225"/>
      <c r="L33" s="225"/>
      <c r="M33" s="225"/>
      <c r="N33" s="225"/>
      <c r="O33" s="225"/>
    </row>
    <row r="34" spans="2:20" ht="15.9" x14ac:dyDescent="0.45">
      <c r="B34" s="149">
        <v>25</v>
      </c>
      <c r="C34" s="201" t="s">
        <v>1794</v>
      </c>
      <c r="D34" s="232" t="s">
        <v>1399</v>
      </c>
      <c r="E34" s="222"/>
      <c r="F34" s="222"/>
      <c r="G34" s="222"/>
      <c r="H34" s="222"/>
      <c r="I34" s="222"/>
      <c r="J34" s="222"/>
      <c r="K34" s="222"/>
      <c r="L34" s="222"/>
      <c r="M34" s="222"/>
      <c r="N34" s="222"/>
      <c r="O34" s="222"/>
    </row>
    <row r="35" spans="2:20" ht="15.9" x14ac:dyDescent="0.45">
      <c r="B35" s="150">
        <v>26</v>
      </c>
      <c r="C35" s="197" t="s">
        <v>1529</v>
      </c>
      <c r="D35" s="229" t="s">
        <v>1526</v>
      </c>
      <c r="E35" s="229"/>
      <c r="F35" s="229"/>
      <c r="G35" s="229"/>
      <c r="H35" s="229"/>
      <c r="I35" s="229"/>
      <c r="J35" s="229"/>
      <c r="K35" s="229"/>
      <c r="L35" s="229"/>
      <c r="M35" s="229"/>
      <c r="N35" s="229"/>
      <c r="O35" s="229"/>
    </row>
    <row r="36" spans="2:20" ht="15.9" x14ac:dyDescent="0.45">
      <c r="B36" s="149">
        <v>27</v>
      </c>
      <c r="C36" s="198" t="s">
        <v>1528</v>
      </c>
      <c r="D36" s="230" t="s">
        <v>1530</v>
      </c>
      <c r="E36" s="230"/>
      <c r="F36" s="230"/>
      <c r="G36" s="230"/>
      <c r="H36" s="230"/>
      <c r="I36" s="230"/>
      <c r="J36" s="230"/>
      <c r="K36" s="230"/>
      <c r="L36" s="230"/>
      <c r="M36" s="230"/>
      <c r="N36" s="230"/>
      <c r="O36" s="230"/>
    </row>
    <row r="37" spans="2:20" s="10" customFormat="1" ht="15.9" x14ac:dyDescent="0.45">
      <c r="B37" s="199">
        <v>28</v>
      </c>
      <c r="C37" s="200" t="s">
        <v>1799</v>
      </c>
      <c r="D37" s="219" t="s">
        <v>1831</v>
      </c>
      <c r="E37" s="219"/>
      <c r="F37" s="219"/>
      <c r="G37" s="219"/>
      <c r="H37" s="219"/>
      <c r="I37" s="219"/>
      <c r="J37" s="219"/>
      <c r="K37" s="219"/>
      <c r="L37" s="219"/>
      <c r="M37" s="219"/>
      <c r="N37" s="219"/>
      <c r="O37" s="219"/>
    </row>
    <row r="38" spans="2:20" s="10" customFormat="1" ht="15.9" x14ac:dyDescent="0.45">
      <c r="B38" s="201">
        <v>29</v>
      </c>
      <c r="C38" s="202" t="s">
        <v>1800</v>
      </c>
      <c r="D38" s="220" t="s">
        <v>1832</v>
      </c>
      <c r="E38" s="220"/>
      <c r="F38" s="220"/>
      <c r="G38" s="220"/>
      <c r="H38" s="220"/>
      <c r="I38" s="220"/>
      <c r="J38" s="220"/>
      <c r="K38" s="220"/>
      <c r="L38" s="220"/>
      <c r="M38" s="220"/>
      <c r="N38" s="220"/>
      <c r="O38" s="220"/>
    </row>
    <row r="39" spans="2:20" s="10" customFormat="1" ht="15.9" x14ac:dyDescent="0.45">
      <c r="B39" s="199">
        <v>30</v>
      </c>
      <c r="C39" s="200" t="s">
        <v>1923</v>
      </c>
      <c r="D39" s="219" t="s">
        <v>1924</v>
      </c>
      <c r="E39" s="219"/>
      <c r="F39" s="219"/>
      <c r="G39" s="219"/>
      <c r="H39" s="219"/>
      <c r="I39" s="219"/>
      <c r="J39" s="219"/>
      <c r="K39" s="219"/>
      <c r="L39" s="219"/>
      <c r="M39" s="219"/>
      <c r="N39" s="219"/>
      <c r="O39" s="219"/>
    </row>
    <row r="40" spans="2:20" ht="15.9" x14ac:dyDescent="0.45">
      <c r="B40" s="175"/>
      <c r="C40" s="176"/>
      <c r="D40" s="177"/>
      <c r="E40" s="178"/>
      <c r="F40" s="178"/>
      <c r="G40" s="178"/>
      <c r="H40" s="178"/>
      <c r="I40" s="178"/>
      <c r="J40" s="178"/>
      <c r="K40" s="178"/>
      <c r="L40" s="178"/>
      <c r="M40" s="178"/>
      <c r="N40" s="178"/>
      <c r="O40" s="178"/>
    </row>
    <row r="41" spans="2:20" x14ac:dyDescent="0.4">
      <c r="B41" s="42" t="s">
        <v>877</v>
      </c>
      <c r="C41" s="6" t="s">
        <v>878</v>
      </c>
      <c r="D41" t="s">
        <v>881</v>
      </c>
    </row>
    <row r="42" spans="2:20" x14ac:dyDescent="0.4">
      <c r="C42" s="6" t="s">
        <v>879</v>
      </c>
      <c r="D42" t="s">
        <v>880</v>
      </c>
    </row>
    <row r="45" spans="2:20" x14ac:dyDescent="0.4">
      <c r="B45" s="216" t="s">
        <v>1784</v>
      </c>
    </row>
    <row r="46" spans="2:20" s="17" customFormat="1" ht="31.5" customHeight="1" x14ac:dyDescent="0.4">
      <c r="C46" s="228" t="s">
        <v>1855</v>
      </c>
      <c r="D46" s="228"/>
      <c r="E46" s="228"/>
      <c r="F46" s="228"/>
      <c r="G46" s="228"/>
      <c r="H46" s="228"/>
      <c r="I46" s="228"/>
      <c r="J46" s="228"/>
      <c r="K46" s="228"/>
      <c r="L46" s="228"/>
      <c r="M46" s="228"/>
      <c r="N46" s="228"/>
      <c r="O46" s="218"/>
      <c r="P46" s="196"/>
      <c r="Q46" s="196"/>
      <c r="R46" s="196"/>
      <c r="S46" s="196"/>
      <c r="T46" s="196"/>
    </row>
    <row r="48" spans="2:20" x14ac:dyDescent="0.4">
      <c r="B48" s="216" t="s">
        <v>1844</v>
      </c>
    </row>
    <row r="49" spans="3:3" x14ac:dyDescent="0.4">
      <c r="C49" s="217" t="s">
        <v>1845</v>
      </c>
    </row>
    <row r="50" spans="3:3" x14ac:dyDescent="0.4">
      <c r="C50" s="217" t="s">
        <v>1846</v>
      </c>
    </row>
    <row r="51" spans="3:3" x14ac:dyDescent="0.4">
      <c r="C51" s="217" t="s">
        <v>1847</v>
      </c>
    </row>
    <row r="52" spans="3:3" x14ac:dyDescent="0.4">
      <c r="C52" s="217" t="s">
        <v>1848</v>
      </c>
    </row>
    <row r="53" spans="3:3" x14ac:dyDescent="0.4">
      <c r="C53" s="217" t="s">
        <v>1849</v>
      </c>
    </row>
    <row r="54" spans="3:3" x14ac:dyDescent="0.4">
      <c r="C54" s="217" t="s">
        <v>1850</v>
      </c>
    </row>
    <row r="55" spans="3:3" x14ac:dyDescent="0.4">
      <c r="C55" s="217" t="s">
        <v>1926</v>
      </c>
    </row>
    <row r="56" spans="3:3" x14ac:dyDescent="0.4">
      <c r="C56" s="217" t="s">
        <v>1851</v>
      </c>
    </row>
    <row r="57" spans="3:3" x14ac:dyDescent="0.4">
      <c r="C57" s="217" t="s">
        <v>1852</v>
      </c>
    </row>
    <row r="58" spans="3:3" x14ac:dyDescent="0.4">
      <c r="C58" s="217" t="s">
        <v>1853</v>
      </c>
    </row>
    <row r="59" spans="3:3" x14ac:dyDescent="0.4">
      <c r="C59" s="217" t="s">
        <v>1854</v>
      </c>
    </row>
  </sheetData>
  <mergeCells count="32">
    <mergeCell ref="C46:N46"/>
    <mergeCell ref="D20:O20"/>
    <mergeCell ref="D35:O35"/>
    <mergeCell ref="D36:O36"/>
    <mergeCell ref="D28:O28"/>
    <mergeCell ref="D27:O27"/>
    <mergeCell ref="D23:O23"/>
    <mergeCell ref="D24:O24"/>
    <mergeCell ref="D25:O25"/>
    <mergeCell ref="D26:O26"/>
    <mergeCell ref="D32:O32"/>
    <mergeCell ref="D33:O33"/>
    <mergeCell ref="D34:O34"/>
    <mergeCell ref="D29:O29"/>
    <mergeCell ref="D30:O30"/>
    <mergeCell ref="D31:O31"/>
    <mergeCell ref="D39:O39"/>
    <mergeCell ref="D37:O37"/>
    <mergeCell ref="D38:O38"/>
    <mergeCell ref="D10:O10"/>
    <mergeCell ref="D9:O9"/>
    <mergeCell ref="D21:O21"/>
    <mergeCell ref="D22:O22"/>
    <mergeCell ref="D11:O11"/>
    <mergeCell ref="D14:O14"/>
    <mergeCell ref="D12:O12"/>
    <mergeCell ref="D13:O13"/>
    <mergeCell ref="D15:O15"/>
    <mergeCell ref="D16:O16"/>
    <mergeCell ref="D17:O17"/>
    <mergeCell ref="D18:O18"/>
    <mergeCell ref="D19:O19"/>
  </mergeCells>
  <phoneticPr fontId="72" type="noConversion"/>
  <pageMargins left="0.7" right="0.7" top="0.75" bottom="0.75" header="0.3" footer="0.3"/>
  <pageSetup orientation="portrait" r:id="rId1"/>
  <drawing r:id="rId2"/>
  <legacyDrawing r:id="rId3"/>
  <controls>
    <mc:AlternateContent xmlns:mc="http://schemas.openxmlformats.org/markup-compatibility/2006">
      <mc:Choice Requires="x14">
        <control shapeId="37891" r:id="rId4" name="cmdOpenProj">
          <controlPr defaultSize="0" autoLine="0" autoPict="0" r:id="rId5">
            <anchor moveWithCells="1">
              <from>
                <xdr:col>12</xdr:col>
                <xdr:colOff>560614</xdr:colOff>
                <xdr:row>5</xdr:row>
                <xdr:rowOff>125186</xdr:rowOff>
              </from>
              <to>
                <xdr:col>14</xdr:col>
                <xdr:colOff>620486</xdr:colOff>
                <xdr:row>7</xdr:row>
                <xdr:rowOff>59871</xdr:rowOff>
              </to>
            </anchor>
          </controlPr>
        </control>
      </mc:Choice>
      <mc:Fallback>
        <control shapeId="37891" r:id="rId4" name="cmdOpenProj"/>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41"/>
  <sheetViews>
    <sheetView workbookViewId="0">
      <pane ySplit="4" topLeftCell="A5" activePane="bottomLeft" state="frozen"/>
      <selection activeCell="D38" sqref="D38"/>
      <selection pane="bottomLeft"/>
    </sheetView>
  </sheetViews>
  <sheetFormatPr defaultRowHeight="14.6" x14ac:dyDescent="0.4"/>
  <cols>
    <col min="2" max="2" width="15.53515625" bestFit="1" customWidth="1"/>
    <col min="3" max="3" width="27.53515625" customWidth="1"/>
  </cols>
  <sheetData>
    <row r="1" spans="1:6" ht="20.6" x14ac:dyDescent="0.4">
      <c r="A1" s="94" t="s">
        <v>978</v>
      </c>
    </row>
    <row r="2" spans="1:6" x14ac:dyDescent="0.4">
      <c r="A2" s="3"/>
      <c r="F2" s="2"/>
    </row>
    <row r="3" spans="1:6" x14ac:dyDescent="0.4">
      <c r="A3" s="3" t="s">
        <v>1598</v>
      </c>
      <c r="F3" s="2"/>
    </row>
    <row r="4" spans="1:6" s="7" customFormat="1" x14ac:dyDescent="0.4">
      <c r="A4" s="63" t="s">
        <v>607</v>
      </c>
      <c r="B4" s="63" t="s">
        <v>608</v>
      </c>
      <c r="C4" s="63" t="s">
        <v>15</v>
      </c>
      <c r="F4" s="65"/>
    </row>
    <row r="5" spans="1:6" x14ac:dyDescent="0.4">
      <c r="A5" t="s">
        <v>0</v>
      </c>
      <c r="B5" s="80" t="s">
        <v>1928</v>
      </c>
      <c r="C5" t="s">
        <v>1442</v>
      </c>
    </row>
    <row r="6" spans="1:6" x14ac:dyDescent="0.4">
      <c r="A6" t="s">
        <v>1</v>
      </c>
      <c r="B6" s="80" t="s">
        <v>1929</v>
      </c>
      <c r="C6" t="s">
        <v>1443</v>
      </c>
    </row>
    <row r="7" spans="1:6" x14ac:dyDescent="0.4">
      <c r="A7" t="s">
        <v>2</v>
      </c>
      <c r="B7" s="80" t="s">
        <v>1930</v>
      </c>
      <c r="C7" t="s">
        <v>1444</v>
      </c>
    </row>
    <row r="8" spans="1:6" x14ac:dyDescent="0.4">
      <c r="A8" t="s">
        <v>3</v>
      </c>
      <c r="B8" s="80" t="s">
        <v>1931</v>
      </c>
      <c r="C8" t="s">
        <v>1445</v>
      </c>
    </row>
    <row r="9" spans="1:6" x14ac:dyDescent="0.4">
      <c r="A9" t="s">
        <v>4</v>
      </c>
      <c r="B9" s="4" t="s">
        <v>1860</v>
      </c>
      <c r="C9" t="s">
        <v>1446</v>
      </c>
    </row>
    <row r="10" spans="1:6" x14ac:dyDescent="0.4">
      <c r="A10" t="s">
        <v>5</v>
      </c>
      <c r="B10" s="4" t="s">
        <v>1861</v>
      </c>
      <c r="C10" t="s">
        <v>1447</v>
      </c>
    </row>
    <row r="11" spans="1:6" x14ac:dyDescent="0.4">
      <c r="A11" t="s">
        <v>6</v>
      </c>
      <c r="B11" s="4" t="s">
        <v>1932</v>
      </c>
      <c r="C11" t="s">
        <v>1448</v>
      </c>
    </row>
    <row r="12" spans="1:6" x14ac:dyDescent="0.4">
      <c r="A12" t="s">
        <v>7</v>
      </c>
      <c r="B12" s="4" t="s">
        <v>1863</v>
      </c>
      <c r="C12" t="s">
        <v>1449</v>
      </c>
    </row>
    <row r="13" spans="1:6" x14ac:dyDescent="0.4">
      <c r="A13" t="s">
        <v>8</v>
      </c>
      <c r="B13" s="80" t="s">
        <v>1933</v>
      </c>
      <c r="C13" t="s">
        <v>1450</v>
      </c>
    </row>
    <row r="14" spans="1:6" x14ac:dyDescent="0.4">
      <c r="A14" t="s">
        <v>9</v>
      </c>
      <c r="B14" s="80" t="s">
        <v>1934</v>
      </c>
      <c r="C14" t="s">
        <v>1451</v>
      </c>
    </row>
    <row r="15" spans="1:6" x14ac:dyDescent="0.4">
      <c r="A15" t="s">
        <v>10</v>
      </c>
      <c r="B15" s="116" t="s">
        <v>1935</v>
      </c>
      <c r="C15" t="s">
        <v>1452</v>
      </c>
    </row>
    <row r="16" spans="1:6" x14ac:dyDescent="0.4">
      <c r="A16" t="s">
        <v>11</v>
      </c>
      <c r="B16" s="153" t="s">
        <v>1936</v>
      </c>
      <c r="C16" t="s">
        <v>1453</v>
      </c>
    </row>
    <row r="17" spans="1:3" x14ac:dyDescent="0.4">
      <c r="A17" t="s">
        <v>12</v>
      </c>
      <c r="B17" s="154" t="s">
        <v>1937</v>
      </c>
      <c r="C17" t="s">
        <v>1454</v>
      </c>
    </row>
    <row r="18" spans="1:3" x14ac:dyDescent="0.4">
      <c r="A18" t="s">
        <v>13</v>
      </c>
      <c r="B18" s="153" t="s">
        <v>1938</v>
      </c>
      <c r="C18" t="s">
        <v>1455</v>
      </c>
    </row>
    <row r="19" spans="1:3" x14ac:dyDescent="0.4">
      <c r="A19" t="s">
        <v>14</v>
      </c>
      <c r="B19" s="116" t="s">
        <v>1939</v>
      </c>
      <c r="C19" t="s">
        <v>1527</v>
      </c>
    </row>
    <row r="20" spans="1:3" x14ac:dyDescent="0.4">
      <c r="A20" t="s">
        <v>1691</v>
      </c>
      <c r="B20" s="80" t="s">
        <v>1940</v>
      </c>
      <c r="C20" t="s">
        <v>1456</v>
      </c>
    </row>
    <row r="21" spans="1:3" x14ac:dyDescent="0.4">
      <c r="A21" t="s">
        <v>1692</v>
      </c>
      <c r="B21" s="80" t="s">
        <v>1941</v>
      </c>
      <c r="C21" t="s">
        <v>1457</v>
      </c>
    </row>
    <row r="22" spans="1:3" x14ac:dyDescent="0.4">
      <c r="A22" t="s">
        <v>1693</v>
      </c>
      <c r="B22" s="116" t="s">
        <v>1942</v>
      </c>
      <c r="C22" t="s">
        <v>1460</v>
      </c>
    </row>
    <row r="23" spans="1:3" x14ac:dyDescent="0.4">
      <c r="A23" t="s">
        <v>1865</v>
      </c>
      <c r="B23" s="80" t="s">
        <v>1943</v>
      </c>
      <c r="C23" t="s">
        <v>1879</v>
      </c>
    </row>
    <row r="24" spans="1:3" x14ac:dyDescent="0.4">
      <c r="C24" s="8"/>
    </row>
    <row r="25" spans="1:3" x14ac:dyDescent="0.4">
      <c r="C25" s="8"/>
    </row>
    <row r="26" spans="1:3" x14ac:dyDescent="0.4">
      <c r="C26" s="8"/>
    </row>
    <row r="27" spans="1:3" x14ac:dyDescent="0.4">
      <c r="C27" s="8"/>
    </row>
    <row r="28" spans="1:3" x14ac:dyDescent="0.4">
      <c r="C28" s="8"/>
    </row>
    <row r="29" spans="1:3" x14ac:dyDescent="0.4">
      <c r="C29" s="8"/>
    </row>
    <row r="30" spans="1:3" x14ac:dyDescent="0.4">
      <c r="C30" s="8"/>
    </row>
    <row r="31" spans="1:3" x14ac:dyDescent="0.4">
      <c r="C31" s="8"/>
    </row>
    <row r="32" spans="1:3" x14ac:dyDescent="0.4">
      <c r="C32" s="8"/>
    </row>
    <row r="33" spans="3:3" x14ac:dyDescent="0.4">
      <c r="C33" s="8"/>
    </row>
    <row r="34" spans="3:3" x14ac:dyDescent="0.4">
      <c r="C34" s="8"/>
    </row>
    <row r="35" spans="3:3" x14ac:dyDescent="0.4">
      <c r="C35" s="8"/>
    </row>
    <row r="36" spans="3:3" x14ac:dyDescent="0.4">
      <c r="C36" s="8"/>
    </row>
    <row r="37" spans="3:3" x14ac:dyDescent="0.4">
      <c r="C37" s="8"/>
    </row>
    <row r="38" spans="3:3" x14ac:dyDescent="0.4">
      <c r="C38" s="8"/>
    </row>
    <row r="39" spans="3:3" x14ac:dyDescent="0.4">
      <c r="C39" s="8"/>
    </row>
    <row r="40" spans="3:3" x14ac:dyDescent="0.4">
      <c r="C40" s="8"/>
    </row>
    <row r="41" spans="3:3" x14ac:dyDescent="0.4">
      <c r="C41" s="8"/>
    </row>
  </sheetData>
  <pageMargins left="0.7" right="0.7" top="0.75" bottom="0.75" header="0.3" footer="0.3"/>
  <drawing r:id="rId1"/>
  <legacyDrawing r:id="rId2"/>
  <controls>
    <mc:AlternateContent xmlns:mc="http://schemas.openxmlformats.org/markup-compatibility/2006">
      <mc:Choice Requires="x14">
        <control shapeId="34817" r:id="rId3" name="cmdReadFil">
          <controlPr defaultSize="0" autoLine="0" r:id="rId4">
            <anchor moveWithCells="1">
              <from>
                <xdr:col>3</xdr:col>
                <xdr:colOff>76200</xdr:colOff>
                <xdr:row>0</xdr:row>
                <xdr:rowOff>65314</xdr:rowOff>
              </from>
              <to>
                <xdr:col>4</xdr:col>
                <xdr:colOff>440871</xdr:colOff>
                <xdr:row>1</xdr:row>
                <xdr:rowOff>130629</xdr:rowOff>
              </to>
            </anchor>
          </controlPr>
        </control>
      </mc:Choice>
      <mc:Fallback>
        <control shapeId="34817" r:id="rId3" name="cmdReadFil"/>
      </mc:Fallback>
    </mc:AlternateContent>
    <mc:AlternateContent xmlns:mc="http://schemas.openxmlformats.org/markup-compatibility/2006">
      <mc:Choice Requires="x14">
        <control shapeId="34818" r:id="rId5" name="cmdWriteFil">
          <controlPr defaultSize="0" autoLine="0" r:id="rId6">
            <anchor moveWithCells="1">
              <from>
                <xdr:col>4</xdr:col>
                <xdr:colOff>522514</xdr:colOff>
                <xdr:row>0</xdr:row>
                <xdr:rowOff>65314</xdr:rowOff>
              </from>
              <to>
                <xdr:col>6</xdr:col>
                <xdr:colOff>234043</xdr:colOff>
                <xdr:row>1</xdr:row>
                <xdr:rowOff>130629</xdr:rowOff>
              </to>
            </anchor>
          </controlPr>
        </control>
      </mc:Choice>
      <mc:Fallback>
        <control shapeId="34818" r:id="rId5" name="cmdWriteFil"/>
      </mc:Fallback>
    </mc:AlternateContent>
    <mc:AlternateContent xmlns:mc="http://schemas.openxmlformats.org/markup-compatibility/2006">
      <mc:Choice Requires="x14">
        <control shapeId="34819" r:id="rId7" name="cmdRun">
          <controlPr defaultSize="0" autoLine="0" r:id="rId8">
            <anchor moveWithCells="1">
              <from>
                <xdr:col>6</xdr:col>
                <xdr:colOff>522514</xdr:colOff>
                <xdr:row>0</xdr:row>
                <xdr:rowOff>65314</xdr:rowOff>
              </from>
              <to>
                <xdr:col>8</xdr:col>
                <xdr:colOff>228600</xdr:colOff>
                <xdr:row>1</xdr:row>
                <xdr:rowOff>130629</xdr:rowOff>
              </to>
            </anchor>
          </controlPr>
        </control>
      </mc:Choice>
      <mc:Fallback>
        <control shapeId="34819" r:id="rId7" name="cmdRu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21"/>
  <sheetViews>
    <sheetView workbookViewId="0">
      <pane ySplit="4" topLeftCell="A5" activePane="bottomLeft" state="frozen"/>
      <selection pane="bottomLeft"/>
    </sheetView>
  </sheetViews>
  <sheetFormatPr defaultRowHeight="14.6" x14ac:dyDescent="0.4"/>
  <cols>
    <col min="1" max="1" width="9.15234375" style="6"/>
    <col min="3" max="3" width="26.3828125" style="4" bestFit="1" customWidth="1"/>
  </cols>
  <sheetData>
    <row r="1" spans="1:12" ht="20.6" x14ac:dyDescent="0.4">
      <c r="A1" s="94" t="s">
        <v>899</v>
      </c>
    </row>
    <row r="2" spans="1:12" x14ac:dyDescent="0.4">
      <c r="A2" s="3"/>
    </row>
    <row r="3" spans="1:12" x14ac:dyDescent="0.4">
      <c r="A3" s="2" t="s">
        <v>1597</v>
      </c>
    </row>
    <row r="4" spans="1:12" s="7" customFormat="1" x14ac:dyDescent="0.4">
      <c r="A4" s="63" t="s">
        <v>24</v>
      </c>
      <c r="B4" s="63" t="s">
        <v>25</v>
      </c>
      <c r="C4" s="64"/>
      <c r="D4" s="235" t="s">
        <v>15</v>
      </c>
      <c r="E4" s="235"/>
    </row>
    <row r="5" spans="1:12" x14ac:dyDescent="0.4">
      <c r="A5" s="6">
        <v>1</v>
      </c>
      <c r="B5" t="s">
        <v>26</v>
      </c>
      <c r="C5" s="4" t="s">
        <v>1944</v>
      </c>
      <c r="D5" t="s">
        <v>984</v>
      </c>
      <c r="L5" s="4"/>
    </row>
    <row r="6" spans="1:12" x14ac:dyDescent="0.4">
      <c r="A6" s="6">
        <v>2</v>
      </c>
      <c r="B6" t="s">
        <v>27</v>
      </c>
      <c r="C6" s="80">
        <v>1</v>
      </c>
      <c r="D6" t="s">
        <v>1301</v>
      </c>
      <c r="L6" s="4"/>
    </row>
    <row r="7" spans="1:12" x14ac:dyDescent="0.4">
      <c r="A7" s="6">
        <v>3</v>
      </c>
      <c r="B7" t="s">
        <v>28</v>
      </c>
      <c r="C7" s="80">
        <v>109</v>
      </c>
      <c r="D7" t="s">
        <v>1303</v>
      </c>
      <c r="L7" s="4"/>
    </row>
    <row r="8" spans="1:12" x14ac:dyDescent="0.4">
      <c r="A8" s="6">
        <v>4</v>
      </c>
      <c r="B8" t="s">
        <v>29</v>
      </c>
      <c r="C8" s="80">
        <v>25</v>
      </c>
      <c r="D8" t="s">
        <v>1304</v>
      </c>
      <c r="L8" s="4"/>
    </row>
    <row r="9" spans="1:12" x14ac:dyDescent="0.4">
      <c r="A9" s="6">
        <v>5</v>
      </c>
      <c r="B9" t="s">
        <v>30</v>
      </c>
      <c r="C9" s="80">
        <v>1</v>
      </c>
      <c r="D9" t="s">
        <v>1302</v>
      </c>
      <c r="L9" s="4"/>
    </row>
    <row r="10" spans="1:12" x14ac:dyDescent="0.4">
      <c r="A10" s="127">
        <v>6</v>
      </c>
      <c r="B10" s="128" t="s">
        <v>31</v>
      </c>
      <c r="C10" s="127">
        <v>0</v>
      </c>
      <c r="D10" s="128" t="s">
        <v>985</v>
      </c>
      <c r="L10" s="4"/>
    </row>
    <row r="11" spans="1:12" x14ac:dyDescent="0.4">
      <c r="A11" s="127">
        <v>7</v>
      </c>
      <c r="B11" s="128" t="s">
        <v>32</v>
      </c>
      <c r="C11" s="127">
        <v>0</v>
      </c>
      <c r="D11" s="128" t="s">
        <v>986</v>
      </c>
      <c r="L11" s="4"/>
    </row>
    <row r="14" spans="1:12" x14ac:dyDescent="0.4">
      <c r="D14" s="4"/>
    </row>
    <row r="15" spans="1:12" x14ac:dyDescent="0.4">
      <c r="D15" s="4"/>
      <c r="G15" s="4"/>
    </row>
    <row r="16" spans="1:12" x14ac:dyDescent="0.4">
      <c r="D16" s="4"/>
      <c r="G16" s="4"/>
    </row>
    <row r="17" spans="4:7" x14ac:dyDescent="0.4">
      <c r="D17" s="4"/>
      <c r="G17" s="4"/>
    </row>
    <row r="18" spans="4:7" x14ac:dyDescent="0.4">
      <c r="D18" s="4"/>
      <c r="G18" s="4"/>
    </row>
    <row r="19" spans="4:7" x14ac:dyDescent="0.4">
      <c r="D19" s="4"/>
      <c r="G19" s="4"/>
    </row>
    <row r="20" spans="4:7" x14ac:dyDescent="0.4">
      <c r="D20" s="4"/>
      <c r="G20" s="4"/>
    </row>
    <row r="21" spans="4:7" x14ac:dyDescent="0.4">
      <c r="D21" s="4"/>
      <c r="G21" s="4"/>
    </row>
  </sheetData>
  <mergeCells count="1">
    <mergeCell ref="D4:E4"/>
  </mergeCells>
  <pageMargins left="0.7" right="0.7" top="0.75" bottom="0.75" header="0.3" footer="0.3"/>
  <drawing r:id="rId1"/>
  <legacyDrawing r:id="rId2"/>
  <controls>
    <mc:AlternateContent xmlns:mc="http://schemas.openxmlformats.org/markup-compatibility/2006">
      <mc:Choice Requires="x14">
        <control shapeId="4097" r:id="rId3" name="cmdReadRun">
          <controlPr defaultSize="0" autoLine="0" r:id="rId4">
            <anchor moveWithCells="1">
              <from>
                <xdr:col>6</xdr:col>
                <xdr:colOff>38100</xdr:colOff>
                <xdr:row>0</xdr:row>
                <xdr:rowOff>76200</xdr:rowOff>
              </from>
              <to>
                <xdr:col>7</xdr:col>
                <xdr:colOff>402771</xdr:colOff>
                <xdr:row>1</xdr:row>
                <xdr:rowOff>141514</xdr:rowOff>
              </to>
            </anchor>
          </controlPr>
        </control>
      </mc:Choice>
      <mc:Fallback>
        <control shapeId="4097" r:id="rId3" name="cmdReadRun"/>
      </mc:Fallback>
    </mc:AlternateContent>
    <mc:AlternateContent xmlns:mc="http://schemas.openxmlformats.org/markup-compatibility/2006">
      <mc:Choice Requires="x14">
        <control shapeId="4098" r:id="rId5" name="cmdWriteRun">
          <controlPr defaultSize="0" autoLine="0" r:id="rId6">
            <anchor moveWithCells="1">
              <from>
                <xdr:col>7</xdr:col>
                <xdr:colOff>495300</xdr:colOff>
                <xdr:row>0</xdr:row>
                <xdr:rowOff>76200</xdr:rowOff>
              </from>
              <to>
                <xdr:col>9</xdr:col>
                <xdr:colOff>206829</xdr:colOff>
                <xdr:row>1</xdr:row>
                <xdr:rowOff>141514</xdr:rowOff>
              </to>
            </anchor>
          </controlPr>
        </control>
      </mc:Choice>
      <mc:Fallback>
        <control shapeId="4098" r:id="rId5" name="cmdWriteRun"/>
      </mc:Fallback>
    </mc:AlternateContent>
    <mc:AlternateContent xmlns:mc="http://schemas.openxmlformats.org/markup-compatibility/2006">
      <mc:Choice Requires="x14">
        <control shapeId="4101" r:id="rId7" name="cmdRun">
          <controlPr defaultSize="0" autoLine="0" r:id="rId8">
            <anchor moveWithCells="1">
              <from>
                <xdr:col>9</xdr:col>
                <xdr:colOff>457200</xdr:colOff>
                <xdr:row>0</xdr:row>
                <xdr:rowOff>76200</xdr:rowOff>
              </from>
              <to>
                <xdr:col>11</xdr:col>
                <xdr:colOff>163286</xdr:colOff>
                <xdr:row>1</xdr:row>
                <xdr:rowOff>141514</xdr:rowOff>
              </to>
            </anchor>
          </controlPr>
        </control>
      </mc:Choice>
      <mc:Fallback>
        <control shapeId="4101" r:id="rId7" name="cmdRu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W219"/>
  <sheetViews>
    <sheetView zoomScaleNormal="100" workbookViewId="0"/>
  </sheetViews>
  <sheetFormatPr defaultRowHeight="14.6" x14ac:dyDescent="0.4"/>
  <cols>
    <col min="1" max="1" width="11.84375" customWidth="1"/>
    <col min="2" max="2" width="10.69140625" customWidth="1"/>
    <col min="3" max="3" width="8.84375" style="8"/>
    <col min="5" max="5" width="9.15234375" style="8"/>
    <col min="11" max="11" width="8.84375" style="4"/>
    <col min="14" max="14" width="8.84375" style="8"/>
  </cols>
  <sheetData>
    <row r="1" spans="1:15" ht="25.4" customHeight="1" x14ac:dyDescent="0.4">
      <c r="A1" s="94" t="s">
        <v>898</v>
      </c>
      <c r="O1" s="8"/>
    </row>
    <row r="2" spans="1:15" ht="19.95" customHeight="1" x14ac:dyDescent="0.4">
      <c r="A2" s="27" t="s">
        <v>918</v>
      </c>
      <c r="B2" s="17" t="s">
        <v>930</v>
      </c>
      <c r="C2" s="85"/>
      <c r="D2" s="27"/>
      <c r="E2" s="17"/>
    </row>
    <row r="3" spans="1:15" x14ac:dyDescent="0.4">
      <c r="A3" s="26" t="s">
        <v>900</v>
      </c>
      <c r="B3" s="17"/>
      <c r="C3" s="92"/>
      <c r="D3" s="17"/>
      <c r="E3" s="92"/>
    </row>
    <row r="5" spans="1:15" s="3" customFormat="1" x14ac:dyDescent="0.4">
      <c r="A5" s="97" t="s">
        <v>1590</v>
      </c>
      <c r="B5" s="96"/>
      <c r="C5" s="11"/>
      <c r="E5" s="11"/>
      <c r="K5" s="8"/>
      <c r="N5" s="11"/>
    </row>
    <row r="6" spans="1:15" x14ac:dyDescent="0.4">
      <c r="A6">
        <v>1</v>
      </c>
      <c r="B6" t="s">
        <v>33</v>
      </c>
      <c r="C6" s="8">
        <v>12</v>
      </c>
      <c r="D6" t="s">
        <v>1224</v>
      </c>
      <c r="K6" s="8"/>
      <c r="L6" s="8"/>
      <c r="M6" s="8"/>
    </row>
    <row r="7" spans="1:15" x14ac:dyDescent="0.4">
      <c r="A7">
        <v>2</v>
      </c>
      <c r="B7" t="s">
        <v>34</v>
      </c>
      <c r="C7" s="8">
        <v>1998</v>
      </c>
      <c r="D7" t="s">
        <v>1225</v>
      </c>
      <c r="L7" s="8"/>
      <c r="M7" s="8"/>
    </row>
    <row r="8" spans="1:15" x14ac:dyDescent="0.4">
      <c r="A8">
        <v>1</v>
      </c>
      <c r="B8" t="s">
        <v>35</v>
      </c>
      <c r="C8" s="8">
        <v>1</v>
      </c>
      <c r="D8" t="s">
        <v>1226</v>
      </c>
      <c r="L8" s="4"/>
      <c r="M8" s="8"/>
    </row>
    <row r="9" spans="1:15" x14ac:dyDescent="0.4">
      <c r="A9">
        <v>4</v>
      </c>
      <c r="B9" t="s">
        <v>36</v>
      </c>
      <c r="C9" s="8">
        <v>1</v>
      </c>
      <c r="D9" t="s">
        <v>1227</v>
      </c>
      <c r="L9" s="4"/>
      <c r="M9" s="8"/>
    </row>
    <row r="10" spans="1:15" x14ac:dyDescent="0.4">
      <c r="A10">
        <v>5</v>
      </c>
      <c r="B10" t="s">
        <v>37</v>
      </c>
      <c r="C10" s="8">
        <v>6</v>
      </c>
      <c r="D10" t="s">
        <v>1228</v>
      </c>
      <c r="L10" s="4"/>
      <c r="M10" s="8"/>
    </row>
    <row r="11" spans="1:15" x14ac:dyDescent="0.4">
      <c r="A11">
        <v>6</v>
      </c>
      <c r="B11" t="s">
        <v>1554</v>
      </c>
      <c r="C11" s="8">
        <v>2345</v>
      </c>
      <c r="D11" t="s">
        <v>1229</v>
      </c>
      <c r="L11" s="4"/>
      <c r="M11" s="8"/>
    </row>
    <row r="12" spans="1:15" x14ac:dyDescent="0.4">
      <c r="A12">
        <v>7</v>
      </c>
      <c r="B12" t="s">
        <v>38</v>
      </c>
      <c r="C12" s="8">
        <v>0</v>
      </c>
      <c r="D12" t="s">
        <v>1230</v>
      </c>
      <c r="L12" s="4"/>
      <c r="M12" s="8"/>
    </row>
    <row r="13" spans="1:15" x14ac:dyDescent="0.4">
      <c r="A13">
        <v>8</v>
      </c>
      <c r="B13" t="s">
        <v>1555</v>
      </c>
      <c r="C13" s="8">
        <v>0</v>
      </c>
      <c r="D13" t="s">
        <v>1231</v>
      </c>
      <c r="L13" s="4"/>
      <c r="M13" s="8"/>
    </row>
    <row r="14" spans="1:15" x14ac:dyDescent="0.4">
      <c r="A14">
        <v>9</v>
      </c>
      <c r="B14" t="s">
        <v>39</v>
      </c>
      <c r="C14" s="8">
        <v>0</v>
      </c>
      <c r="D14" t="s">
        <v>1232</v>
      </c>
      <c r="L14" s="4"/>
      <c r="M14" s="8"/>
    </row>
    <row r="15" spans="1:15" x14ac:dyDescent="0.4">
      <c r="A15" s="155">
        <v>10</v>
      </c>
      <c r="B15" s="155" t="s">
        <v>40</v>
      </c>
      <c r="C15" s="8">
        <v>1</v>
      </c>
      <c r="D15" t="s">
        <v>1233</v>
      </c>
      <c r="L15" s="4"/>
      <c r="M15" s="8"/>
    </row>
    <row r="16" spans="1:15" x14ac:dyDescent="0.4">
      <c r="A16">
        <v>11</v>
      </c>
      <c r="B16" t="s">
        <v>41</v>
      </c>
      <c r="C16" s="8">
        <v>0</v>
      </c>
      <c r="D16" t="s">
        <v>1234</v>
      </c>
      <c r="L16" s="4"/>
      <c r="M16" s="8"/>
    </row>
    <row r="17" spans="1:23" x14ac:dyDescent="0.4">
      <c r="A17">
        <v>12</v>
      </c>
      <c r="B17" t="s">
        <v>42</v>
      </c>
      <c r="C17" s="8">
        <v>3</v>
      </c>
      <c r="D17" t="s">
        <v>1235</v>
      </c>
      <c r="L17" s="4"/>
      <c r="M17" s="8"/>
    </row>
    <row r="18" spans="1:23" x14ac:dyDescent="0.4">
      <c r="A18">
        <v>13</v>
      </c>
      <c r="B18" t="s">
        <v>43</v>
      </c>
      <c r="C18" s="8">
        <v>0</v>
      </c>
      <c r="D18" t="s">
        <v>1236</v>
      </c>
      <c r="L18" s="4"/>
      <c r="M18" s="8"/>
    </row>
    <row r="19" spans="1:23" x14ac:dyDescent="0.4">
      <c r="A19">
        <v>14</v>
      </c>
      <c r="B19" t="s">
        <v>44</v>
      </c>
      <c r="C19" s="8">
        <v>0</v>
      </c>
      <c r="D19" t="s">
        <v>1237</v>
      </c>
      <c r="L19" s="4"/>
      <c r="M19" s="8"/>
    </row>
    <row r="20" spans="1:23" x14ac:dyDescent="0.4">
      <c r="A20" s="155">
        <v>15</v>
      </c>
      <c r="B20" s="155" t="s">
        <v>1556</v>
      </c>
      <c r="C20" s="8">
        <v>0</v>
      </c>
      <c r="D20" t="s">
        <v>1238</v>
      </c>
      <c r="L20" s="4"/>
      <c r="M20" s="8"/>
    </row>
    <row r="21" spans="1:23" x14ac:dyDescent="0.4">
      <c r="A21">
        <v>16</v>
      </c>
      <c r="B21" t="s">
        <v>45</v>
      </c>
      <c r="C21" s="8">
        <v>0</v>
      </c>
      <c r="D21" t="s">
        <v>1239</v>
      </c>
      <c r="L21" s="4"/>
      <c r="M21" s="8"/>
    </row>
    <row r="22" spans="1:23" x14ac:dyDescent="0.4">
      <c r="A22">
        <v>17</v>
      </c>
      <c r="B22" t="s">
        <v>46</v>
      </c>
      <c r="C22" s="8">
        <v>0</v>
      </c>
      <c r="D22" t="s">
        <v>1240</v>
      </c>
      <c r="L22" s="4"/>
      <c r="M22" s="8"/>
    </row>
    <row r="23" spans="1:23" x14ac:dyDescent="0.4">
      <c r="A23">
        <v>18</v>
      </c>
      <c r="B23" t="s">
        <v>47</v>
      </c>
      <c r="C23" s="8">
        <v>0</v>
      </c>
      <c r="D23" t="s">
        <v>1241</v>
      </c>
      <c r="L23" s="4"/>
      <c r="M23" s="8"/>
    </row>
    <row r="24" spans="1:23" x14ac:dyDescent="0.4">
      <c r="A24">
        <v>19</v>
      </c>
      <c r="B24" t="s">
        <v>48</v>
      </c>
      <c r="C24" s="8">
        <v>0</v>
      </c>
      <c r="D24" t="s">
        <v>1242</v>
      </c>
      <c r="L24" s="4"/>
      <c r="M24" s="8"/>
    </row>
    <row r="25" spans="1:23" x14ac:dyDescent="0.4">
      <c r="A25">
        <v>20</v>
      </c>
      <c r="B25" t="s">
        <v>49</v>
      </c>
      <c r="C25" s="8">
        <v>1</v>
      </c>
      <c r="D25" t="s">
        <v>1243</v>
      </c>
      <c r="L25" s="4"/>
      <c r="M25" s="8"/>
    </row>
    <row r="26" spans="1:23" x14ac:dyDescent="0.4">
      <c r="D26" t="s">
        <v>983</v>
      </c>
      <c r="M26" s="8"/>
    </row>
    <row r="27" spans="1:23" s="69" customFormat="1" ht="12.9" x14ac:dyDescent="0.35">
      <c r="A27" s="69" t="s">
        <v>1591</v>
      </c>
      <c r="C27" s="70"/>
      <c r="K27" s="71"/>
      <c r="M27" s="70"/>
      <c r="N27" s="70"/>
      <c r="T27" s="72"/>
      <c r="U27" s="72"/>
      <c r="V27" s="72"/>
      <c r="W27" s="72"/>
    </row>
    <row r="28" spans="1:23" x14ac:dyDescent="0.4">
      <c r="A28">
        <v>1</v>
      </c>
      <c r="B28" t="s">
        <v>50</v>
      </c>
      <c r="C28" s="8">
        <v>0</v>
      </c>
      <c r="D28" t="s">
        <v>1244</v>
      </c>
      <c r="E28"/>
      <c r="F28" s="8"/>
      <c r="L28" s="4"/>
      <c r="M28" s="8"/>
    </row>
    <row r="29" spans="1:23" x14ac:dyDescent="0.4">
      <c r="A29">
        <v>2</v>
      </c>
      <c r="B29" t="s">
        <v>51</v>
      </c>
      <c r="C29" s="8">
        <v>0</v>
      </c>
      <c r="D29" t="s">
        <v>1245</v>
      </c>
      <c r="E29"/>
      <c r="F29" s="8"/>
      <c r="L29" s="4"/>
      <c r="M29" s="8"/>
    </row>
    <row r="30" spans="1:23" x14ac:dyDescent="0.4">
      <c r="A30">
        <v>3</v>
      </c>
      <c r="B30" t="s">
        <v>52</v>
      </c>
      <c r="C30" s="8">
        <v>0</v>
      </c>
      <c r="D30" t="s">
        <v>1068</v>
      </c>
      <c r="E30"/>
      <c r="F30" s="8"/>
      <c r="L30" s="4"/>
      <c r="M30" s="8"/>
    </row>
    <row r="31" spans="1:23" x14ac:dyDescent="0.4">
      <c r="A31">
        <v>4</v>
      </c>
      <c r="B31" t="s">
        <v>53</v>
      </c>
      <c r="C31" s="8">
        <v>0</v>
      </c>
      <c r="D31" t="s">
        <v>1067</v>
      </c>
      <c r="E31"/>
      <c r="F31" s="8"/>
      <c r="L31" s="4"/>
      <c r="M31" s="8"/>
    </row>
    <row r="32" spans="1:23" x14ac:dyDescent="0.4">
      <c r="A32">
        <v>5</v>
      </c>
      <c r="B32" t="s">
        <v>54</v>
      </c>
      <c r="C32" s="8">
        <v>0</v>
      </c>
      <c r="D32" t="s">
        <v>1246</v>
      </c>
      <c r="E32"/>
      <c r="F32" s="8"/>
      <c r="L32" s="4"/>
      <c r="M32" s="8"/>
    </row>
    <row r="33" spans="1:13" x14ac:dyDescent="0.4">
      <c r="A33">
        <v>6</v>
      </c>
      <c r="B33" t="s">
        <v>55</v>
      </c>
      <c r="C33" s="8">
        <v>0</v>
      </c>
      <c r="D33" t="s">
        <v>1247</v>
      </c>
      <c r="E33"/>
      <c r="F33" s="8"/>
      <c r="L33" s="4"/>
      <c r="M33" s="8"/>
    </row>
    <row r="34" spans="1:13" x14ac:dyDescent="0.4">
      <c r="A34">
        <v>7</v>
      </c>
      <c r="B34" t="s">
        <v>56</v>
      </c>
      <c r="C34" s="8">
        <v>0</v>
      </c>
      <c r="D34" t="s">
        <v>1248</v>
      </c>
      <c r="E34"/>
      <c r="F34" s="8"/>
      <c r="L34" s="4"/>
      <c r="M34" s="8"/>
    </row>
    <row r="35" spans="1:13" x14ac:dyDescent="0.4">
      <c r="A35" s="155">
        <v>8</v>
      </c>
      <c r="B35" s="155" t="s">
        <v>57</v>
      </c>
      <c r="C35" s="8">
        <v>3</v>
      </c>
      <c r="D35" t="s">
        <v>1249</v>
      </c>
      <c r="E35"/>
      <c r="F35" s="8"/>
      <c r="L35" s="4"/>
      <c r="M35" s="8"/>
    </row>
    <row r="36" spans="1:13" x14ac:dyDescent="0.4">
      <c r="A36">
        <v>9</v>
      </c>
      <c r="B36" t="s">
        <v>58</v>
      </c>
      <c r="C36" s="8">
        <v>0</v>
      </c>
      <c r="D36" t="s">
        <v>1250</v>
      </c>
      <c r="E36"/>
      <c r="F36" s="8"/>
      <c r="L36" s="4"/>
      <c r="M36" s="8"/>
    </row>
    <row r="37" spans="1:13" x14ac:dyDescent="0.4">
      <c r="A37">
        <v>10</v>
      </c>
      <c r="B37" t="s">
        <v>59</v>
      </c>
      <c r="C37" s="8">
        <v>0</v>
      </c>
      <c r="D37" t="s">
        <v>1251</v>
      </c>
      <c r="E37"/>
      <c r="F37" s="8"/>
      <c r="L37" s="4"/>
      <c r="M37" s="8"/>
    </row>
    <row r="38" spans="1:13" x14ac:dyDescent="0.4">
      <c r="A38">
        <v>11</v>
      </c>
      <c r="B38" t="s">
        <v>1557</v>
      </c>
      <c r="C38" s="8">
        <v>0</v>
      </c>
      <c r="D38" t="s">
        <v>1252</v>
      </c>
      <c r="E38"/>
      <c r="F38" s="8"/>
      <c r="L38" s="4"/>
      <c r="M38" s="8"/>
    </row>
    <row r="39" spans="1:13" x14ac:dyDescent="0.4">
      <c r="A39">
        <v>12</v>
      </c>
      <c r="B39" t="s">
        <v>60</v>
      </c>
      <c r="C39" s="8">
        <v>0</v>
      </c>
      <c r="D39" t="s">
        <v>1253</v>
      </c>
      <c r="E39"/>
      <c r="F39" s="8"/>
      <c r="L39" s="4"/>
      <c r="M39" s="8"/>
    </row>
    <row r="40" spans="1:13" x14ac:dyDescent="0.4">
      <c r="A40">
        <v>13</v>
      </c>
      <c r="B40" t="s">
        <v>61</v>
      </c>
      <c r="C40" s="8">
        <v>0</v>
      </c>
      <c r="D40" t="s">
        <v>1254</v>
      </c>
      <c r="E40"/>
      <c r="F40" s="8"/>
      <c r="L40" s="4"/>
      <c r="M40" s="8"/>
    </row>
    <row r="41" spans="1:13" x14ac:dyDescent="0.4">
      <c r="A41">
        <v>14</v>
      </c>
      <c r="B41" t="s">
        <v>62</v>
      </c>
      <c r="C41" s="8">
        <v>0</v>
      </c>
      <c r="D41" t="s">
        <v>1255</v>
      </c>
      <c r="E41"/>
      <c r="F41" s="8"/>
      <c r="L41" s="4"/>
      <c r="M41" s="8"/>
    </row>
    <row r="42" spans="1:13" x14ac:dyDescent="0.4">
      <c r="A42">
        <v>15</v>
      </c>
      <c r="B42" s="79" t="s">
        <v>63</v>
      </c>
      <c r="C42" s="8">
        <v>0</v>
      </c>
      <c r="D42" t="s">
        <v>1256</v>
      </c>
      <c r="E42"/>
      <c r="F42" s="8"/>
      <c r="L42" s="4"/>
    </row>
    <row r="43" spans="1:13" x14ac:dyDescent="0.4">
      <c r="A43" s="86">
        <v>16</v>
      </c>
      <c r="B43" s="86" t="s">
        <v>64</v>
      </c>
      <c r="C43" s="8">
        <v>0</v>
      </c>
      <c r="D43" t="s">
        <v>1257</v>
      </c>
      <c r="E43"/>
      <c r="F43" s="8"/>
      <c r="L43" s="4"/>
      <c r="M43" s="8"/>
    </row>
    <row r="44" spans="1:13" x14ac:dyDescent="0.4">
      <c r="A44">
        <v>17</v>
      </c>
      <c r="B44" t="s">
        <v>65</v>
      </c>
      <c r="C44" s="8">
        <v>15</v>
      </c>
      <c r="D44" t="s">
        <v>1558</v>
      </c>
      <c r="E44"/>
      <c r="F44" s="8"/>
      <c r="L44" s="4"/>
      <c r="M44" s="8"/>
    </row>
    <row r="45" spans="1:13" x14ac:dyDescent="0.4">
      <c r="A45" s="8">
        <v>18</v>
      </c>
      <c r="B45" s="8" t="s">
        <v>1695</v>
      </c>
      <c r="C45" s="8">
        <v>1</v>
      </c>
      <c r="D45" t="s">
        <v>1698</v>
      </c>
      <c r="E45"/>
      <c r="F45" s="8"/>
      <c r="M45" s="8"/>
    </row>
    <row r="46" spans="1:13" x14ac:dyDescent="0.4">
      <c r="A46">
        <v>19</v>
      </c>
      <c r="B46" t="s">
        <v>66</v>
      </c>
      <c r="C46" s="8">
        <v>0</v>
      </c>
      <c r="D46" t="s">
        <v>1699</v>
      </c>
      <c r="E46"/>
      <c r="F46" s="8"/>
      <c r="M46" s="8"/>
    </row>
    <row r="47" spans="1:13" x14ac:dyDescent="0.4">
      <c r="A47">
        <v>20</v>
      </c>
      <c r="B47" t="s">
        <v>1065</v>
      </c>
      <c r="C47" s="8">
        <v>0</v>
      </c>
      <c r="D47" t="s">
        <v>1066</v>
      </c>
      <c r="M47" s="8"/>
    </row>
    <row r="48" spans="1:13" x14ac:dyDescent="0.4">
      <c r="A48">
        <v>21</v>
      </c>
      <c r="B48" t="s">
        <v>1696</v>
      </c>
      <c r="C48" s="8">
        <v>0</v>
      </c>
      <c r="D48" t="s">
        <v>1700</v>
      </c>
      <c r="E48"/>
      <c r="F48" s="8"/>
      <c r="M48" s="8"/>
    </row>
    <row r="49" spans="1:14" x14ac:dyDescent="0.4">
      <c r="A49">
        <v>22</v>
      </c>
      <c r="B49" t="s">
        <v>1697</v>
      </c>
      <c r="C49" s="8">
        <v>0</v>
      </c>
      <c r="D49" t="s">
        <v>1701</v>
      </c>
      <c r="E49"/>
      <c r="F49" s="8"/>
      <c r="M49" s="8"/>
    </row>
    <row r="50" spans="1:14" x14ac:dyDescent="0.4">
      <c r="A50">
        <v>23</v>
      </c>
      <c r="B50" t="s">
        <v>1199</v>
      </c>
      <c r="C50" s="8">
        <v>0</v>
      </c>
      <c r="D50" t="s">
        <v>1702</v>
      </c>
      <c r="E50"/>
      <c r="F50" s="8"/>
      <c r="M50" s="8"/>
    </row>
    <row r="51" spans="1:14" x14ac:dyDescent="0.4">
      <c r="A51">
        <v>24</v>
      </c>
      <c r="B51" t="s">
        <v>1223</v>
      </c>
      <c r="C51" s="8">
        <v>0</v>
      </c>
      <c r="D51" t="s">
        <v>1703</v>
      </c>
      <c r="K51"/>
      <c r="M51" s="8"/>
    </row>
    <row r="52" spans="1:14" x14ac:dyDescent="0.4">
      <c r="A52">
        <v>25</v>
      </c>
      <c r="B52" t="s">
        <v>67</v>
      </c>
      <c r="C52" s="8">
        <v>0</v>
      </c>
      <c r="D52" t="s">
        <v>1704</v>
      </c>
      <c r="E52"/>
      <c r="M52" s="8"/>
    </row>
    <row r="53" spans="1:14" x14ac:dyDescent="0.4">
      <c r="A53">
        <v>26</v>
      </c>
      <c r="B53" t="s">
        <v>1877</v>
      </c>
      <c r="C53" s="8">
        <v>0</v>
      </c>
      <c r="D53" t="s">
        <v>1878</v>
      </c>
      <c r="E53"/>
      <c r="M53" s="8"/>
    </row>
    <row r="54" spans="1:14" s="69" customFormat="1" ht="12.9" x14ac:dyDescent="0.35">
      <c r="N54" s="70"/>
    </row>
    <row r="55" spans="1:14" x14ac:dyDescent="0.4">
      <c r="A55" s="69" t="s">
        <v>1592</v>
      </c>
      <c r="B55" s="69"/>
      <c r="C55" s="70"/>
      <c r="D55" s="69"/>
      <c r="E55" s="69"/>
      <c r="F55" s="69"/>
      <c r="G55" s="69"/>
      <c r="H55" s="69"/>
      <c r="I55" s="69"/>
      <c r="J55" s="69"/>
      <c r="K55" s="71"/>
      <c r="L55" s="69"/>
      <c r="M55" s="70"/>
    </row>
    <row r="56" spans="1:14" x14ac:dyDescent="0.4">
      <c r="A56">
        <v>1</v>
      </c>
      <c r="B56" t="s">
        <v>1560</v>
      </c>
      <c r="C56" s="8">
        <v>0.8</v>
      </c>
      <c r="D56" t="s">
        <v>1069</v>
      </c>
      <c r="L56" s="4"/>
      <c r="M56" s="8"/>
    </row>
    <row r="57" spans="1:14" x14ac:dyDescent="0.4">
      <c r="A57">
        <v>2</v>
      </c>
      <c r="B57" t="s">
        <v>1562</v>
      </c>
      <c r="C57" s="8">
        <v>330</v>
      </c>
      <c r="D57" t="s">
        <v>1070</v>
      </c>
      <c r="L57" s="4"/>
      <c r="M57" s="8"/>
    </row>
    <row r="58" spans="1:14" x14ac:dyDescent="0.4">
      <c r="A58">
        <v>3</v>
      </c>
      <c r="B58" t="s">
        <v>1561</v>
      </c>
      <c r="C58" s="8">
        <v>0</v>
      </c>
      <c r="D58" t="s">
        <v>1071</v>
      </c>
      <c r="L58" s="4"/>
      <c r="M58" s="8"/>
    </row>
    <row r="59" spans="1:14" x14ac:dyDescent="0.4">
      <c r="A59">
        <v>4</v>
      </c>
      <c r="B59" s="86" t="s">
        <v>68</v>
      </c>
      <c r="C59" s="8">
        <v>1</v>
      </c>
      <c r="D59" t="s">
        <v>1258</v>
      </c>
      <c r="L59" s="4"/>
      <c r="M59" s="8"/>
    </row>
    <row r="60" spans="1:14" x14ac:dyDescent="0.4">
      <c r="A60" s="79">
        <v>5</v>
      </c>
      <c r="B60" s="79" t="s">
        <v>69</v>
      </c>
      <c r="C60" s="8">
        <v>10</v>
      </c>
      <c r="D60" t="s">
        <v>1259</v>
      </c>
      <c r="L60" s="4"/>
      <c r="M60" s="8"/>
    </row>
    <row r="61" spans="1:14" x14ac:dyDescent="0.4">
      <c r="A61">
        <v>6</v>
      </c>
      <c r="B61" t="s">
        <v>70</v>
      </c>
      <c r="C61" s="8">
        <v>0</v>
      </c>
      <c r="D61" t="s">
        <v>1260</v>
      </c>
      <c r="L61" s="4"/>
      <c r="M61" s="8"/>
    </row>
    <row r="62" spans="1:14" x14ac:dyDescent="0.4">
      <c r="A62">
        <v>7</v>
      </c>
      <c r="B62" t="s">
        <v>71</v>
      </c>
      <c r="C62" s="8">
        <v>0</v>
      </c>
      <c r="D62" t="s">
        <v>1261</v>
      </c>
      <c r="L62" s="4"/>
      <c r="M62" s="8"/>
    </row>
    <row r="63" spans="1:14" x14ac:dyDescent="0.4">
      <c r="A63">
        <v>8</v>
      </c>
      <c r="B63" t="s">
        <v>72</v>
      </c>
      <c r="C63" s="8">
        <v>25</v>
      </c>
      <c r="D63" t="s">
        <v>1262</v>
      </c>
      <c r="L63" s="4"/>
      <c r="M63" s="8"/>
    </row>
    <row r="64" spans="1:14" x14ac:dyDescent="0.4">
      <c r="A64">
        <v>9</v>
      </c>
      <c r="B64" t="s">
        <v>73</v>
      </c>
      <c r="C64" s="8">
        <v>0.5</v>
      </c>
      <c r="D64" t="s">
        <v>1263</v>
      </c>
      <c r="L64" s="4"/>
      <c r="M64" s="8"/>
    </row>
    <row r="65" spans="1:14" x14ac:dyDescent="0.4">
      <c r="A65">
        <v>10</v>
      </c>
      <c r="B65" t="s">
        <v>74</v>
      </c>
      <c r="C65" s="8">
        <v>0.5</v>
      </c>
      <c r="D65" t="s">
        <v>1264</v>
      </c>
      <c r="L65" s="4"/>
      <c r="M65" s="8"/>
    </row>
    <row r="66" spans="1:14" s="69" customFormat="1" x14ac:dyDescent="0.4">
      <c r="A66"/>
      <c r="B66"/>
      <c r="C66" s="8"/>
      <c r="D66"/>
      <c r="E66" s="8"/>
      <c r="F66"/>
      <c r="G66"/>
      <c r="H66"/>
      <c r="I66"/>
      <c r="J66"/>
      <c r="K66" s="4"/>
      <c r="L66"/>
      <c r="M66" s="8"/>
      <c r="N66" s="70"/>
    </row>
    <row r="67" spans="1:14" x14ac:dyDescent="0.4">
      <c r="A67" s="69" t="s">
        <v>1593</v>
      </c>
      <c r="B67" s="69"/>
      <c r="C67" s="70"/>
      <c r="D67" s="69"/>
      <c r="E67" s="69"/>
      <c r="F67" s="69"/>
      <c r="G67" s="69"/>
      <c r="H67" s="69"/>
      <c r="I67" s="69"/>
      <c r="J67" s="69"/>
      <c r="K67" s="71"/>
      <c r="L67" s="69"/>
      <c r="M67" s="70"/>
    </row>
    <row r="68" spans="1:14" x14ac:dyDescent="0.4">
      <c r="A68">
        <v>1</v>
      </c>
      <c r="B68" t="s">
        <v>75</v>
      </c>
      <c r="C68" s="8">
        <v>5</v>
      </c>
      <c r="D68" t="s">
        <v>1278</v>
      </c>
      <c r="L68" s="4"/>
      <c r="M68" s="8"/>
    </row>
    <row r="69" spans="1:14" x14ac:dyDescent="0.4">
      <c r="A69">
        <v>2</v>
      </c>
      <c r="B69" t="s">
        <v>76</v>
      </c>
      <c r="C69" s="8">
        <v>10</v>
      </c>
      <c r="D69" t="s">
        <v>1279</v>
      </c>
      <c r="L69" s="4"/>
      <c r="M69" s="8"/>
    </row>
    <row r="70" spans="1:14" x14ac:dyDescent="0.4">
      <c r="A70">
        <v>3</v>
      </c>
      <c r="B70" t="s">
        <v>1563</v>
      </c>
      <c r="C70" s="8">
        <v>1</v>
      </c>
      <c r="D70" t="s">
        <v>1218</v>
      </c>
      <c r="L70" s="4"/>
      <c r="M70" s="8"/>
    </row>
    <row r="71" spans="1:14" x14ac:dyDescent="0.4">
      <c r="A71" s="79">
        <v>4</v>
      </c>
      <c r="B71" s="79" t="s">
        <v>1564</v>
      </c>
      <c r="C71" s="8">
        <v>175</v>
      </c>
      <c r="D71" t="s">
        <v>1280</v>
      </c>
      <c r="L71" s="4"/>
      <c r="M71" s="8"/>
    </row>
    <row r="72" spans="1:14" x14ac:dyDescent="0.4">
      <c r="A72" s="79">
        <v>5</v>
      </c>
      <c r="B72" s="79" t="s">
        <v>1565</v>
      </c>
      <c r="C72" s="8">
        <v>0</v>
      </c>
      <c r="D72" t="s">
        <v>1559</v>
      </c>
      <c r="L72" s="4"/>
      <c r="M72" s="8"/>
    </row>
    <row r="73" spans="1:14" x14ac:dyDescent="0.4">
      <c r="A73" s="79">
        <v>6</v>
      </c>
      <c r="B73" s="79" t="s">
        <v>1566</v>
      </c>
      <c r="C73" s="8">
        <v>0.95</v>
      </c>
      <c r="D73" t="s">
        <v>1281</v>
      </c>
      <c r="L73" s="4"/>
      <c r="M73" s="8"/>
    </row>
    <row r="74" spans="1:14" x14ac:dyDescent="0.4">
      <c r="A74" s="10">
        <v>7</v>
      </c>
      <c r="B74" s="10" t="s">
        <v>1567</v>
      </c>
      <c r="C74" s="8">
        <v>1</v>
      </c>
      <c r="D74" t="s">
        <v>1282</v>
      </c>
      <c r="L74" s="4"/>
      <c r="M74" s="8"/>
    </row>
    <row r="75" spans="1:14" x14ac:dyDescent="0.4">
      <c r="A75">
        <v>8</v>
      </c>
      <c r="B75" t="s">
        <v>1568</v>
      </c>
      <c r="C75" s="8">
        <v>2</v>
      </c>
      <c r="D75" t="s">
        <v>1283</v>
      </c>
      <c r="L75" s="4"/>
      <c r="M75" s="8"/>
    </row>
    <row r="76" spans="1:14" x14ac:dyDescent="0.4">
      <c r="A76">
        <v>9</v>
      </c>
      <c r="B76" t="s">
        <v>1569</v>
      </c>
      <c r="C76" s="8">
        <v>1</v>
      </c>
      <c r="D76" t="s">
        <v>1284</v>
      </c>
      <c r="L76" s="4"/>
      <c r="M76" s="8"/>
    </row>
    <row r="77" spans="1:14" x14ac:dyDescent="0.4">
      <c r="A77">
        <v>10</v>
      </c>
      <c r="B77" t="s">
        <v>1570</v>
      </c>
      <c r="C77" s="8">
        <v>0</v>
      </c>
      <c r="D77" t="s">
        <v>1285</v>
      </c>
      <c r="L77" s="4"/>
      <c r="M77" s="8"/>
    </row>
    <row r="78" spans="1:14" s="69" customFormat="1" x14ac:dyDescent="0.4">
      <c r="A78"/>
      <c r="B78"/>
      <c r="C78" s="8"/>
      <c r="D78" t="s">
        <v>983</v>
      </c>
      <c r="E78" s="8"/>
      <c r="F78"/>
      <c r="G78"/>
      <c r="H78"/>
      <c r="I78"/>
      <c r="J78"/>
      <c r="K78" s="4"/>
      <c r="L78"/>
      <c r="M78" s="8"/>
      <c r="N78" s="70"/>
    </row>
    <row r="79" spans="1:14" x14ac:dyDescent="0.4">
      <c r="A79" s="69" t="s">
        <v>1594</v>
      </c>
      <c r="B79" s="69"/>
      <c r="C79" s="70"/>
      <c r="D79" s="69"/>
      <c r="E79" s="69"/>
      <c r="F79" s="69"/>
      <c r="G79" s="69"/>
      <c r="H79" s="69"/>
      <c r="I79" s="69"/>
      <c r="J79" s="69"/>
      <c r="K79" s="71"/>
      <c r="L79" s="69"/>
      <c r="M79" s="70"/>
    </row>
    <row r="80" spans="1:14" x14ac:dyDescent="0.4">
      <c r="A80">
        <v>1</v>
      </c>
      <c r="B80" t="s">
        <v>77</v>
      </c>
      <c r="C80" s="8">
        <v>0.3</v>
      </c>
      <c r="D80" t="s">
        <v>1269</v>
      </c>
      <c r="L80" s="4"/>
      <c r="M80" s="8"/>
    </row>
    <row r="81" spans="1:14" x14ac:dyDescent="0.4">
      <c r="A81">
        <v>2</v>
      </c>
      <c r="B81" t="s">
        <v>78</v>
      </c>
      <c r="C81" s="8">
        <v>500</v>
      </c>
      <c r="D81" t="s">
        <v>1270</v>
      </c>
      <c r="L81" s="4"/>
      <c r="M81" s="8"/>
    </row>
    <row r="82" spans="1:14" x14ac:dyDescent="0.4">
      <c r="A82">
        <v>3</v>
      </c>
      <c r="B82" t="s">
        <v>79</v>
      </c>
      <c r="C82" s="8">
        <v>1</v>
      </c>
      <c r="D82" t="s">
        <v>1271</v>
      </c>
      <c r="L82" s="4"/>
      <c r="M82" s="8"/>
    </row>
    <row r="83" spans="1:14" x14ac:dyDescent="0.4">
      <c r="A83">
        <v>4</v>
      </c>
      <c r="B83" t="s">
        <v>80</v>
      </c>
      <c r="C83" s="8">
        <v>0.5</v>
      </c>
      <c r="D83" t="s">
        <v>1072</v>
      </c>
      <c r="L83" s="4"/>
      <c r="M83" s="8"/>
    </row>
    <row r="84" spans="1:14" x14ac:dyDescent="0.4">
      <c r="A84">
        <v>5</v>
      </c>
      <c r="B84" t="s">
        <v>81</v>
      </c>
      <c r="C84" s="8">
        <v>0</v>
      </c>
      <c r="D84" t="s">
        <v>1272</v>
      </c>
      <c r="L84" s="4"/>
      <c r="M84" s="8"/>
    </row>
    <row r="85" spans="1:14" x14ac:dyDescent="0.4">
      <c r="A85">
        <v>6</v>
      </c>
      <c r="B85" t="s">
        <v>82</v>
      </c>
      <c r="C85" s="8">
        <v>0</v>
      </c>
      <c r="D85" t="s">
        <v>1273</v>
      </c>
      <c r="L85" s="4"/>
      <c r="M85" s="8"/>
    </row>
    <row r="86" spans="1:14" x14ac:dyDescent="0.4">
      <c r="A86">
        <v>7</v>
      </c>
      <c r="B86" t="s">
        <v>83</v>
      </c>
      <c r="C86" s="8">
        <v>0</v>
      </c>
      <c r="D86" t="s">
        <v>1274</v>
      </c>
      <c r="L86" s="4"/>
      <c r="M86" s="8"/>
    </row>
    <row r="87" spans="1:14" x14ac:dyDescent="0.4">
      <c r="A87">
        <v>8</v>
      </c>
      <c r="B87" t="s">
        <v>84</v>
      </c>
      <c r="C87" s="8">
        <v>1</v>
      </c>
      <c r="D87" t="s">
        <v>1275</v>
      </c>
      <c r="L87" s="4"/>
      <c r="M87" s="8"/>
    </row>
    <row r="88" spans="1:14" x14ac:dyDescent="0.4">
      <c r="A88">
        <v>9</v>
      </c>
      <c r="B88" t="s">
        <v>85</v>
      </c>
      <c r="C88" s="8">
        <v>5</v>
      </c>
      <c r="D88" t="s">
        <v>1276</v>
      </c>
      <c r="L88" s="4"/>
      <c r="M88" s="8"/>
    </row>
    <row r="89" spans="1:14" x14ac:dyDescent="0.4">
      <c r="A89">
        <v>10</v>
      </c>
      <c r="B89" t="s">
        <v>86</v>
      </c>
      <c r="C89" s="8">
        <v>5</v>
      </c>
      <c r="D89" t="s">
        <v>1277</v>
      </c>
      <c r="L89" s="4"/>
      <c r="M89" s="8"/>
    </row>
    <row r="90" spans="1:14" s="69" customFormat="1" x14ac:dyDescent="0.4">
      <c r="A90"/>
      <c r="B90"/>
      <c r="C90" s="8"/>
      <c r="D90" t="s">
        <v>983</v>
      </c>
      <c r="E90" s="8"/>
      <c r="F90"/>
      <c r="G90"/>
      <c r="H90"/>
      <c r="I90"/>
      <c r="J90"/>
      <c r="K90" s="4"/>
      <c r="L90"/>
      <c r="M90" s="8"/>
      <c r="N90" s="70"/>
    </row>
    <row r="91" spans="1:14" x14ac:dyDescent="0.4">
      <c r="A91" s="69" t="s">
        <v>1595</v>
      </c>
      <c r="B91" s="69"/>
      <c r="C91" s="70"/>
      <c r="D91" s="69"/>
      <c r="E91" s="69"/>
      <c r="F91" s="69"/>
      <c r="G91" s="69"/>
      <c r="H91" s="69"/>
      <c r="I91" s="69"/>
      <c r="J91" s="69"/>
      <c r="K91" s="71"/>
      <c r="L91" s="69"/>
      <c r="M91" s="70"/>
    </row>
    <row r="92" spans="1:14" x14ac:dyDescent="0.4">
      <c r="A92" s="155">
        <v>1</v>
      </c>
      <c r="B92" s="155" t="s">
        <v>87</v>
      </c>
      <c r="C92" s="8">
        <v>3</v>
      </c>
      <c r="D92" t="s">
        <v>1265</v>
      </c>
      <c r="L92" s="4"/>
      <c r="M92" s="8"/>
    </row>
    <row r="93" spans="1:14" x14ac:dyDescent="0.4">
      <c r="A93">
        <v>2</v>
      </c>
      <c r="B93" t="s">
        <v>88</v>
      </c>
      <c r="C93" s="8">
        <v>0</v>
      </c>
      <c r="D93" t="s">
        <v>1266</v>
      </c>
      <c r="L93" s="4"/>
      <c r="M93" s="8"/>
    </row>
    <row r="94" spans="1:14" x14ac:dyDescent="0.4">
      <c r="A94">
        <v>3</v>
      </c>
      <c r="B94" t="s">
        <v>89</v>
      </c>
      <c r="C94" s="8">
        <v>0.2</v>
      </c>
      <c r="D94" t="s">
        <v>1613</v>
      </c>
      <c r="L94" s="4"/>
      <c r="M94" s="8"/>
    </row>
    <row r="95" spans="1:14" s="41" customFormat="1" x14ac:dyDescent="0.4">
      <c r="A95">
        <v>4</v>
      </c>
      <c r="B95" t="s">
        <v>90</v>
      </c>
      <c r="C95" s="8">
        <v>0</v>
      </c>
      <c r="D95" t="s">
        <v>1073</v>
      </c>
      <c r="E95" s="8"/>
      <c r="F95"/>
      <c r="G95"/>
      <c r="H95"/>
      <c r="I95"/>
      <c r="J95"/>
      <c r="K95" s="4"/>
      <c r="L95" s="4"/>
      <c r="M95" s="8"/>
    </row>
    <row r="96" spans="1:14" s="41" customFormat="1" x14ac:dyDescent="0.4">
      <c r="A96" s="10">
        <v>5</v>
      </c>
      <c r="B96" s="10" t="s">
        <v>931</v>
      </c>
      <c r="C96" s="8">
        <v>0.01</v>
      </c>
      <c r="D96" s="10" t="s">
        <v>1267</v>
      </c>
      <c r="E96" s="10"/>
      <c r="K96" s="179"/>
      <c r="L96" s="179"/>
    </row>
    <row r="97" spans="1:13" x14ac:dyDescent="0.4">
      <c r="A97" s="10">
        <v>6</v>
      </c>
      <c r="B97" s="10" t="s">
        <v>932</v>
      </c>
      <c r="C97" s="8">
        <v>0.01</v>
      </c>
      <c r="D97" s="10" t="s">
        <v>1268</v>
      </c>
      <c r="E97" s="10"/>
      <c r="F97" s="41"/>
      <c r="G97" s="41"/>
      <c r="H97" s="41"/>
      <c r="I97" s="41"/>
      <c r="J97" s="41"/>
      <c r="K97" s="179"/>
      <c r="L97" s="179"/>
      <c r="M97" s="41"/>
    </row>
    <row r="98" spans="1:13" x14ac:dyDescent="0.4">
      <c r="A98" s="10">
        <v>7</v>
      </c>
      <c r="B98" t="s">
        <v>1629</v>
      </c>
      <c r="C98" s="8">
        <v>0.56000000000000005</v>
      </c>
      <c r="D98" t="s">
        <v>1632</v>
      </c>
      <c r="L98" s="4"/>
      <c r="M98" s="8"/>
    </row>
    <row r="99" spans="1:13" x14ac:dyDescent="0.4">
      <c r="A99" s="10">
        <v>8</v>
      </c>
      <c r="B99" t="s">
        <v>1630</v>
      </c>
      <c r="C99" s="8">
        <v>0.12</v>
      </c>
      <c r="D99" t="s">
        <v>1633</v>
      </c>
      <c r="E99"/>
    </row>
    <row r="100" spans="1:13" x14ac:dyDescent="0.4">
      <c r="A100" s="10">
        <v>9</v>
      </c>
      <c r="B100" t="s">
        <v>1631</v>
      </c>
      <c r="C100" s="8">
        <v>0</v>
      </c>
      <c r="D100" t="s">
        <v>1859</v>
      </c>
      <c r="E100"/>
    </row>
    <row r="101" spans="1:13" x14ac:dyDescent="0.4">
      <c r="A101" s="10">
        <v>10</v>
      </c>
      <c r="B101" t="s">
        <v>1875</v>
      </c>
      <c r="C101" s="8">
        <v>0.3</v>
      </c>
      <c r="D101" t="s">
        <v>1876</v>
      </c>
      <c r="E101"/>
    </row>
    <row r="102" spans="1:13" x14ac:dyDescent="0.4">
      <c r="E102"/>
    </row>
    <row r="103" spans="1:13" x14ac:dyDescent="0.4">
      <c r="E103"/>
    </row>
    <row r="104" spans="1:13" x14ac:dyDescent="0.4">
      <c r="E104"/>
    </row>
    <row r="105" spans="1:13" x14ac:dyDescent="0.4">
      <c r="E105"/>
    </row>
    <row r="106" spans="1:13" x14ac:dyDescent="0.4">
      <c r="E106"/>
    </row>
    <row r="107" spans="1:13" x14ac:dyDescent="0.4">
      <c r="E107"/>
    </row>
    <row r="108" spans="1:13" x14ac:dyDescent="0.4">
      <c r="E108"/>
    </row>
    <row r="109" spans="1:13" x14ac:dyDescent="0.4">
      <c r="E109"/>
    </row>
    <row r="110" spans="1:13" x14ac:dyDescent="0.4">
      <c r="E110"/>
    </row>
    <row r="111" spans="1:13" x14ac:dyDescent="0.4">
      <c r="E111"/>
    </row>
    <row r="112" spans="1:13" x14ac:dyDescent="0.4">
      <c r="E112"/>
    </row>
    <row r="113" spans="5:5" x14ac:dyDescent="0.4">
      <c r="E113"/>
    </row>
    <row r="114" spans="5:5" x14ac:dyDescent="0.4">
      <c r="E114"/>
    </row>
    <row r="115" spans="5:5" x14ac:dyDescent="0.4">
      <c r="E115"/>
    </row>
    <row r="116" spans="5:5" x14ac:dyDescent="0.4">
      <c r="E116"/>
    </row>
    <row r="117" spans="5:5" x14ac:dyDescent="0.4">
      <c r="E117"/>
    </row>
    <row r="118" spans="5:5" x14ac:dyDescent="0.4">
      <c r="E118"/>
    </row>
    <row r="119" spans="5:5" x14ac:dyDescent="0.4">
      <c r="E119"/>
    </row>
    <row r="120" spans="5:5" x14ac:dyDescent="0.4">
      <c r="E120"/>
    </row>
    <row r="121" spans="5:5" x14ac:dyDescent="0.4">
      <c r="E121"/>
    </row>
    <row r="122" spans="5:5" x14ac:dyDescent="0.4">
      <c r="E122"/>
    </row>
    <row r="123" spans="5:5" x14ac:dyDescent="0.4">
      <c r="E123"/>
    </row>
    <row r="124" spans="5:5" x14ac:dyDescent="0.4">
      <c r="E124"/>
    </row>
    <row r="125" spans="5:5" x14ac:dyDescent="0.4">
      <c r="E125"/>
    </row>
    <row r="126" spans="5:5" x14ac:dyDescent="0.4">
      <c r="E126"/>
    </row>
    <row r="127" spans="5:5" x14ac:dyDescent="0.4">
      <c r="E127"/>
    </row>
    <row r="128" spans="5:5" x14ac:dyDescent="0.4">
      <c r="E128"/>
    </row>
    <row r="129" spans="5:5" x14ac:dyDescent="0.4">
      <c r="E129"/>
    </row>
    <row r="130" spans="5:5" x14ac:dyDescent="0.4">
      <c r="E130"/>
    </row>
    <row r="131" spans="5:5" x14ac:dyDescent="0.4">
      <c r="E131"/>
    </row>
    <row r="132" spans="5:5" x14ac:dyDescent="0.4">
      <c r="E132"/>
    </row>
    <row r="133" spans="5:5" x14ac:dyDescent="0.4">
      <c r="E133"/>
    </row>
    <row r="134" spans="5:5" x14ac:dyDescent="0.4">
      <c r="E134"/>
    </row>
    <row r="135" spans="5:5" x14ac:dyDescent="0.4">
      <c r="E135"/>
    </row>
    <row r="136" spans="5:5" x14ac:dyDescent="0.4">
      <c r="E136"/>
    </row>
    <row r="137" spans="5:5" x14ac:dyDescent="0.4">
      <c r="E137"/>
    </row>
    <row r="138" spans="5:5" x14ac:dyDescent="0.4">
      <c r="E138"/>
    </row>
    <row r="139" spans="5:5" x14ac:dyDescent="0.4">
      <c r="E139"/>
    </row>
    <row r="140" spans="5:5" x14ac:dyDescent="0.4">
      <c r="E140"/>
    </row>
    <row r="141" spans="5:5" x14ac:dyDescent="0.4">
      <c r="E141"/>
    </row>
    <row r="142" spans="5:5" x14ac:dyDescent="0.4">
      <c r="E142"/>
    </row>
    <row r="143" spans="5:5" x14ac:dyDescent="0.4">
      <c r="E143"/>
    </row>
    <row r="144" spans="5:5" x14ac:dyDescent="0.4">
      <c r="E144"/>
    </row>
    <row r="145" spans="5:5" x14ac:dyDescent="0.4">
      <c r="E145"/>
    </row>
    <row r="146" spans="5:5" x14ac:dyDescent="0.4">
      <c r="E146"/>
    </row>
    <row r="147" spans="5:5" x14ac:dyDescent="0.4">
      <c r="E147"/>
    </row>
    <row r="148" spans="5:5" x14ac:dyDescent="0.4">
      <c r="E148"/>
    </row>
    <row r="149" spans="5:5" x14ac:dyDescent="0.4">
      <c r="E149"/>
    </row>
    <row r="150" spans="5:5" x14ac:dyDescent="0.4">
      <c r="E150"/>
    </row>
    <row r="151" spans="5:5" x14ac:dyDescent="0.4">
      <c r="E151"/>
    </row>
    <row r="152" spans="5:5" x14ac:dyDescent="0.4">
      <c r="E152"/>
    </row>
    <row r="153" spans="5:5" x14ac:dyDescent="0.4">
      <c r="E153"/>
    </row>
    <row r="154" spans="5:5" x14ac:dyDescent="0.4">
      <c r="E154"/>
    </row>
    <row r="155" spans="5:5" x14ac:dyDescent="0.4">
      <c r="E155"/>
    </row>
    <row r="156" spans="5:5" x14ac:dyDescent="0.4">
      <c r="E156"/>
    </row>
    <row r="157" spans="5:5" x14ac:dyDescent="0.4">
      <c r="E157"/>
    </row>
    <row r="158" spans="5:5" x14ac:dyDescent="0.4">
      <c r="E158"/>
    </row>
    <row r="159" spans="5:5" x14ac:dyDescent="0.4">
      <c r="E159"/>
    </row>
    <row r="160" spans="5:5" x14ac:dyDescent="0.4">
      <c r="E160"/>
    </row>
    <row r="161" spans="1:5" x14ac:dyDescent="0.4">
      <c r="E161"/>
    </row>
    <row r="162" spans="1:5" x14ac:dyDescent="0.4">
      <c r="E162"/>
    </row>
    <row r="163" spans="1:5" x14ac:dyDescent="0.4">
      <c r="E163"/>
    </row>
    <row r="164" spans="1:5" x14ac:dyDescent="0.4">
      <c r="E164"/>
    </row>
    <row r="165" spans="1:5" x14ac:dyDescent="0.4">
      <c r="E165"/>
    </row>
    <row r="166" spans="1:5" x14ac:dyDescent="0.4">
      <c r="E166"/>
    </row>
    <row r="167" spans="1:5" x14ac:dyDescent="0.4">
      <c r="E167"/>
    </row>
    <row r="168" spans="1:5" x14ac:dyDescent="0.4">
      <c r="E168"/>
    </row>
    <row r="169" spans="1:5" x14ac:dyDescent="0.4">
      <c r="E169"/>
    </row>
    <row r="170" spans="1:5" x14ac:dyDescent="0.4">
      <c r="A170" s="10"/>
      <c r="B170" s="10"/>
      <c r="E170"/>
    </row>
    <row r="171" spans="1:5" x14ac:dyDescent="0.4">
      <c r="A171" s="10"/>
      <c r="B171" s="10"/>
      <c r="E171"/>
    </row>
    <row r="172" spans="1:5" x14ac:dyDescent="0.4">
      <c r="A172" s="10"/>
      <c r="B172" s="10"/>
      <c r="E172"/>
    </row>
    <row r="173" spans="1:5" x14ac:dyDescent="0.4">
      <c r="A173" s="10"/>
      <c r="B173" s="10"/>
      <c r="E173"/>
    </row>
    <row r="174" spans="1:5" x14ac:dyDescent="0.4">
      <c r="A174" s="10"/>
      <c r="B174" s="10"/>
      <c r="E174"/>
    </row>
    <row r="175" spans="1:5" x14ac:dyDescent="0.4">
      <c r="A175" s="10"/>
      <c r="B175" s="10"/>
      <c r="E175"/>
    </row>
    <row r="176" spans="1:5" x14ac:dyDescent="0.4">
      <c r="A176" s="10"/>
      <c r="B176" s="10"/>
      <c r="E176"/>
    </row>
    <row r="177" spans="1:5" x14ac:dyDescent="0.4">
      <c r="A177" s="10"/>
      <c r="B177" s="10"/>
      <c r="E177"/>
    </row>
    <row r="178" spans="1:5" x14ac:dyDescent="0.4">
      <c r="A178" s="10"/>
      <c r="B178" s="10"/>
      <c r="E178"/>
    </row>
    <row r="179" spans="1:5" x14ac:dyDescent="0.4">
      <c r="A179" s="10"/>
      <c r="B179" s="10"/>
      <c r="E179"/>
    </row>
    <row r="180" spans="1:5" x14ac:dyDescent="0.4">
      <c r="A180" s="10"/>
      <c r="B180" s="10"/>
      <c r="E180"/>
    </row>
    <row r="181" spans="1:5" x14ac:dyDescent="0.4">
      <c r="A181" s="10"/>
      <c r="B181" s="10"/>
      <c r="E181"/>
    </row>
    <row r="182" spans="1:5" x14ac:dyDescent="0.4">
      <c r="A182" s="10"/>
      <c r="B182" s="10"/>
      <c r="E182"/>
    </row>
    <row r="183" spans="1:5" x14ac:dyDescent="0.4">
      <c r="A183" s="10"/>
      <c r="B183" s="10"/>
      <c r="E183"/>
    </row>
    <row r="184" spans="1:5" x14ac:dyDescent="0.4">
      <c r="A184" s="10"/>
      <c r="B184" s="10"/>
      <c r="E184"/>
    </row>
    <row r="185" spans="1:5" x14ac:dyDescent="0.4">
      <c r="A185" s="10"/>
      <c r="B185" s="10"/>
      <c r="E185"/>
    </row>
    <row r="186" spans="1:5" x14ac:dyDescent="0.4">
      <c r="A186" s="10"/>
      <c r="B186" s="10"/>
      <c r="E186"/>
    </row>
    <row r="187" spans="1:5" x14ac:dyDescent="0.4">
      <c r="A187" s="10"/>
      <c r="B187" s="10"/>
      <c r="E187"/>
    </row>
    <row r="188" spans="1:5" x14ac:dyDescent="0.4">
      <c r="A188" s="10"/>
      <c r="B188" s="10"/>
      <c r="E188"/>
    </row>
    <row r="189" spans="1:5" x14ac:dyDescent="0.4">
      <c r="A189" s="10"/>
      <c r="B189" s="10"/>
      <c r="E189"/>
    </row>
    <row r="190" spans="1:5" x14ac:dyDescent="0.4">
      <c r="A190" s="10"/>
      <c r="B190" s="10"/>
      <c r="E190"/>
    </row>
    <row r="191" spans="1:5" x14ac:dyDescent="0.4">
      <c r="A191" s="10"/>
      <c r="B191" s="10"/>
      <c r="E191"/>
    </row>
    <row r="192" spans="1:5" x14ac:dyDescent="0.4">
      <c r="A192" s="10"/>
      <c r="B192" s="10"/>
      <c r="E192"/>
    </row>
    <row r="193" spans="1:5" x14ac:dyDescent="0.4">
      <c r="A193" s="10"/>
      <c r="B193" s="10"/>
      <c r="E193"/>
    </row>
    <row r="194" spans="1:5" x14ac:dyDescent="0.4">
      <c r="A194" s="10"/>
      <c r="B194" s="10"/>
      <c r="E194"/>
    </row>
    <row r="195" spans="1:5" x14ac:dyDescent="0.4">
      <c r="A195" s="10"/>
      <c r="B195" s="10"/>
      <c r="E195"/>
    </row>
    <row r="196" spans="1:5" x14ac:dyDescent="0.4">
      <c r="A196" s="10"/>
      <c r="B196" s="10"/>
      <c r="E196"/>
    </row>
    <row r="197" spans="1:5" x14ac:dyDescent="0.4">
      <c r="A197" s="10"/>
      <c r="B197" s="10"/>
      <c r="E197"/>
    </row>
    <row r="198" spans="1:5" x14ac:dyDescent="0.4">
      <c r="A198" s="10"/>
      <c r="B198" s="10"/>
      <c r="E198"/>
    </row>
    <row r="199" spans="1:5" x14ac:dyDescent="0.4">
      <c r="A199" s="10"/>
      <c r="B199" s="10"/>
      <c r="E199"/>
    </row>
    <row r="200" spans="1:5" x14ac:dyDescent="0.4">
      <c r="A200" s="10"/>
      <c r="B200" s="10"/>
      <c r="E200"/>
    </row>
    <row r="201" spans="1:5" x14ac:dyDescent="0.4">
      <c r="A201" s="10"/>
      <c r="B201" s="10"/>
      <c r="E201"/>
    </row>
    <row r="202" spans="1:5" x14ac:dyDescent="0.4">
      <c r="A202" s="10"/>
      <c r="B202" s="10"/>
      <c r="E202"/>
    </row>
    <row r="203" spans="1:5" x14ac:dyDescent="0.4">
      <c r="A203" s="10"/>
      <c r="B203" s="10"/>
      <c r="E203"/>
    </row>
    <row r="204" spans="1:5" x14ac:dyDescent="0.4">
      <c r="A204" s="10"/>
      <c r="B204" s="10"/>
      <c r="E204"/>
    </row>
    <row r="205" spans="1:5" x14ac:dyDescent="0.4">
      <c r="A205" s="10"/>
      <c r="B205" s="10"/>
      <c r="E205"/>
    </row>
    <row r="206" spans="1:5" x14ac:dyDescent="0.4">
      <c r="A206" s="10"/>
      <c r="B206" s="10"/>
      <c r="E206"/>
    </row>
    <row r="207" spans="1:5" x14ac:dyDescent="0.4">
      <c r="A207" s="10"/>
      <c r="B207" s="10"/>
      <c r="E207"/>
    </row>
    <row r="208" spans="1:5" x14ac:dyDescent="0.4">
      <c r="A208" s="10"/>
      <c r="B208" s="10"/>
      <c r="E208"/>
    </row>
    <row r="209" spans="1:5" x14ac:dyDescent="0.4">
      <c r="A209" s="10"/>
      <c r="B209" s="10"/>
      <c r="E209"/>
    </row>
    <row r="210" spans="1:5" x14ac:dyDescent="0.4">
      <c r="A210" s="10"/>
      <c r="B210" s="10"/>
      <c r="E210"/>
    </row>
    <row r="211" spans="1:5" x14ac:dyDescent="0.4">
      <c r="A211" s="10"/>
      <c r="B211" s="10"/>
      <c r="E211"/>
    </row>
    <row r="212" spans="1:5" x14ac:dyDescent="0.4">
      <c r="A212" s="10"/>
      <c r="B212" s="10"/>
      <c r="E212"/>
    </row>
    <row r="213" spans="1:5" x14ac:dyDescent="0.4">
      <c r="A213" s="10"/>
      <c r="B213" s="10"/>
      <c r="E213"/>
    </row>
    <row r="214" spans="1:5" x14ac:dyDescent="0.4">
      <c r="A214" s="10"/>
      <c r="B214" s="10"/>
      <c r="E214"/>
    </row>
    <row r="215" spans="1:5" x14ac:dyDescent="0.4">
      <c r="A215" s="10"/>
      <c r="B215" s="10"/>
      <c r="E215"/>
    </row>
    <row r="216" spans="1:5" x14ac:dyDescent="0.4">
      <c r="E216"/>
    </row>
    <row r="217" spans="1:5" x14ac:dyDescent="0.4">
      <c r="E217"/>
    </row>
    <row r="218" spans="1:5" x14ac:dyDescent="0.4">
      <c r="E218"/>
    </row>
    <row r="219" spans="1:5" x14ac:dyDescent="0.4">
      <c r="E219"/>
    </row>
  </sheetData>
  <sortState xmlns:xlrd2="http://schemas.microsoft.com/office/spreadsheetml/2017/richdata2" ref="A93:D125">
    <sortCondition ref="A93:A125"/>
  </sortState>
  <pageMargins left="0.7" right="0.7" top="0.75" bottom="0.75" header="0.3" footer="0.3"/>
  <pageSetup orientation="portrait" r:id="rId1"/>
  <drawing r:id="rId2"/>
  <legacyDrawing r:id="rId3"/>
  <controls>
    <mc:AlternateContent xmlns:mc="http://schemas.openxmlformats.org/markup-compatibility/2006">
      <mc:Choice Requires="x14">
        <control shapeId="1036" r:id="rId4" name="cmdGetCont">
          <controlPr defaultSize="0" autoLine="0" r:id="rId5">
            <anchor moveWithCells="1">
              <from>
                <xdr:col>4</xdr:col>
                <xdr:colOff>457200</xdr:colOff>
                <xdr:row>0</xdr:row>
                <xdr:rowOff>217714</xdr:rowOff>
              </from>
              <to>
                <xdr:col>6</xdr:col>
                <xdr:colOff>174171</xdr:colOff>
                <xdr:row>1</xdr:row>
                <xdr:rowOff>201386</xdr:rowOff>
              </to>
            </anchor>
          </controlPr>
        </control>
      </mc:Choice>
      <mc:Fallback>
        <control shapeId="1036" r:id="rId4" name="cmdGetCont"/>
      </mc:Fallback>
    </mc:AlternateContent>
    <mc:AlternateContent xmlns:mc="http://schemas.openxmlformats.org/markup-compatibility/2006">
      <mc:Choice Requires="x14">
        <control shapeId="1034" r:id="rId6" name="cmbBoxCont">
          <controlPr defaultSize="0" autoLine="0" linkedCell="B2" r:id="rId7">
            <anchor moveWithCells="1">
              <from>
                <xdr:col>1</xdr:col>
                <xdr:colOff>21771</xdr:colOff>
                <xdr:row>1</xdr:row>
                <xdr:rowOff>21771</xdr:rowOff>
              </from>
              <to>
                <xdr:col>2</xdr:col>
                <xdr:colOff>609600</xdr:colOff>
                <xdr:row>2</xdr:row>
                <xdr:rowOff>5443</xdr:rowOff>
              </to>
            </anchor>
          </controlPr>
        </control>
      </mc:Choice>
      <mc:Fallback>
        <control shapeId="1034" r:id="rId6" name="cmbBoxCont"/>
      </mc:Fallback>
    </mc:AlternateContent>
    <mc:AlternateContent xmlns:mc="http://schemas.openxmlformats.org/markup-compatibility/2006">
      <mc:Choice Requires="x14">
        <control shapeId="1025" r:id="rId8" name="cmdWrite">
          <controlPr defaultSize="0" autoLine="0" r:id="rId9">
            <anchor moveWithCells="1">
              <from>
                <xdr:col>8</xdr:col>
                <xdr:colOff>228600</xdr:colOff>
                <xdr:row>0</xdr:row>
                <xdr:rowOff>217714</xdr:rowOff>
              </from>
              <to>
                <xdr:col>9</xdr:col>
                <xdr:colOff>593271</xdr:colOff>
                <xdr:row>1</xdr:row>
                <xdr:rowOff>201386</xdr:rowOff>
              </to>
            </anchor>
          </controlPr>
        </control>
      </mc:Choice>
      <mc:Fallback>
        <control shapeId="1025" r:id="rId8" name="cmdWrite"/>
      </mc:Fallback>
    </mc:AlternateContent>
    <mc:AlternateContent xmlns:mc="http://schemas.openxmlformats.org/markup-compatibility/2006">
      <mc:Choice Requires="x14">
        <control shapeId="1028" r:id="rId10" name="cmdRead">
          <controlPr defaultSize="0" autoLine="0" r:id="rId11">
            <anchor moveWithCells="1">
              <from>
                <xdr:col>6</xdr:col>
                <xdr:colOff>370114</xdr:colOff>
                <xdr:row>0</xdr:row>
                <xdr:rowOff>217714</xdr:rowOff>
              </from>
              <to>
                <xdr:col>8</xdr:col>
                <xdr:colOff>81643</xdr:colOff>
                <xdr:row>1</xdr:row>
                <xdr:rowOff>201386</xdr:rowOff>
              </to>
            </anchor>
          </controlPr>
        </control>
      </mc:Choice>
      <mc:Fallback>
        <control shapeId="1028" r:id="rId10" name="cmdRead"/>
      </mc:Fallback>
    </mc:AlternateContent>
    <mc:AlternateContent xmlns:mc="http://schemas.openxmlformats.org/markup-compatibility/2006">
      <mc:Choice Requires="x14">
        <control shapeId="1032" r:id="rId12" name="cmdRun">
          <controlPr defaultSize="0" autoLine="0" r:id="rId13">
            <anchor moveWithCells="1">
              <from>
                <xdr:col>10</xdr:col>
                <xdr:colOff>125186</xdr:colOff>
                <xdr:row>0</xdr:row>
                <xdr:rowOff>217714</xdr:rowOff>
              </from>
              <to>
                <xdr:col>11</xdr:col>
                <xdr:colOff>517071</xdr:colOff>
                <xdr:row>1</xdr:row>
                <xdr:rowOff>201386</xdr:rowOff>
              </to>
            </anchor>
          </controlPr>
        </control>
      </mc:Choice>
      <mc:Fallback>
        <control shapeId="1032" r:id="rId12" name="cmdRu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K26"/>
  <sheetViews>
    <sheetView zoomScaleNormal="100" workbookViewId="0">
      <selection activeCell="G4" sqref="G4"/>
    </sheetView>
  </sheetViews>
  <sheetFormatPr defaultRowHeight="14.6" x14ac:dyDescent="0.4"/>
  <cols>
    <col min="3" max="3" width="9.15234375" style="4"/>
  </cols>
  <sheetData>
    <row r="1" spans="1:11" ht="20.6" x14ac:dyDescent="0.4">
      <c r="A1" s="94" t="s">
        <v>896</v>
      </c>
    </row>
    <row r="2" spans="1:11" x14ac:dyDescent="0.4">
      <c r="A2" s="3"/>
    </row>
    <row r="3" spans="1:11" x14ac:dyDescent="0.4">
      <c r="A3" s="3" t="s">
        <v>1596</v>
      </c>
    </row>
    <row r="4" spans="1:11" s="7" customFormat="1" x14ac:dyDescent="0.4">
      <c r="A4" s="63" t="s">
        <v>24</v>
      </c>
      <c r="B4" s="63" t="s">
        <v>25</v>
      </c>
      <c r="C4" s="64"/>
      <c r="D4" s="66" t="s">
        <v>15</v>
      </c>
      <c r="I4" s="7" t="s">
        <v>1307</v>
      </c>
    </row>
    <row r="5" spans="1:11" x14ac:dyDescent="0.4">
      <c r="A5">
        <v>1</v>
      </c>
      <c r="B5" t="s">
        <v>595</v>
      </c>
      <c r="C5" s="4">
        <v>60</v>
      </c>
      <c r="D5" t="s">
        <v>1634</v>
      </c>
      <c r="I5" s="80">
        <v>100</v>
      </c>
      <c r="K5" s="4"/>
    </row>
    <row r="6" spans="1:11" x14ac:dyDescent="0.4">
      <c r="A6">
        <v>2</v>
      </c>
      <c r="B6" t="s">
        <v>596</v>
      </c>
      <c r="C6" s="4">
        <v>45</v>
      </c>
      <c r="D6" t="s">
        <v>1635</v>
      </c>
      <c r="I6" s="80">
        <v>100</v>
      </c>
      <c r="K6" s="4"/>
    </row>
    <row r="7" spans="1:11" x14ac:dyDescent="0.4">
      <c r="A7">
        <v>3</v>
      </c>
      <c r="B7" t="s">
        <v>597</v>
      </c>
      <c r="C7" s="4">
        <v>300</v>
      </c>
      <c r="D7" t="s">
        <v>1636</v>
      </c>
      <c r="I7" s="80">
        <v>300</v>
      </c>
      <c r="K7" s="4"/>
    </row>
    <row r="8" spans="1:11" x14ac:dyDescent="0.4">
      <c r="A8">
        <v>4</v>
      </c>
      <c r="B8" t="s">
        <v>598</v>
      </c>
      <c r="C8" s="4">
        <v>200</v>
      </c>
      <c r="D8" t="s">
        <v>1637</v>
      </c>
      <c r="I8" s="80">
        <v>300</v>
      </c>
      <c r="K8" s="4"/>
    </row>
    <row r="9" spans="1:11" x14ac:dyDescent="0.4">
      <c r="A9">
        <v>5</v>
      </c>
      <c r="B9" t="s">
        <v>599</v>
      </c>
      <c r="C9" s="4">
        <v>10</v>
      </c>
      <c r="D9" t="s">
        <v>1638</v>
      </c>
      <c r="I9" s="80">
        <v>10</v>
      </c>
      <c r="K9" s="4"/>
    </row>
    <row r="10" spans="1:11" x14ac:dyDescent="0.4">
      <c r="A10">
        <v>6</v>
      </c>
      <c r="B10" t="s">
        <v>600</v>
      </c>
      <c r="C10" s="4">
        <v>4</v>
      </c>
      <c r="D10" t="s">
        <v>1639</v>
      </c>
      <c r="I10" s="80">
        <v>10</v>
      </c>
      <c r="K10" s="4"/>
    </row>
    <row r="11" spans="1:11" x14ac:dyDescent="0.4">
      <c r="A11">
        <v>7</v>
      </c>
      <c r="B11" t="s">
        <v>601</v>
      </c>
      <c r="C11" s="4">
        <v>60</v>
      </c>
      <c r="D11" t="s">
        <v>1640</v>
      </c>
      <c r="I11" s="80">
        <v>300</v>
      </c>
      <c r="K11" s="4"/>
    </row>
    <row r="12" spans="1:11" x14ac:dyDescent="0.4">
      <c r="A12">
        <v>8</v>
      </c>
      <c r="B12" t="s">
        <v>602</v>
      </c>
      <c r="C12" s="4">
        <v>5</v>
      </c>
      <c r="D12" t="s">
        <v>1641</v>
      </c>
      <c r="I12" s="80">
        <v>100</v>
      </c>
      <c r="J12" s="15"/>
      <c r="K12" s="4"/>
    </row>
    <row r="13" spans="1:11" x14ac:dyDescent="0.4">
      <c r="A13">
        <v>9</v>
      </c>
      <c r="B13" t="s">
        <v>603</v>
      </c>
      <c r="C13" s="4">
        <v>720</v>
      </c>
      <c r="D13" t="s">
        <v>1642</v>
      </c>
      <c r="I13" s="80">
        <v>1000</v>
      </c>
      <c r="J13" s="15"/>
      <c r="K13" s="4"/>
    </row>
    <row r="14" spans="1:11" x14ac:dyDescent="0.4">
      <c r="A14">
        <v>10</v>
      </c>
      <c r="B14" t="s">
        <v>604</v>
      </c>
      <c r="C14" s="4">
        <v>3</v>
      </c>
      <c r="D14" t="s">
        <v>1643</v>
      </c>
      <c r="I14" s="80">
        <v>1000</v>
      </c>
      <c r="J14" s="15"/>
      <c r="K14" s="4"/>
    </row>
    <row r="15" spans="1:11" x14ac:dyDescent="0.4">
      <c r="A15">
        <v>11</v>
      </c>
      <c r="B15" t="s">
        <v>535</v>
      </c>
      <c r="C15" s="4">
        <v>1000</v>
      </c>
      <c r="D15" t="s">
        <v>1644</v>
      </c>
      <c r="I15" s="80">
        <v>1000</v>
      </c>
      <c r="J15" s="15"/>
      <c r="K15" s="4"/>
    </row>
    <row r="16" spans="1:11" x14ac:dyDescent="0.4">
      <c r="A16">
        <v>12</v>
      </c>
      <c r="B16" t="s">
        <v>1646</v>
      </c>
      <c r="C16" s="4">
        <v>1000</v>
      </c>
      <c r="D16" t="s">
        <v>1645</v>
      </c>
      <c r="I16" s="80">
        <v>100</v>
      </c>
      <c r="K16" s="4"/>
    </row>
    <row r="25" spans="2:3" x14ac:dyDescent="0.4">
      <c r="B25" s="4"/>
      <c r="C25"/>
    </row>
    <row r="26" spans="2:3" x14ac:dyDescent="0.4">
      <c r="B26" s="4"/>
      <c r="C26"/>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mdReadDim">
          <controlPr defaultSize="0" autoLine="0" r:id="rId5">
            <anchor moveWithCells="1">
              <from>
                <xdr:col>5</xdr:col>
                <xdr:colOff>48986</xdr:colOff>
                <xdr:row>0</xdr:row>
                <xdr:rowOff>59871</xdr:rowOff>
              </from>
              <to>
                <xdr:col>6</xdr:col>
                <xdr:colOff>413657</xdr:colOff>
                <xdr:row>1</xdr:row>
                <xdr:rowOff>119743</xdr:rowOff>
              </to>
            </anchor>
          </controlPr>
        </control>
      </mc:Choice>
      <mc:Fallback>
        <control shapeId="11265" r:id="rId4" name="cmdReadDim"/>
      </mc:Fallback>
    </mc:AlternateContent>
    <mc:AlternateContent xmlns:mc="http://schemas.openxmlformats.org/markup-compatibility/2006">
      <mc:Choice Requires="x14">
        <control shapeId="11266" r:id="rId6" name="cmdWriteDim">
          <controlPr defaultSize="0" autoLine="0" r:id="rId7">
            <anchor moveWithCells="1">
              <from>
                <xdr:col>6</xdr:col>
                <xdr:colOff>506186</xdr:colOff>
                <xdr:row>0</xdr:row>
                <xdr:rowOff>59871</xdr:rowOff>
              </from>
              <to>
                <xdr:col>8</xdr:col>
                <xdr:colOff>223157</xdr:colOff>
                <xdr:row>1</xdr:row>
                <xdr:rowOff>125186</xdr:rowOff>
              </to>
            </anchor>
          </controlPr>
        </control>
      </mc:Choice>
      <mc:Fallback>
        <control shapeId="11266" r:id="rId6" name="cmdWriteDim"/>
      </mc:Fallback>
    </mc:AlternateContent>
    <mc:AlternateContent xmlns:mc="http://schemas.openxmlformats.org/markup-compatibility/2006">
      <mc:Choice Requires="x14">
        <control shapeId="11267" r:id="rId8" name="cmdRun">
          <controlPr defaultSize="0" autoLine="0" r:id="rId9">
            <anchor moveWithCells="1">
              <from>
                <xdr:col>8</xdr:col>
                <xdr:colOff>364671</xdr:colOff>
                <xdr:row>0</xdr:row>
                <xdr:rowOff>59871</xdr:rowOff>
              </from>
              <to>
                <xdr:col>10</xdr:col>
                <xdr:colOff>81643</xdr:colOff>
                <xdr:row>1</xdr:row>
                <xdr:rowOff>130629</xdr:rowOff>
              </to>
            </anchor>
          </controlPr>
        </control>
      </mc:Choice>
      <mc:Fallback>
        <control shapeId="11267" r:id="rId8" name="cmdRu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A1:BA153"/>
  <sheetViews>
    <sheetView zoomScaleNormal="100" workbookViewId="0">
      <pane ySplit="3" topLeftCell="A33" activePane="bottomLeft" state="frozen"/>
      <selection activeCell="D38" sqref="D38"/>
      <selection pane="bottomLeft" activeCell="D56" sqref="D56"/>
    </sheetView>
  </sheetViews>
  <sheetFormatPr defaultRowHeight="14.6" x14ac:dyDescent="0.4"/>
  <cols>
    <col min="1" max="1" width="12.15234375" customWidth="1"/>
    <col min="7" max="7" width="9.15234375" customWidth="1"/>
    <col min="22" max="22" width="9.84375" bestFit="1" customWidth="1"/>
    <col min="23" max="23" width="14.3046875" bestFit="1" customWidth="1"/>
    <col min="24" max="24" width="8.69140625" bestFit="1" customWidth="1"/>
    <col min="25" max="25" width="45.84375" customWidth="1"/>
  </cols>
  <sheetData>
    <row r="1" spans="1:53" ht="20.6" x14ac:dyDescent="0.4">
      <c r="A1" s="94" t="s">
        <v>897</v>
      </c>
    </row>
    <row r="2" spans="1:53" x14ac:dyDescent="0.4">
      <c r="A2" s="5" t="s">
        <v>900</v>
      </c>
      <c r="C2" s="73" t="s">
        <v>901</v>
      </c>
    </row>
    <row r="3" spans="1:53" x14ac:dyDescent="0.4">
      <c r="A3" s="69" t="s">
        <v>1609</v>
      </c>
      <c r="V3" s="7" t="s">
        <v>200</v>
      </c>
      <c r="W3" s="7" t="s">
        <v>201</v>
      </c>
      <c r="X3" s="7" t="s">
        <v>203</v>
      </c>
      <c r="Y3" s="7" t="s">
        <v>202</v>
      </c>
    </row>
    <row r="4" spans="1:53" ht="15.65" customHeight="1" x14ac:dyDescent="0.4">
      <c r="A4" t="s">
        <v>503</v>
      </c>
      <c r="B4" t="s">
        <v>1575</v>
      </c>
      <c r="C4" t="s">
        <v>505</v>
      </c>
      <c r="I4" s="1" t="s">
        <v>1583</v>
      </c>
      <c r="J4" t="s">
        <v>1584</v>
      </c>
      <c r="V4">
        <v>1</v>
      </c>
      <c r="W4" s="1" t="s">
        <v>204</v>
      </c>
      <c r="X4" s="119" t="s">
        <v>1195</v>
      </c>
      <c r="Y4" t="s">
        <v>205</v>
      </c>
      <c r="AG4" s="236" t="s">
        <v>1220</v>
      </c>
      <c r="AH4" t="s">
        <v>503</v>
      </c>
      <c r="AI4" t="s">
        <v>504</v>
      </c>
      <c r="AJ4" t="s">
        <v>505</v>
      </c>
    </row>
    <row r="5" spans="1:53" ht="14.5" customHeight="1" x14ac:dyDescent="0.4">
      <c r="C5" t="s">
        <v>506</v>
      </c>
      <c r="V5">
        <v>2</v>
      </c>
      <c r="W5" s="1" t="s">
        <v>206</v>
      </c>
      <c r="X5" s="119" t="s">
        <v>1195</v>
      </c>
      <c r="Y5" t="s">
        <v>207</v>
      </c>
      <c r="AG5" s="236"/>
      <c r="AJ5" t="s">
        <v>1221</v>
      </c>
    </row>
    <row r="6" spans="1:53" ht="16" customHeight="1" x14ac:dyDescent="0.45">
      <c r="A6" s="13">
        <v>1</v>
      </c>
      <c r="B6" s="13">
        <v>2</v>
      </c>
      <c r="C6" s="13">
        <v>3</v>
      </c>
      <c r="D6" s="13">
        <v>4</v>
      </c>
      <c r="E6" s="13">
        <v>5</v>
      </c>
      <c r="F6" s="13">
        <v>6</v>
      </c>
      <c r="G6" s="13">
        <v>9</v>
      </c>
      <c r="H6" s="13">
        <v>10</v>
      </c>
      <c r="I6" s="13">
        <v>11</v>
      </c>
      <c r="J6" s="13">
        <v>12</v>
      </c>
      <c r="K6" s="13">
        <v>13</v>
      </c>
      <c r="L6" s="13">
        <v>14</v>
      </c>
      <c r="M6" s="13">
        <v>15</v>
      </c>
      <c r="N6" s="13">
        <v>16</v>
      </c>
      <c r="O6" s="13">
        <v>18</v>
      </c>
      <c r="P6" s="13">
        <v>24</v>
      </c>
      <c r="Q6" s="13">
        <v>25</v>
      </c>
      <c r="R6" s="13">
        <v>26</v>
      </c>
      <c r="S6" s="13">
        <v>27</v>
      </c>
      <c r="T6" s="13">
        <v>29</v>
      </c>
      <c r="U6" s="15" t="s">
        <v>611</v>
      </c>
      <c r="V6">
        <v>3</v>
      </c>
      <c r="W6" s="1" t="s">
        <v>208</v>
      </c>
      <c r="X6" t="s">
        <v>210</v>
      </c>
      <c r="Y6" t="s">
        <v>209</v>
      </c>
      <c r="AG6" s="236"/>
      <c r="AH6" s="125">
        <v>1</v>
      </c>
      <c r="AI6" s="125">
        <v>2</v>
      </c>
      <c r="AJ6" s="125">
        <v>3</v>
      </c>
      <c r="AK6" s="125">
        <v>7</v>
      </c>
      <c r="AL6" s="125">
        <v>8</v>
      </c>
      <c r="AM6" s="125">
        <v>9</v>
      </c>
      <c r="AN6" s="125">
        <v>4</v>
      </c>
      <c r="AO6" s="125">
        <v>100</v>
      </c>
      <c r="AP6" s="125">
        <v>5</v>
      </c>
      <c r="AQ6" s="125">
        <v>6</v>
      </c>
      <c r="AR6" s="125">
        <v>18</v>
      </c>
      <c r="AS6" s="125">
        <v>85</v>
      </c>
      <c r="AT6" s="125">
        <v>10</v>
      </c>
      <c r="AU6" s="125">
        <v>11</v>
      </c>
      <c r="AV6" s="125">
        <v>12</v>
      </c>
      <c r="AW6" s="125">
        <v>63</v>
      </c>
      <c r="AX6" s="125">
        <v>14</v>
      </c>
      <c r="AY6" s="125">
        <v>25</v>
      </c>
      <c r="AZ6" s="125">
        <v>52</v>
      </c>
      <c r="BA6" s="125">
        <v>59</v>
      </c>
    </row>
    <row r="7" spans="1:53" ht="14.5" customHeight="1" x14ac:dyDescent="0.45">
      <c r="A7" s="13">
        <v>30</v>
      </c>
      <c r="B7" s="13">
        <v>31</v>
      </c>
      <c r="C7" s="13">
        <v>36</v>
      </c>
      <c r="D7" s="13">
        <v>37</v>
      </c>
      <c r="E7" s="13">
        <v>41</v>
      </c>
      <c r="F7" s="13">
        <v>42</v>
      </c>
      <c r="G7" s="13">
        <v>43</v>
      </c>
      <c r="H7" s="13">
        <v>44</v>
      </c>
      <c r="I7" s="13">
        <v>45</v>
      </c>
      <c r="J7" s="13">
        <v>46</v>
      </c>
      <c r="K7" s="13">
        <v>47</v>
      </c>
      <c r="L7" s="13">
        <v>48</v>
      </c>
      <c r="M7" s="13">
        <v>50</v>
      </c>
      <c r="N7" s="13">
        <v>51</v>
      </c>
      <c r="O7" s="13">
        <v>52</v>
      </c>
      <c r="P7" s="13">
        <v>53</v>
      </c>
      <c r="Q7" s="13">
        <v>54</v>
      </c>
      <c r="R7" s="13">
        <v>55</v>
      </c>
      <c r="S7" s="13">
        <v>56</v>
      </c>
      <c r="T7" s="13">
        <v>57</v>
      </c>
      <c r="U7" s="15" t="s">
        <v>611</v>
      </c>
      <c r="V7">
        <v>4</v>
      </c>
      <c r="W7" s="1" t="s">
        <v>211</v>
      </c>
      <c r="X7" t="s">
        <v>213</v>
      </c>
      <c r="Y7" t="s">
        <v>212</v>
      </c>
      <c r="AG7" s="236"/>
      <c r="AH7" s="125">
        <v>13</v>
      </c>
      <c r="AI7" s="125">
        <v>15</v>
      </c>
      <c r="AJ7" s="125">
        <v>72</v>
      </c>
      <c r="AK7" s="125">
        <v>83</v>
      </c>
      <c r="AL7" s="125">
        <v>17</v>
      </c>
      <c r="AM7" s="125">
        <v>71</v>
      </c>
      <c r="AN7" s="125">
        <v>16</v>
      </c>
      <c r="AO7" s="125">
        <v>117</v>
      </c>
      <c r="AP7" s="125">
        <v>19</v>
      </c>
      <c r="AQ7" s="125">
        <v>95</v>
      </c>
      <c r="AR7" s="125">
        <v>60</v>
      </c>
      <c r="AS7" s="125">
        <v>120</v>
      </c>
      <c r="AT7" s="125">
        <v>97</v>
      </c>
      <c r="AU7" s="125">
        <v>87</v>
      </c>
      <c r="AV7" s="125">
        <v>79</v>
      </c>
      <c r="AW7" s="125">
        <v>98</v>
      </c>
      <c r="AX7" s="125">
        <v>26</v>
      </c>
      <c r="AY7" s="125">
        <v>27</v>
      </c>
      <c r="AZ7" s="125">
        <v>28</v>
      </c>
      <c r="BA7" s="125">
        <v>29</v>
      </c>
    </row>
    <row r="8" spans="1:53" ht="14.5" customHeight="1" x14ac:dyDescent="0.45">
      <c r="A8" s="13">
        <v>59</v>
      </c>
      <c r="B8" s="13">
        <v>60</v>
      </c>
      <c r="C8" s="13">
        <v>64</v>
      </c>
      <c r="D8" s="13">
        <v>65</v>
      </c>
      <c r="E8" s="13">
        <v>66</v>
      </c>
      <c r="F8" s="13">
        <v>67</v>
      </c>
      <c r="G8" s="13">
        <v>71</v>
      </c>
      <c r="H8" s="13">
        <v>72</v>
      </c>
      <c r="I8" s="13">
        <v>73</v>
      </c>
      <c r="J8" s="13">
        <v>74</v>
      </c>
      <c r="K8" s="13">
        <v>75</v>
      </c>
      <c r="L8" s="13">
        <v>76</v>
      </c>
      <c r="M8" s="13">
        <v>77</v>
      </c>
      <c r="N8" s="13">
        <v>78</v>
      </c>
      <c r="O8" s="13">
        <v>81</v>
      </c>
      <c r="P8" s="13">
        <v>83</v>
      </c>
      <c r="Q8" s="13">
        <v>84</v>
      </c>
      <c r="R8" s="13">
        <v>85</v>
      </c>
      <c r="S8" s="13">
        <v>86</v>
      </c>
      <c r="T8" s="13">
        <v>88</v>
      </c>
      <c r="U8" s="15" t="s">
        <v>611</v>
      </c>
      <c r="V8">
        <v>5</v>
      </c>
      <c r="W8" t="s">
        <v>214</v>
      </c>
      <c r="X8" t="s">
        <v>213</v>
      </c>
      <c r="Y8" t="s">
        <v>215</v>
      </c>
      <c r="AG8" s="236"/>
      <c r="AH8" s="125">
        <v>30</v>
      </c>
      <c r="AI8" s="125">
        <v>31</v>
      </c>
      <c r="AJ8" s="125">
        <v>124</v>
      </c>
      <c r="AK8" s="125">
        <v>36</v>
      </c>
      <c r="AL8" s="125">
        <v>32</v>
      </c>
      <c r="AM8" s="125">
        <v>41</v>
      </c>
      <c r="AN8" s="125">
        <v>42</v>
      </c>
      <c r="AO8" s="125">
        <v>43</v>
      </c>
      <c r="AP8" s="125">
        <v>44</v>
      </c>
      <c r="AQ8" s="125">
        <v>45</v>
      </c>
      <c r="AR8" s="125">
        <v>46</v>
      </c>
      <c r="AS8" s="125">
        <v>128</v>
      </c>
      <c r="AT8" s="125">
        <v>50</v>
      </c>
      <c r="AU8" s="125">
        <v>38</v>
      </c>
      <c r="AV8" s="125">
        <v>39</v>
      </c>
      <c r="AW8" s="125">
        <v>40</v>
      </c>
      <c r="AX8" s="125">
        <v>80</v>
      </c>
      <c r="AY8" s="125">
        <v>96</v>
      </c>
      <c r="AZ8" s="125">
        <v>47</v>
      </c>
      <c r="BA8" s="125">
        <v>84</v>
      </c>
    </row>
    <row r="9" spans="1:53" ht="14.5" customHeight="1" x14ac:dyDescent="0.45">
      <c r="A9" s="13">
        <v>93</v>
      </c>
      <c r="B9" s="13">
        <v>94</v>
      </c>
      <c r="C9" s="13">
        <v>96</v>
      </c>
      <c r="D9" s="13">
        <v>98</v>
      </c>
      <c r="E9" s="13">
        <v>99</v>
      </c>
      <c r="F9" s="13">
        <v>102</v>
      </c>
      <c r="G9" s="13">
        <v>103</v>
      </c>
      <c r="H9" s="13">
        <v>104</v>
      </c>
      <c r="I9" s="13">
        <v>105</v>
      </c>
      <c r="J9" s="13">
        <v>106</v>
      </c>
      <c r="K9" s="13">
        <v>107</v>
      </c>
      <c r="L9" s="13">
        <v>108</v>
      </c>
      <c r="M9" s="13">
        <v>110</v>
      </c>
      <c r="N9" s="13">
        <v>117</v>
      </c>
      <c r="O9" s="13">
        <v>125</v>
      </c>
      <c r="P9" s="13">
        <v>126</v>
      </c>
      <c r="Q9" s="13">
        <v>127</v>
      </c>
      <c r="R9" s="13">
        <v>128</v>
      </c>
      <c r="S9" s="13">
        <v>134</v>
      </c>
      <c r="T9" s="13"/>
      <c r="U9" s="15" t="s">
        <v>611</v>
      </c>
      <c r="V9">
        <v>6</v>
      </c>
      <c r="W9" t="s">
        <v>216</v>
      </c>
      <c r="X9" t="s">
        <v>213</v>
      </c>
      <c r="Y9" t="s">
        <v>217</v>
      </c>
      <c r="AG9" s="236"/>
      <c r="AH9" s="125">
        <v>49</v>
      </c>
      <c r="AI9" s="125">
        <v>142</v>
      </c>
      <c r="AJ9" s="125">
        <v>143</v>
      </c>
      <c r="AK9" s="125">
        <v>51</v>
      </c>
      <c r="AL9" s="125">
        <v>37</v>
      </c>
      <c r="AM9" s="125">
        <v>48</v>
      </c>
      <c r="AN9" s="125">
        <v>134</v>
      </c>
      <c r="AO9" s="125">
        <v>135</v>
      </c>
      <c r="AP9" s="125">
        <v>136</v>
      </c>
      <c r="AQ9" s="125">
        <v>118</v>
      </c>
      <c r="AR9" s="125">
        <v>119</v>
      </c>
      <c r="AS9" s="125">
        <v>91</v>
      </c>
      <c r="AT9" s="125">
        <v>92</v>
      </c>
      <c r="AU9" s="125">
        <v>53</v>
      </c>
      <c r="AV9" s="125">
        <v>54</v>
      </c>
      <c r="AW9" s="125">
        <v>55</v>
      </c>
      <c r="AX9" s="125">
        <v>56</v>
      </c>
      <c r="AY9" s="125">
        <v>57</v>
      </c>
      <c r="AZ9" s="125">
        <v>99</v>
      </c>
      <c r="BA9" s="125">
        <v>58</v>
      </c>
    </row>
    <row r="10" spans="1:53" ht="14.5" customHeight="1" x14ac:dyDescent="0.45">
      <c r="A10" s="13"/>
      <c r="B10" s="13"/>
      <c r="C10" s="13"/>
      <c r="D10" s="13"/>
      <c r="E10" s="13"/>
      <c r="F10" s="13"/>
      <c r="G10" s="13"/>
      <c r="H10" s="13"/>
      <c r="I10" s="13"/>
      <c r="J10" s="13"/>
      <c r="K10" s="13"/>
      <c r="L10" s="13"/>
      <c r="M10" s="13"/>
      <c r="N10" s="13"/>
      <c r="O10" s="13"/>
      <c r="P10" s="13"/>
      <c r="Q10" s="13"/>
      <c r="R10" s="13"/>
      <c r="S10" s="13"/>
      <c r="T10" s="13"/>
      <c r="U10" s="15" t="s">
        <v>611</v>
      </c>
      <c r="V10">
        <v>7</v>
      </c>
      <c r="W10" t="s">
        <v>218</v>
      </c>
      <c r="X10" t="s">
        <v>220</v>
      </c>
      <c r="Y10" t="s">
        <v>219</v>
      </c>
      <c r="AG10" s="236"/>
      <c r="AH10" s="125">
        <v>103</v>
      </c>
      <c r="AI10" s="125">
        <v>78</v>
      </c>
      <c r="AJ10" s="125">
        <v>73</v>
      </c>
      <c r="AK10" s="125">
        <v>75</v>
      </c>
      <c r="AL10" s="125">
        <v>76</v>
      </c>
      <c r="AM10" s="125">
        <v>77</v>
      </c>
      <c r="AN10" s="125">
        <v>140</v>
      </c>
      <c r="AO10" s="125">
        <v>82</v>
      </c>
      <c r="AP10" s="125">
        <v>64</v>
      </c>
      <c r="AQ10" s="125">
        <v>65</v>
      </c>
      <c r="AR10" s="125">
        <v>66</v>
      </c>
      <c r="AS10" s="125">
        <v>67</v>
      </c>
      <c r="AT10" s="125">
        <v>68</v>
      </c>
      <c r="AU10" s="125">
        <v>69</v>
      </c>
      <c r="AV10" s="125">
        <v>70</v>
      </c>
      <c r="AW10" s="125">
        <v>81</v>
      </c>
      <c r="AX10" s="125">
        <v>88</v>
      </c>
      <c r="AY10" s="125">
        <v>89</v>
      </c>
      <c r="AZ10" s="125">
        <v>90</v>
      </c>
      <c r="BA10" s="125">
        <v>141</v>
      </c>
    </row>
    <row r="11" spans="1:53" ht="14.5" customHeight="1" x14ac:dyDescent="0.4">
      <c r="V11">
        <v>8</v>
      </c>
      <c r="W11" s="1" t="s">
        <v>221</v>
      </c>
      <c r="Y11" t="s">
        <v>222</v>
      </c>
      <c r="AG11" s="236"/>
    </row>
    <row r="12" spans="1:53" ht="15.65" customHeight="1" x14ac:dyDescent="0.4">
      <c r="A12" t="s">
        <v>507</v>
      </c>
      <c r="B12" t="s">
        <v>1576</v>
      </c>
      <c r="C12" t="s">
        <v>509</v>
      </c>
      <c r="I12" s="1" t="s">
        <v>1583</v>
      </c>
      <c r="J12" t="s">
        <v>1585</v>
      </c>
      <c r="V12">
        <v>9</v>
      </c>
      <c r="W12" s="1" t="s">
        <v>223</v>
      </c>
      <c r="X12" t="s">
        <v>225</v>
      </c>
      <c r="Y12" t="s">
        <v>224</v>
      </c>
      <c r="AG12" s="236"/>
      <c r="AH12" t="s">
        <v>507</v>
      </c>
      <c r="AI12" t="s">
        <v>508</v>
      </c>
      <c r="AJ12" t="s">
        <v>509</v>
      </c>
    </row>
    <row r="13" spans="1:53" ht="14.5" customHeight="1" x14ac:dyDescent="0.4">
      <c r="C13" t="s">
        <v>1611</v>
      </c>
      <c r="V13">
        <v>10</v>
      </c>
      <c r="W13" s="1" t="s">
        <v>226</v>
      </c>
      <c r="X13" t="s">
        <v>213</v>
      </c>
      <c r="Y13" t="s">
        <v>227</v>
      </c>
      <c r="AG13" s="236"/>
      <c r="AJ13" t="s">
        <v>510</v>
      </c>
    </row>
    <row r="14" spans="1:53" ht="14.5" customHeight="1" x14ac:dyDescent="0.4">
      <c r="A14" s="13">
        <v>38</v>
      </c>
      <c r="B14" s="13">
        <v>39</v>
      </c>
      <c r="C14" s="13">
        <v>40</v>
      </c>
      <c r="D14" s="13">
        <v>49</v>
      </c>
      <c r="F14" s="13"/>
      <c r="G14" s="13"/>
      <c r="H14" s="13"/>
      <c r="I14" s="13"/>
      <c r="J14" s="13"/>
      <c r="K14" s="13"/>
      <c r="L14" s="13"/>
      <c r="M14" s="13"/>
      <c r="N14" s="13"/>
      <c r="O14" s="13"/>
      <c r="P14" s="13"/>
      <c r="Q14" s="13"/>
      <c r="R14" s="13"/>
      <c r="S14" s="13"/>
      <c r="T14" s="13"/>
      <c r="U14" s="15" t="s">
        <v>611</v>
      </c>
      <c r="V14">
        <v>11</v>
      </c>
      <c r="W14" s="1" t="s">
        <v>228</v>
      </c>
      <c r="X14" t="s">
        <v>213</v>
      </c>
      <c r="Y14" t="s">
        <v>229</v>
      </c>
      <c r="AG14" s="236"/>
      <c r="AH14" s="79">
        <v>38</v>
      </c>
      <c r="AI14" s="79">
        <v>39</v>
      </c>
      <c r="AJ14" s="79">
        <v>40</v>
      </c>
      <c r="AK14" s="79">
        <v>49</v>
      </c>
      <c r="AM14" s="13"/>
      <c r="AN14" s="13"/>
      <c r="AO14" s="13"/>
      <c r="AP14" s="13"/>
      <c r="AQ14" s="13"/>
      <c r="AR14" s="13"/>
      <c r="AS14" s="13"/>
      <c r="AT14" s="13"/>
      <c r="AU14" s="13"/>
      <c r="AV14" s="13"/>
      <c r="AW14" s="13"/>
      <c r="AX14" s="13"/>
      <c r="AY14" s="13"/>
      <c r="AZ14" s="13"/>
      <c r="BA14" s="13"/>
    </row>
    <row r="15" spans="1:53" ht="14.5" customHeight="1" x14ac:dyDescent="0.4">
      <c r="V15">
        <v>12</v>
      </c>
      <c r="W15" s="1" t="s">
        <v>230</v>
      </c>
      <c r="X15" t="s">
        <v>213</v>
      </c>
      <c r="Y15" t="s">
        <v>231</v>
      </c>
      <c r="AG15" s="236"/>
    </row>
    <row r="16" spans="1:53" ht="15.65" customHeight="1" x14ac:dyDescent="0.4">
      <c r="A16" t="s">
        <v>511</v>
      </c>
      <c r="B16" t="s">
        <v>1577</v>
      </c>
      <c r="C16" t="s">
        <v>513</v>
      </c>
      <c r="I16" s="1" t="s">
        <v>1583</v>
      </c>
      <c r="J16" t="s">
        <v>1585</v>
      </c>
      <c r="K16" t="s">
        <v>1584</v>
      </c>
      <c r="L16" t="s">
        <v>1582</v>
      </c>
      <c r="V16">
        <v>13</v>
      </c>
      <c r="W16" s="1" t="s">
        <v>232</v>
      </c>
      <c r="X16" t="s">
        <v>213</v>
      </c>
      <c r="Y16" t="s">
        <v>233</v>
      </c>
      <c r="AG16" s="236"/>
      <c r="AH16" t="s">
        <v>511</v>
      </c>
      <c r="AI16" t="s">
        <v>512</v>
      </c>
      <c r="AJ16" t="s">
        <v>513</v>
      </c>
    </row>
    <row r="17" spans="1:53" ht="14.5" customHeight="1" x14ac:dyDescent="0.4">
      <c r="C17" t="s">
        <v>1612</v>
      </c>
      <c r="V17">
        <v>14</v>
      </c>
      <c r="W17" t="s">
        <v>234</v>
      </c>
      <c r="Y17" t="s">
        <v>235</v>
      </c>
      <c r="AG17" s="236"/>
      <c r="AJ17" t="s">
        <v>514</v>
      </c>
    </row>
    <row r="18" spans="1:53" ht="14.5" customHeight="1" x14ac:dyDescent="0.4">
      <c r="A18" s="13">
        <v>1</v>
      </c>
      <c r="B18" s="13">
        <v>2</v>
      </c>
      <c r="C18" s="13">
        <v>3</v>
      </c>
      <c r="D18" s="13">
        <v>4</v>
      </c>
      <c r="E18" s="13">
        <v>5</v>
      </c>
      <c r="F18" s="13">
        <v>6</v>
      </c>
      <c r="G18" s="13">
        <v>7</v>
      </c>
      <c r="H18" s="13">
        <v>8</v>
      </c>
      <c r="I18" s="13">
        <v>9</v>
      </c>
      <c r="J18" s="13">
        <v>10</v>
      </c>
      <c r="K18" s="13">
        <v>11</v>
      </c>
      <c r="L18" s="13">
        <v>12</v>
      </c>
      <c r="M18" s="13">
        <v>13</v>
      </c>
      <c r="N18" s="13">
        <v>14</v>
      </c>
      <c r="O18" s="13">
        <v>15</v>
      </c>
      <c r="P18" s="13">
        <v>16</v>
      </c>
      <c r="Q18" s="13">
        <v>17</v>
      </c>
      <c r="S18" s="13"/>
      <c r="T18" s="13"/>
      <c r="U18" s="15" t="s">
        <v>611</v>
      </c>
      <c r="V18">
        <v>15</v>
      </c>
      <c r="W18" t="s">
        <v>236</v>
      </c>
      <c r="X18" t="s">
        <v>238</v>
      </c>
      <c r="Y18" t="s">
        <v>237</v>
      </c>
      <c r="AG18" s="236"/>
      <c r="AH18" s="79">
        <v>1</v>
      </c>
      <c r="AI18" s="79">
        <v>2</v>
      </c>
      <c r="AJ18" s="79">
        <v>3</v>
      </c>
      <c r="AK18" s="79">
        <v>4</v>
      </c>
      <c r="AL18" s="79">
        <v>5</v>
      </c>
      <c r="AM18" s="79">
        <v>6</v>
      </c>
      <c r="AN18" s="79">
        <v>7</v>
      </c>
      <c r="AO18" s="79">
        <v>8</v>
      </c>
      <c r="AP18" s="79">
        <v>9</v>
      </c>
      <c r="AQ18" s="79">
        <v>10</v>
      </c>
      <c r="AR18" s="79">
        <v>11</v>
      </c>
      <c r="AS18" s="79">
        <v>12</v>
      </c>
      <c r="AT18" s="79">
        <v>13</v>
      </c>
      <c r="AU18" s="79">
        <v>14</v>
      </c>
      <c r="AV18" s="79">
        <v>15</v>
      </c>
      <c r="AW18" s="79">
        <v>16</v>
      </c>
      <c r="AX18" s="79">
        <v>17</v>
      </c>
      <c r="AY18" s="79"/>
      <c r="AZ18" s="13"/>
      <c r="BA18" s="13"/>
    </row>
    <row r="19" spans="1:53" ht="14.5" customHeight="1" x14ac:dyDescent="0.4">
      <c r="V19">
        <v>16</v>
      </c>
      <c r="W19" t="s">
        <v>239</v>
      </c>
      <c r="X19" t="s">
        <v>213</v>
      </c>
      <c r="Y19" t="s">
        <v>240</v>
      </c>
      <c r="AG19" s="236"/>
    </row>
    <row r="20" spans="1:53" ht="15.65" customHeight="1" x14ac:dyDescent="0.4">
      <c r="A20" t="s">
        <v>515</v>
      </c>
      <c r="B20" t="s">
        <v>1578</v>
      </c>
      <c r="C20" t="s">
        <v>517</v>
      </c>
      <c r="I20" s="1" t="s">
        <v>1583</v>
      </c>
      <c r="J20" t="s">
        <v>1585</v>
      </c>
      <c r="K20" t="s">
        <v>1588</v>
      </c>
      <c r="L20" t="s">
        <v>1582</v>
      </c>
      <c r="M20" t="s">
        <v>1581</v>
      </c>
      <c r="V20">
        <v>17</v>
      </c>
      <c r="W20" t="s">
        <v>241</v>
      </c>
      <c r="X20" t="s">
        <v>213</v>
      </c>
      <c r="Y20" t="s">
        <v>242</v>
      </c>
      <c r="AG20" s="236"/>
      <c r="AH20" t="s">
        <v>515</v>
      </c>
      <c r="AI20" t="s">
        <v>516</v>
      </c>
      <c r="AJ20" t="s">
        <v>517</v>
      </c>
    </row>
    <row r="21" spans="1:53" ht="14.5" customHeight="1" x14ac:dyDescent="0.4">
      <c r="C21" t="s">
        <v>518</v>
      </c>
      <c r="V21">
        <v>18</v>
      </c>
      <c r="W21" t="s">
        <v>243</v>
      </c>
      <c r="X21" t="s">
        <v>213</v>
      </c>
      <c r="Y21" t="s">
        <v>244</v>
      </c>
      <c r="AG21" s="236"/>
      <c r="AJ21" t="s">
        <v>518</v>
      </c>
    </row>
    <row r="22" spans="1:53" ht="14.5" customHeight="1" x14ac:dyDescent="0.45">
      <c r="A22" s="13">
        <v>117</v>
      </c>
      <c r="B22" s="13">
        <v>13</v>
      </c>
      <c r="C22" s="13">
        <v>17</v>
      </c>
      <c r="D22" s="13">
        <v>65</v>
      </c>
      <c r="E22" s="13">
        <v>10</v>
      </c>
      <c r="F22" s="13">
        <v>11</v>
      </c>
      <c r="G22" s="13">
        <v>120</v>
      </c>
      <c r="H22" s="13">
        <v>29</v>
      </c>
      <c r="I22" s="13">
        <v>38</v>
      </c>
      <c r="J22" s="13">
        <v>37</v>
      </c>
      <c r="K22" s="13">
        <v>47</v>
      </c>
      <c r="L22" s="13">
        <v>80</v>
      </c>
      <c r="M22" s="13">
        <v>84</v>
      </c>
      <c r="N22" s="13">
        <v>49</v>
      </c>
      <c r="O22" s="13">
        <v>48</v>
      </c>
      <c r="P22" s="13">
        <v>142</v>
      </c>
      <c r="Q22" s="13">
        <v>143</v>
      </c>
      <c r="R22" s="13">
        <v>59</v>
      </c>
      <c r="S22" s="13"/>
      <c r="T22" s="13"/>
      <c r="U22" s="15" t="s">
        <v>611</v>
      </c>
      <c r="V22">
        <v>19</v>
      </c>
      <c r="W22" t="s">
        <v>245</v>
      </c>
      <c r="X22" t="s">
        <v>213</v>
      </c>
      <c r="Y22" t="s">
        <v>246</v>
      </c>
      <c r="AG22" s="236"/>
      <c r="AH22" s="125">
        <v>4</v>
      </c>
      <c r="AI22" s="79">
        <v>18</v>
      </c>
      <c r="AJ22" s="79">
        <v>11</v>
      </c>
      <c r="AK22" s="125">
        <v>14</v>
      </c>
      <c r="AL22" s="79">
        <v>52</v>
      </c>
      <c r="AM22" s="125">
        <v>13</v>
      </c>
      <c r="AN22" s="125">
        <v>15</v>
      </c>
      <c r="AO22" s="125">
        <v>72</v>
      </c>
      <c r="AP22" s="125">
        <v>83</v>
      </c>
      <c r="AQ22" s="79">
        <v>17</v>
      </c>
      <c r="AR22" s="125">
        <v>71</v>
      </c>
      <c r="AS22" s="79">
        <v>16</v>
      </c>
      <c r="AT22" s="125">
        <v>27</v>
      </c>
      <c r="AU22" s="79">
        <v>41</v>
      </c>
      <c r="AV22" s="79">
        <v>42</v>
      </c>
      <c r="AW22" s="79">
        <v>43</v>
      </c>
      <c r="AX22" s="79">
        <v>44</v>
      </c>
      <c r="AY22" s="79">
        <v>45</v>
      </c>
      <c r="AZ22" s="79">
        <v>46</v>
      </c>
      <c r="BA22" s="79">
        <v>50</v>
      </c>
    </row>
    <row r="23" spans="1:53" ht="15.9" x14ac:dyDescent="0.45">
      <c r="A23" s="13">
        <v>77</v>
      </c>
      <c r="B23" s="13">
        <v>72</v>
      </c>
      <c r="C23" s="13">
        <v>15</v>
      </c>
      <c r="D23" s="13">
        <v>83</v>
      </c>
      <c r="E23" s="13">
        <v>17</v>
      </c>
      <c r="F23" s="13">
        <v>13</v>
      </c>
      <c r="G23" s="13">
        <v>27</v>
      </c>
      <c r="H23" s="13">
        <v>47</v>
      </c>
      <c r="I23" s="13">
        <v>142</v>
      </c>
      <c r="J23" s="13">
        <v>143</v>
      </c>
      <c r="K23" s="13"/>
      <c r="L23" s="13"/>
      <c r="M23" s="13"/>
      <c r="N23" s="13"/>
      <c r="O23" s="13"/>
      <c r="P23" s="13"/>
      <c r="Q23" s="13"/>
      <c r="R23" s="13"/>
      <c r="S23" s="13"/>
      <c r="T23" s="13"/>
      <c r="U23" s="15" t="s">
        <v>611</v>
      </c>
      <c r="V23">
        <v>20</v>
      </c>
      <c r="W23" t="s">
        <v>247</v>
      </c>
      <c r="X23" t="s">
        <v>213</v>
      </c>
      <c r="Y23" t="s">
        <v>248</v>
      </c>
      <c r="AG23" s="236"/>
      <c r="AH23" s="125">
        <v>38</v>
      </c>
      <c r="AI23" s="125">
        <v>39</v>
      </c>
      <c r="AJ23" s="79">
        <v>40</v>
      </c>
      <c r="AK23" s="125">
        <v>80</v>
      </c>
      <c r="AL23" s="125">
        <v>96</v>
      </c>
      <c r="AM23" s="79">
        <v>47</v>
      </c>
      <c r="AN23" s="125">
        <v>84</v>
      </c>
      <c r="AO23" s="125">
        <v>49</v>
      </c>
      <c r="AP23" s="125">
        <v>142</v>
      </c>
      <c r="AQ23" s="125">
        <v>143</v>
      </c>
      <c r="AR23" s="79">
        <v>51</v>
      </c>
      <c r="AS23" s="125">
        <v>37</v>
      </c>
      <c r="AT23" s="125">
        <v>48</v>
      </c>
      <c r="AU23" s="79">
        <v>53</v>
      </c>
      <c r="AV23" s="79">
        <v>54</v>
      </c>
      <c r="AW23" s="79">
        <v>55</v>
      </c>
      <c r="AX23" s="79">
        <v>56</v>
      </c>
      <c r="AY23" s="79">
        <v>57</v>
      </c>
      <c r="AZ23" s="79">
        <v>58</v>
      </c>
      <c r="BA23" s="125">
        <v>78</v>
      </c>
    </row>
    <row r="24" spans="1:53" x14ac:dyDescent="0.4">
      <c r="V24">
        <v>21</v>
      </c>
      <c r="W24" t="s">
        <v>249</v>
      </c>
      <c r="X24" t="s">
        <v>213</v>
      </c>
      <c r="Y24" t="s">
        <v>250</v>
      </c>
      <c r="AG24" s="236"/>
    </row>
    <row r="25" spans="1:53" ht="15.45" x14ac:dyDescent="0.4">
      <c r="A25" t="s">
        <v>519</v>
      </c>
      <c r="B25" t="s">
        <v>1579</v>
      </c>
      <c r="C25" t="s">
        <v>521</v>
      </c>
      <c r="I25" s="1" t="s">
        <v>1583</v>
      </c>
      <c r="J25" t="s">
        <v>1586</v>
      </c>
      <c r="K25" t="s">
        <v>1587</v>
      </c>
      <c r="L25" t="s">
        <v>1588</v>
      </c>
      <c r="V25">
        <v>22</v>
      </c>
      <c r="W25" t="s">
        <v>251</v>
      </c>
      <c r="X25" t="s">
        <v>213</v>
      </c>
      <c r="Y25" t="s">
        <v>252</v>
      </c>
      <c r="AG25" s="236"/>
      <c r="AH25" t="s">
        <v>519</v>
      </c>
      <c r="AI25" t="s">
        <v>520</v>
      </c>
      <c r="AJ25" t="s">
        <v>521</v>
      </c>
    </row>
    <row r="26" spans="1:53" x14ac:dyDescent="0.4">
      <c r="C26" t="s">
        <v>522</v>
      </c>
      <c r="V26">
        <v>23</v>
      </c>
      <c r="W26" t="s">
        <v>253</v>
      </c>
      <c r="X26" t="s">
        <v>213</v>
      </c>
      <c r="Y26" t="s">
        <v>254</v>
      </c>
      <c r="AG26" s="236"/>
      <c r="AJ26" t="s">
        <v>522</v>
      </c>
    </row>
    <row r="27" spans="1:53" ht="15.9" x14ac:dyDescent="0.45">
      <c r="A27" s="13">
        <v>4</v>
      </c>
      <c r="B27" s="13">
        <v>5</v>
      </c>
      <c r="C27" s="13">
        <v>6</v>
      </c>
      <c r="D27" s="13">
        <v>18</v>
      </c>
      <c r="E27" s="13">
        <v>10</v>
      </c>
      <c r="F27" s="13">
        <v>11</v>
      </c>
      <c r="G27" s="13">
        <v>120</v>
      </c>
      <c r="H27" s="13">
        <v>16</v>
      </c>
      <c r="I27" s="13">
        <v>71</v>
      </c>
      <c r="J27" s="13">
        <v>13</v>
      </c>
      <c r="K27" s="13">
        <v>15</v>
      </c>
      <c r="L27" s="13">
        <v>72</v>
      </c>
      <c r="M27" s="13">
        <v>117</v>
      </c>
      <c r="N27" s="13">
        <v>14</v>
      </c>
      <c r="O27" s="13">
        <v>1</v>
      </c>
      <c r="P27" s="13">
        <v>2</v>
      </c>
      <c r="Q27" s="13">
        <v>59</v>
      </c>
      <c r="R27" s="13">
        <v>3</v>
      </c>
      <c r="S27" s="13">
        <v>27</v>
      </c>
      <c r="T27" s="13">
        <v>31</v>
      </c>
      <c r="U27" s="15" t="s">
        <v>611</v>
      </c>
      <c r="V27">
        <v>24</v>
      </c>
      <c r="W27" t="s">
        <v>255</v>
      </c>
      <c r="Y27" t="s">
        <v>256</v>
      </c>
      <c r="AG27" s="236"/>
      <c r="AH27" s="125">
        <v>4</v>
      </c>
      <c r="AI27" s="79">
        <v>18</v>
      </c>
      <c r="AJ27" s="79">
        <v>11</v>
      </c>
      <c r="AK27" s="125">
        <v>14</v>
      </c>
      <c r="AL27" s="79">
        <v>52</v>
      </c>
      <c r="AM27" s="125">
        <v>13</v>
      </c>
      <c r="AN27" s="125">
        <v>15</v>
      </c>
      <c r="AO27" s="125">
        <v>72</v>
      </c>
      <c r="AP27" s="125">
        <v>83</v>
      </c>
      <c r="AQ27" s="79">
        <v>17</v>
      </c>
      <c r="AR27" s="125">
        <v>71</v>
      </c>
      <c r="AS27" s="79">
        <v>16</v>
      </c>
      <c r="AT27" s="125">
        <v>27</v>
      </c>
      <c r="AU27" s="79">
        <v>41</v>
      </c>
      <c r="AV27" s="79">
        <v>42</v>
      </c>
      <c r="AW27" s="79">
        <v>43</v>
      </c>
      <c r="AX27" s="79">
        <v>44</v>
      </c>
      <c r="AY27" s="79">
        <v>45</v>
      </c>
      <c r="AZ27" s="79">
        <v>46</v>
      </c>
      <c r="BA27" s="79">
        <v>50</v>
      </c>
    </row>
    <row r="28" spans="1:53" ht="15.9" x14ac:dyDescent="0.45">
      <c r="A28" s="13">
        <v>53</v>
      </c>
      <c r="B28" s="13">
        <v>54</v>
      </c>
      <c r="C28" s="13">
        <v>55</v>
      </c>
      <c r="D28" s="13">
        <v>56</v>
      </c>
      <c r="E28" s="13">
        <v>57</v>
      </c>
      <c r="F28" s="13">
        <v>43</v>
      </c>
      <c r="G28" s="13">
        <v>42</v>
      </c>
      <c r="H28" s="13">
        <v>37</v>
      </c>
      <c r="I28" s="13">
        <v>119</v>
      </c>
      <c r="J28" s="13">
        <v>38</v>
      </c>
      <c r="K28" s="13">
        <v>49</v>
      </c>
      <c r="L28" s="13">
        <v>118</v>
      </c>
      <c r="M28" s="13">
        <v>39</v>
      </c>
      <c r="N28" s="13">
        <v>80</v>
      </c>
      <c r="O28" s="13"/>
      <c r="P28" s="13"/>
      <c r="Q28" s="13"/>
      <c r="R28" s="13"/>
      <c r="S28" s="13"/>
      <c r="T28" s="13"/>
      <c r="U28" s="15" t="s">
        <v>611</v>
      </c>
      <c r="V28">
        <v>25</v>
      </c>
      <c r="W28" t="s">
        <v>257</v>
      </c>
      <c r="Y28" t="s">
        <v>258</v>
      </c>
      <c r="AG28" s="236"/>
      <c r="AH28" s="125">
        <v>38</v>
      </c>
      <c r="AI28" s="125">
        <v>39</v>
      </c>
      <c r="AJ28" s="79">
        <v>40</v>
      </c>
      <c r="AK28" s="125">
        <v>80</v>
      </c>
      <c r="AL28" s="125">
        <v>96</v>
      </c>
      <c r="AM28" s="79">
        <v>47</v>
      </c>
      <c r="AN28" s="125">
        <v>84</v>
      </c>
      <c r="AO28" s="125">
        <v>49</v>
      </c>
      <c r="AP28" s="125">
        <v>142</v>
      </c>
      <c r="AQ28" s="125">
        <v>143</v>
      </c>
      <c r="AR28" s="79">
        <v>51</v>
      </c>
      <c r="AS28" s="125">
        <v>37</v>
      </c>
      <c r="AT28" s="125">
        <v>48</v>
      </c>
      <c r="AU28" s="79">
        <v>53</v>
      </c>
      <c r="AV28" s="79">
        <v>54</v>
      </c>
      <c r="AW28" s="79">
        <v>55</v>
      </c>
      <c r="AX28" s="79">
        <v>56</v>
      </c>
      <c r="AY28" s="79">
        <v>57</v>
      </c>
      <c r="AZ28" s="79">
        <v>58</v>
      </c>
      <c r="BA28" s="125">
        <v>78</v>
      </c>
    </row>
    <row r="29" spans="1:53" x14ac:dyDescent="0.4">
      <c r="V29">
        <v>26</v>
      </c>
      <c r="W29" t="s">
        <v>259</v>
      </c>
      <c r="X29" t="s">
        <v>261</v>
      </c>
      <c r="Y29" t="s">
        <v>260</v>
      </c>
    </row>
    <row r="30" spans="1:53" x14ac:dyDescent="0.4">
      <c r="A30" t="s">
        <v>499</v>
      </c>
      <c r="B30" t="s">
        <v>1580</v>
      </c>
      <c r="C30" t="s">
        <v>501</v>
      </c>
      <c r="V30">
        <v>27</v>
      </c>
      <c r="W30" s="1" t="s">
        <v>262</v>
      </c>
      <c r="X30" t="s">
        <v>261</v>
      </c>
      <c r="Y30" t="s">
        <v>263</v>
      </c>
      <c r="AH30" t="s">
        <v>499</v>
      </c>
      <c r="AI30" t="s">
        <v>500</v>
      </c>
      <c r="AJ30" t="s">
        <v>501</v>
      </c>
    </row>
    <row r="31" spans="1:53" x14ac:dyDescent="0.4">
      <c r="C31" t="s">
        <v>605</v>
      </c>
      <c r="V31">
        <v>28</v>
      </c>
      <c r="W31" t="s">
        <v>1543</v>
      </c>
      <c r="X31" t="s">
        <v>261</v>
      </c>
      <c r="Y31" t="s">
        <v>1544</v>
      </c>
      <c r="AJ31" t="s">
        <v>605</v>
      </c>
    </row>
    <row r="32" spans="1:53" x14ac:dyDescent="0.4">
      <c r="C32" t="s">
        <v>606</v>
      </c>
      <c r="V32">
        <v>29</v>
      </c>
      <c r="W32" t="s">
        <v>264</v>
      </c>
      <c r="X32" t="s">
        <v>261</v>
      </c>
      <c r="Y32" t="s">
        <v>265</v>
      </c>
      <c r="AJ32" t="s">
        <v>606</v>
      </c>
    </row>
    <row r="33" spans="1:45" ht="15.45" x14ac:dyDescent="0.4">
      <c r="A33" s="74"/>
      <c r="B33" s="9"/>
      <c r="C33" t="s">
        <v>502</v>
      </c>
      <c r="E33" s="9"/>
      <c r="F33" s="9"/>
      <c r="G33" s="9"/>
      <c r="H33" s="9"/>
      <c r="I33" s="9"/>
      <c r="J33" s="9"/>
      <c r="K33" s="9"/>
      <c r="L33" s="9"/>
      <c r="M33" s="9"/>
      <c r="N33" s="9"/>
      <c r="O33" s="9"/>
      <c r="P33" s="9"/>
      <c r="Q33" s="9"/>
      <c r="V33">
        <v>30</v>
      </c>
      <c r="W33" t="s">
        <v>266</v>
      </c>
      <c r="X33" t="s">
        <v>261</v>
      </c>
      <c r="Y33" t="s">
        <v>267</v>
      </c>
      <c r="AH33" s="74"/>
      <c r="AI33" s="9"/>
      <c r="AJ33" t="s">
        <v>502</v>
      </c>
      <c r="AL33" s="9"/>
      <c r="AM33" s="9"/>
      <c r="AN33" s="9"/>
      <c r="AO33" s="9"/>
      <c r="AP33" s="9"/>
      <c r="AQ33" s="9"/>
      <c r="AR33" s="9"/>
      <c r="AS33" s="9"/>
    </row>
    <row r="34" spans="1:45" x14ac:dyDescent="0.4">
      <c r="A34" s="8"/>
      <c r="G34" s="10"/>
      <c r="H34" s="8"/>
      <c r="I34" s="8"/>
      <c r="J34" s="8"/>
      <c r="K34" s="8"/>
      <c r="L34" s="8"/>
      <c r="M34" s="8"/>
      <c r="N34" s="8"/>
      <c r="O34" s="8"/>
      <c r="P34" s="8"/>
      <c r="Q34" s="8"/>
      <c r="V34">
        <v>31</v>
      </c>
      <c r="W34" t="s">
        <v>268</v>
      </c>
      <c r="X34" t="s">
        <v>261</v>
      </c>
      <c r="Y34" t="s">
        <v>269</v>
      </c>
      <c r="AH34" s="8"/>
      <c r="AN34" s="10"/>
      <c r="AO34" s="8"/>
      <c r="AP34" s="8"/>
      <c r="AQ34" s="8"/>
      <c r="AR34" s="8"/>
      <c r="AS34" s="8"/>
    </row>
    <row r="35" spans="1:45" x14ac:dyDescent="0.4">
      <c r="A35" s="8"/>
      <c r="B35" s="3" t="s">
        <v>24</v>
      </c>
      <c r="C35" s="12" t="s">
        <v>609</v>
      </c>
      <c r="D35" s="3" t="s">
        <v>610</v>
      </c>
      <c r="E35" s="3" t="s">
        <v>15</v>
      </c>
      <c r="G35" s="10"/>
      <c r="H35" s="8"/>
      <c r="I35" s="8"/>
      <c r="J35" s="8"/>
      <c r="K35" s="8"/>
      <c r="L35" s="8"/>
      <c r="M35" s="8"/>
      <c r="N35" s="8"/>
      <c r="O35" s="8"/>
      <c r="P35" s="8"/>
      <c r="Q35" s="8"/>
      <c r="V35">
        <v>32</v>
      </c>
      <c r="W35" t="s">
        <v>270</v>
      </c>
      <c r="Y35" t="s">
        <v>271</v>
      </c>
      <c r="AH35" s="237" t="s">
        <v>1222</v>
      </c>
      <c r="AI35" s="3" t="s">
        <v>24</v>
      </c>
      <c r="AJ35" s="12" t="s">
        <v>609</v>
      </c>
      <c r="AK35" s="3" t="s">
        <v>610</v>
      </c>
      <c r="AL35" s="3" t="s">
        <v>15</v>
      </c>
      <c r="AN35" s="10"/>
      <c r="AO35" s="8"/>
      <c r="AP35" s="8"/>
      <c r="AQ35" s="8"/>
      <c r="AR35" s="8"/>
      <c r="AS35" s="8"/>
    </row>
    <row r="36" spans="1:45" x14ac:dyDescent="0.4">
      <c r="A36" s="183" t="s">
        <v>1589</v>
      </c>
      <c r="B36" s="8">
        <v>1</v>
      </c>
      <c r="C36" s="14">
        <v>0</v>
      </c>
      <c r="D36" s="10" t="s">
        <v>523</v>
      </c>
      <c r="E36" s="10" t="s">
        <v>524</v>
      </c>
      <c r="G36" s="10"/>
      <c r="K36" s="4"/>
      <c r="R36" s="9"/>
      <c r="T36" s="9"/>
      <c r="V36">
        <v>33</v>
      </c>
      <c r="W36" t="s">
        <v>272</v>
      </c>
      <c r="X36" t="s">
        <v>213</v>
      </c>
      <c r="Y36" t="s">
        <v>273</v>
      </c>
      <c r="AH36" s="236"/>
      <c r="AI36" s="8">
        <v>1</v>
      </c>
      <c r="AJ36" s="80">
        <v>1</v>
      </c>
      <c r="AK36" s="10" t="s">
        <v>523</v>
      </c>
      <c r="AL36" s="10" t="s">
        <v>524</v>
      </c>
      <c r="AN36" s="10"/>
      <c r="AR36" s="4"/>
    </row>
    <row r="37" spans="1:45" x14ac:dyDescent="0.4">
      <c r="B37" s="10">
        <v>2</v>
      </c>
      <c r="C37" s="14">
        <v>0</v>
      </c>
      <c r="D37" s="10" t="s">
        <v>525</v>
      </c>
      <c r="E37" s="10" t="s">
        <v>526</v>
      </c>
      <c r="G37" s="10"/>
      <c r="K37" s="4"/>
      <c r="R37" s="8"/>
      <c r="T37" s="8"/>
      <c r="V37">
        <v>34</v>
      </c>
      <c r="W37" t="s">
        <v>274</v>
      </c>
      <c r="Y37" t="s">
        <v>275</v>
      </c>
      <c r="AH37" s="236"/>
      <c r="AI37" s="10">
        <v>2</v>
      </c>
      <c r="AJ37" s="80">
        <v>0</v>
      </c>
      <c r="AK37" s="10" t="s">
        <v>525</v>
      </c>
      <c r="AL37" s="10" t="s">
        <v>526</v>
      </c>
      <c r="AN37" s="10"/>
      <c r="AR37" s="4"/>
    </row>
    <row r="38" spans="1:45" x14ac:dyDescent="0.4">
      <c r="B38" s="10">
        <v>3</v>
      </c>
      <c r="C38" s="14">
        <v>0</v>
      </c>
      <c r="D38" s="10" t="s">
        <v>527</v>
      </c>
      <c r="E38" s="10" t="s">
        <v>528</v>
      </c>
      <c r="F38" s="8"/>
      <c r="G38" s="10"/>
      <c r="K38" s="4"/>
      <c r="R38" s="8"/>
      <c r="T38" s="9"/>
      <c r="V38">
        <v>35</v>
      </c>
      <c r="W38" t="s">
        <v>276</v>
      </c>
      <c r="Y38" t="s">
        <v>277</v>
      </c>
      <c r="AH38" s="236"/>
      <c r="AI38" s="8">
        <v>3</v>
      </c>
      <c r="AJ38" s="80">
        <v>1</v>
      </c>
      <c r="AK38" s="10" t="s">
        <v>527</v>
      </c>
      <c r="AL38" s="10" t="s">
        <v>528</v>
      </c>
      <c r="AN38" s="10"/>
      <c r="AR38" s="4"/>
    </row>
    <row r="39" spans="1:45" x14ac:dyDescent="0.4">
      <c r="A39" s="183" t="s">
        <v>1589</v>
      </c>
      <c r="B39" s="8">
        <v>4</v>
      </c>
      <c r="C39" s="14">
        <v>0</v>
      </c>
      <c r="D39" s="8" t="s">
        <v>529</v>
      </c>
      <c r="E39" s="8" t="s">
        <v>530</v>
      </c>
      <c r="G39" s="10"/>
      <c r="K39" s="4"/>
      <c r="V39">
        <v>36</v>
      </c>
      <c r="W39" t="s">
        <v>278</v>
      </c>
      <c r="X39" t="s">
        <v>261</v>
      </c>
      <c r="Y39" t="s">
        <v>279</v>
      </c>
      <c r="AH39" s="236"/>
      <c r="AI39" s="8">
        <v>4</v>
      </c>
      <c r="AJ39" s="80">
        <v>0</v>
      </c>
      <c r="AK39" s="10" t="s">
        <v>529</v>
      </c>
      <c r="AL39" s="10" t="s">
        <v>530</v>
      </c>
      <c r="AN39" s="10"/>
      <c r="AR39" s="4"/>
    </row>
    <row r="40" spans="1:45" x14ac:dyDescent="0.4">
      <c r="B40" s="10">
        <v>5</v>
      </c>
      <c r="C40" s="14">
        <v>0</v>
      </c>
      <c r="D40" s="10" t="s">
        <v>531</v>
      </c>
      <c r="E40" s="10" t="s">
        <v>532</v>
      </c>
      <c r="G40" s="10"/>
      <c r="K40" s="4"/>
      <c r="V40">
        <v>37</v>
      </c>
      <c r="W40" s="1" t="s">
        <v>280</v>
      </c>
      <c r="X40" t="s">
        <v>282</v>
      </c>
      <c r="Y40" t="s">
        <v>281</v>
      </c>
      <c r="AH40" s="236"/>
      <c r="AI40" s="10">
        <v>5</v>
      </c>
      <c r="AJ40" s="80">
        <v>0</v>
      </c>
      <c r="AK40" s="10" t="s">
        <v>531</v>
      </c>
      <c r="AL40" s="10" t="s">
        <v>532</v>
      </c>
      <c r="AN40" s="10"/>
      <c r="AR40" s="4"/>
    </row>
    <row r="41" spans="1:45" x14ac:dyDescent="0.4">
      <c r="B41" s="10">
        <v>6</v>
      </c>
      <c r="C41" s="14">
        <v>0</v>
      </c>
      <c r="D41" s="10" t="s">
        <v>533</v>
      </c>
      <c r="E41" s="10" t="s">
        <v>534</v>
      </c>
      <c r="G41" s="10"/>
      <c r="K41" s="4"/>
      <c r="V41">
        <v>38</v>
      </c>
      <c r="W41" t="s">
        <v>283</v>
      </c>
      <c r="X41" t="s">
        <v>282</v>
      </c>
      <c r="Y41" t="s">
        <v>284</v>
      </c>
      <c r="AH41" s="236"/>
      <c r="AI41" s="10">
        <v>6</v>
      </c>
      <c r="AJ41" s="80">
        <v>0</v>
      </c>
      <c r="AK41" s="10" t="s">
        <v>533</v>
      </c>
      <c r="AL41" s="10" t="s">
        <v>534</v>
      </c>
      <c r="AN41" s="10"/>
      <c r="AR41" s="4"/>
    </row>
    <row r="42" spans="1:45" x14ac:dyDescent="0.4">
      <c r="A42" s="183" t="s">
        <v>1589</v>
      </c>
      <c r="B42" s="8">
        <v>7</v>
      </c>
      <c r="C42" s="14">
        <v>1</v>
      </c>
      <c r="D42" s="8" t="s">
        <v>535</v>
      </c>
      <c r="E42" s="8" t="s">
        <v>536</v>
      </c>
      <c r="G42" s="10"/>
      <c r="K42" s="4"/>
      <c r="V42">
        <v>39</v>
      </c>
      <c r="W42" t="s">
        <v>285</v>
      </c>
      <c r="X42" t="s">
        <v>282</v>
      </c>
      <c r="Y42" t="s">
        <v>286</v>
      </c>
      <c r="AH42" s="236"/>
      <c r="AI42" s="86">
        <v>7</v>
      </c>
      <c r="AJ42" s="80">
        <v>1</v>
      </c>
      <c r="AK42" s="10" t="s">
        <v>535</v>
      </c>
      <c r="AL42" s="10" t="s">
        <v>536</v>
      </c>
      <c r="AN42" s="10"/>
      <c r="AR42" s="4"/>
    </row>
    <row r="43" spans="1:45" x14ac:dyDescent="0.4">
      <c r="A43" s="183" t="s">
        <v>1589</v>
      </c>
      <c r="B43" s="8">
        <v>8</v>
      </c>
      <c r="C43" s="14">
        <v>0</v>
      </c>
      <c r="D43" s="8" t="s">
        <v>537</v>
      </c>
      <c r="E43" s="8" t="s">
        <v>538</v>
      </c>
      <c r="G43" s="10"/>
      <c r="K43" s="4"/>
      <c r="V43">
        <v>40</v>
      </c>
      <c r="W43" t="s">
        <v>287</v>
      </c>
      <c r="X43" t="s">
        <v>282</v>
      </c>
      <c r="Y43" t="s">
        <v>288</v>
      </c>
      <c r="AH43" s="236"/>
      <c r="AI43" s="8">
        <v>8</v>
      </c>
      <c r="AJ43" s="80">
        <v>1</v>
      </c>
      <c r="AK43" s="10" t="s">
        <v>537</v>
      </c>
      <c r="AL43" s="10" t="s">
        <v>538</v>
      </c>
      <c r="AN43" s="10"/>
      <c r="AR43" s="4"/>
    </row>
    <row r="44" spans="1:45" x14ac:dyDescent="0.4">
      <c r="B44" s="10">
        <v>9</v>
      </c>
      <c r="C44" s="14">
        <v>0</v>
      </c>
      <c r="D44" s="10" t="s">
        <v>539</v>
      </c>
      <c r="E44" s="10" t="s">
        <v>540</v>
      </c>
      <c r="G44" s="10"/>
      <c r="K44" s="4"/>
      <c r="V44">
        <v>41</v>
      </c>
      <c r="W44" t="s">
        <v>289</v>
      </c>
      <c r="X44" t="s">
        <v>282</v>
      </c>
      <c r="Y44" t="s">
        <v>290</v>
      </c>
      <c r="AH44" s="236"/>
      <c r="AI44" s="10">
        <v>9</v>
      </c>
      <c r="AJ44" s="80">
        <v>0</v>
      </c>
      <c r="AK44" s="10" t="s">
        <v>539</v>
      </c>
      <c r="AL44" s="10" t="s">
        <v>540</v>
      </c>
      <c r="AN44" s="10"/>
      <c r="AR44" s="4"/>
    </row>
    <row r="45" spans="1:45" x14ac:dyDescent="0.4">
      <c r="B45" s="10">
        <v>10</v>
      </c>
      <c r="C45" s="14">
        <v>0</v>
      </c>
      <c r="D45" s="10" t="s">
        <v>541</v>
      </c>
      <c r="E45" s="10" t="s">
        <v>542</v>
      </c>
      <c r="G45" s="10"/>
      <c r="V45">
        <v>42</v>
      </c>
      <c r="W45" t="s">
        <v>291</v>
      </c>
      <c r="X45" t="s">
        <v>282</v>
      </c>
      <c r="Y45" t="s">
        <v>292</v>
      </c>
      <c r="AH45" s="236"/>
      <c r="AI45" s="10">
        <v>10</v>
      </c>
      <c r="AJ45" s="80">
        <v>0</v>
      </c>
      <c r="AK45" s="10" t="s">
        <v>541</v>
      </c>
      <c r="AL45" s="10" t="s">
        <v>542</v>
      </c>
      <c r="AN45" s="10"/>
      <c r="AR45" s="4"/>
    </row>
    <row r="46" spans="1:45" x14ac:dyDescent="0.4">
      <c r="A46" s="183" t="s">
        <v>1589</v>
      </c>
      <c r="B46" s="8">
        <v>11</v>
      </c>
      <c r="C46" s="14">
        <v>1</v>
      </c>
      <c r="D46" s="8" t="s">
        <v>543</v>
      </c>
      <c r="E46" s="8" t="s">
        <v>544</v>
      </c>
      <c r="G46" s="10"/>
      <c r="V46">
        <v>43</v>
      </c>
      <c r="W46" t="s">
        <v>293</v>
      </c>
      <c r="X46" t="s">
        <v>282</v>
      </c>
      <c r="Y46" t="s">
        <v>294</v>
      </c>
      <c r="AH46" s="236"/>
      <c r="AI46" s="10">
        <v>11</v>
      </c>
      <c r="AJ46" s="80">
        <v>0</v>
      </c>
      <c r="AK46" s="10" t="s">
        <v>543</v>
      </c>
      <c r="AL46" s="10" t="s">
        <v>544</v>
      </c>
      <c r="AN46" s="10"/>
      <c r="AR46" s="4"/>
    </row>
    <row r="47" spans="1:45" x14ac:dyDescent="0.4">
      <c r="B47" s="10">
        <v>12</v>
      </c>
      <c r="C47" s="14">
        <v>0</v>
      </c>
      <c r="D47" s="10" t="s">
        <v>545</v>
      </c>
      <c r="E47" s="10" t="s">
        <v>591</v>
      </c>
      <c r="G47" s="10"/>
      <c r="V47">
        <v>44</v>
      </c>
      <c r="W47" t="s">
        <v>295</v>
      </c>
      <c r="X47" t="s">
        <v>282</v>
      </c>
      <c r="Y47" t="s">
        <v>296</v>
      </c>
      <c r="AH47" s="236"/>
      <c r="AI47" s="10">
        <v>12</v>
      </c>
      <c r="AJ47" s="80">
        <v>0</v>
      </c>
      <c r="AK47" s="10" t="s">
        <v>545</v>
      </c>
      <c r="AL47" s="10" t="s">
        <v>591</v>
      </c>
      <c r="AN47" s="10"/>
      <c r="AR47" s="4"/>
    </row>
    <row r="48" spans="1:45" x14ac:dyDescent="0.4">
      <c r="B48">
        <v>13</v>
      </c>
      <c r="C48" s="14">
        <v>0</v>
      </c>
      <c r="D48" s="10" t="s">
        <v>546</v>
      </c>
      <c r="E48" s="10" t="s">
        <v>547</v>
      </c>
      <c r="G48" s="10"/>
      <c r="V48">
        <v>45</v>
      </c>
      <c r="W48" t="s">
        <v>297</v>
      </c>
      <c r="X48" t="s">
        <v>282</v>
      </c>
      <c r="Y48" t="s">
        <v>298</v>
      </c>
      <c r="AH48" s="236"/>
      <c r="AI48">
        <v>13</v>
      </c>
      <c r="AJ48" s="80">
        <v>0</v>
      </c>
      <c r="AK48" s="10" t="s">
        <v>546</v>
      </c>
      <c r="AL48" s="10" t="s">
        <v>547</v>
      </c>
      <c r="AN48" s="10"/>
      <c r="AR48" s="4"/>
    </row>
    <row r="49" spans="1:44" x14ac:dyDescent="0.4">
      <c r="B49">
        <v>14</v>
      </c>
      <c r="C49" s="14">
        <v>0</v>
      </c>
      <c r="D49" s="10" t="s">
        <v>886</v>
      </c>
      <c r="E49" s="10" t="s">
        <v>887</v>
      </c>
      <c r="G49" s="10"/>
      <c r="V49">
        <v>46</v>
      </c>
      <c r="W49" t="s">
        <v>299</v>
      </c>
      <c r="X49" t="s">
        <v>282</v>
      </c>
      <c r="Y49" t="s">
        <v>300</v>
      </c>
      <c r="AH49" s="236"/>
      <c r="AI49">
        <v>14</v>
      </c>
      <c r="AJ49" s="80">
        <v>0</v>
      </c>
      <c r="AK49" s="10" t="s">
        <v>886</v>
      </c>
      <c r="AL49" s="10" t="s">
        <v>887</v>
      </c>
      <c r="AN49" s="10"/>
      <c r="AR49" s="4"/>
    </row>
    <row r="50" spans="1:44" x14ac:dyDescent="0.4">
      <c r="B50">
        <v>15</v>
      </c>
      <c r="C50" s="14">
        <v>1</v>
      </c>
      <c r="D50" s="10" t="s">
        <v>548</v>
      </c>
      <c r="E50" s="10" t="s">
        <v>549</v>
      </c>
      <c r="G50" s="10"/>
      <c r="V50">
        <v>47</v>
      </c>
      <c r="W50" t="s">
        <v>301</v>
      </c>
      <c r="X50" t="s">
        <v>282</v>
      </c>
      <c r="Y50" t="s">
        <v>302</v>
      </c>
      <c r="AH50" s="236"/>
      <c r="AI50" s="86">
        <v>15</v>
      </c>
      <c r="AJ50" s="80">
        <v>1</v>
      </c>
      <c r="AK50" s="10" t="s">
        <v>548</v>
      </c>
      <c r="AL50" s="10" t="s">
        <v>549</v>
      </c>
      <c r="AN50" s="10"/>
      <c r="AR50" s="4"/>
    </row>
    <row r="51" spans="1:44" x14ac:dyDescent="0.4">
      <c r="B51" s="8">
        <v>16</v>
      </c>
      <c r="C51" s="14">
        <v>1</v>
      </c>
      <c r="D51" s="8" t="s">
        <v>550</v>
      </c>
      <c r="E51" s="8" t="s">
        <v>551</v>
      </c>
      <c r="G51" s="10"/>
      <c r="V51">
        <v>48</v>
      </c>
      <c r="W51" t="s">
        <v>303</v>
      </c>
      <c r="X51" t="s">
        <v>282</v>
      </c>
      <c r="Y51" t="s">
        <v>304</v>
      </c>
      <c r="AH51" s="236"/>
      <c r="AI51">
        <v>16</v>
      </c>
      <c r="AJ51" s="80">
        <v>0</v>
      </c>
      <c r="AK51" s="10" t="s">
        <v>550</v>
      </c>
      <c r="AL51" s="10" t="s">
        <v>551</v>
      </c>
      <c r="AN51" s="10"/>
      <c r="AR51" s="4"/>
    </row>
    <row r="52" spans="1:44" x14ac:dyDescent="0.4">
      <c r="B52" s="10">
        <v>17</v>
      </c>
      <c r="C52" s="14">
        <v>1</v>
      </c>
      <c r="D52" s="10" t="s">
        <v>552</v>
      </c>
      <c r="E52" s="10" t="s">
        <v>553</v>
      </c>
      <c r="G52" s="10"/>
      <c r="V52">
        <v>49</v>
      </c>
      <c r="W52" t="s">
        <v>305</v>
      </c>
      <c r="X52" t="s">
        <v>282</v>
      </c>
      <c r="Y52" t="s">
        <v>306</v>
      </c>
      <c r="AH52" s="236"/>
      <c r="AI52">
        <v>17</v>
      </c>
      <c r="AJ52" s="80">
        <v>0</v>
      </c>
      <c r="AK52" s="10" t="s">
        <v>552</v>
      </c>
      <c r="AL52" s="10" t="s">
        <v>553</v>
      </c>
      <c r="AN52" s="10"/>
      <c r="AR52" s="4"/>
    </row>
    <row r="53" spans="1:44" x14ac:dyDescent="0.4">
      <c r="B53" s="8">
        <v>18</v>
      </c>
      <c r="C53" s="14">
        <v>0</v>
      </c>
      <c r="D53" s="8" t="s">
        <v>554</v>
      </c>
      <c r="E53" s="8" t="s">
        <v>555</v>
      </c>
      <c r="G53" s="10"/>
      <c r="V53">
        <v>50</v>
      </c>
      <c r="W53" t="s">
        <v>307</v>
      </c>
      <c r="X53" t="s">
        <v>282</v>
      </c>
      <c r="Y53" t="s">
        <v>308</v>
      </c>
      <c r="AH53" s="236"/>
      <c r="AI53">
        <v>18</v>
      </c>
      <c r="AJ53" s="80">
        <v>0</v>
      </c>
      <c r="AK53" s="10" t="s">
        <v>554</v>
      </c>
      <c r="AL53" s="10" t="s">
        <v>555</v>
      </c>
      <c r="AN53" s="10"/>
      <c r="AR53" s="4"/>
    </row>
    <row r="54" spans="1:44" x14ac:dyDescent="0.4">
      <c r="B54">
        <v>19</v>
      </c>
      <c r="C54" s="14">
        <v>0</v>
      </c>
      <c r="D54" s="10" t="s">
        <v>556</v>
      </c>
      <c r="E54" s="10" t="s">
        <v>557</v>
      </c>
      <c r="G54" s="10"/>
      <c r="V54">
        <v>51</v>
      </c>
      <c r="W54" t="s">
        <v>309</v>
      </c>
      <c r="X54" t="s">
        <v>282</v>
      </c>
      <c r="Y54" t="s">
        <v>310</v>
      </c>
      <c r="AH54" s="236"/>
      <c r="AI54">
        <v>19</v>
      </c>
      <c r="AJ54" s="80">
        <v>0</v>
      </c>
      <c r="AK54" s="10" t="s">
        <v>556</v>
      </c>
      <c r="AL54" s="10" t="s">
        <v>557</v>
      </c>
      <c r="AN54" s="10"/>
      <c r="AR54" s="4"/>
    </row>
    <row r="55" spans="1:44" x14ac:dyDescent="0.4">
      <c r="B55">
        <v>20</v>
      </c>
      <c r="C55" s="14">
        <v>0</v>
      </c>
      <c r="D55" s="10" t="s">
        <v>558</v>
      </c>
      <c r="E55" s="10" t="s">
        <v>559</v>
      </c>
      <c r="G55" s="10"/>
      <c r="V55">
        <v>52</v>
      </c>
      <c r="W55" t="s">
        <v>311</v>
      </c>
      <c r="Y55" t="s">
        <v>312</v>
      </c>
      <c r="AH55" s="236"/>
      <c r="AI55">
        <v>20</v>
      </c>
      <c r="AJ55" s="80">
        <v>0</v>
      </c>
      <c r="AK55" s="10" t="s">
        <v>558</v>
      </c>
      <c r="AL55" s="10" t="s">
        <v>559</v>
      </c>
      <c r="AN55" s="10"/>
      <c r="AR55" s="4"/>
    </row>
    <row r="56" spans="1:44" x14ac:dyDescent="0.4">
      <c r="B56">
        <v>21</v>
      </c>
      <c r="C56" s="14">
        <v>0</v>
      </c>
      <c r="D56" s="10" t="s">
        <v>560</v>
      </c>
      <c r="E56" s="10" t="s">
        <v>561</v>
      </c>
      <c r="G56" s="10"/>
      <c r="V56">
        <v>53</v>
      </c>
      <c r="W56" t="s">
        <v>186</v>
      </c>
      <c r="X56" t="s">
        <v>282</v>
      </c>
      <c r="Y56" t="s">
        <v>313</v>
      </c>
      <c r="AH56" s="236"/>
      <c r="AI56">
        <v>21</v>
      </c>
      <c r="AJ56" s="80">
        <v>1</v>
      </c>
      <c r="AK56" s="10" t="s">
        <v>560</v>
      </c>
      <c r="AL56" s="10" t="s">
        <v>561</v>
      </c>
      <c r="AN56" s="10"/>
      <c r="AR56" s="4"/>
    </row>
    <row r="57" spans="1:44" x14ac:dyDescent="0.4">
      <c r="B57">
        <v>22</v>
      </c>
      <c r="C57" s="14">
        <v>1</v>
      </c>
      <c r="D57" s="10" t="s">
        <v>562</v>
      </c>
      <c r="E57" s="10" t="s">
        <v>563</v>
      </c>
      <c r="G57" s="10"/>
      <c r="V57">
        <v>54</v>
      </c>
      <c r="W57" t="s">
        <v>314</v>
      </c>
      <c r="X57" t="s">
        <v>282</v>
      </c>
      <c r="Y57" t="s">
        <v>315</v>
      </c>
      <c r="AH57" s="236"/>
      <c r="AI57">
        <v>22</v>
      </c>
      <c r="AJ57" s="80">
        <v>0</v>
      </c>
      <c r="AK57" s="10" t="s">
        <v>562</v>
      </c>
      <c r="AL57" s="10" t="s">
        <v>563</v>
      </c>
      <c r="AN57" s="10"/>
      <c r="AR57" s="4"/>
    </row>
    <row r="58" spans="1:44" x14ac:dyDescent="0.4">
      <c r="B58">
        <v>23</v>
      </c>
      <c r="C58" s="14">
        <v>1</v>
      </c>
      <c r="D58" s="10" t="s">
        <v>564</v>
      </c>
      <c r="E58" s="10" t="s">
        <v>565</v>
      </c>
      <c r="G58" s="10"/>
      <c r="R58" s="9"/>
      <c r="V58">
        <v>55</v>
      </c>
      <c r="W58" t="s">
        <v>316</v>
      </c>
      <c r="X58" t="s">
        <v>282</v>
      </c>
      <c r="Y58" t="s">
        <v>317</v>
      </c>
      <c r="AH58" s="236"/>
      <c r="AI58">
        <v>23</v>
      </c>
      <c r="AJ58" s="80">
        <v>0</v>
      </c>
      <c r="AK58" s="10" t="s">
        <v>564</v>
      </c>
      <c r="AL58" s="10" t="s">
        <v>565</v>
      </c>
      <c r="AN58" s="10"/>
      <c r="AR58" s="4"/>
    </row>
    <row r="59" spans="1:44" x14ac:dyDescent="0.4">
      <c r="A59" s="183" t="s">
        <v>1589</v>
      </c>
      <c r="B59" s="8">
        <v>24</v>
      </c>
      <c r="C59" s="14">
        <v>1</v>
      </c>
      <c r="D59" s="8" t="s">
        <v>566</v>
      </c>
      <c r="E59" s="8" t="s">
        <v>567</v>
      </c>
      <c r="G59" s="10"/>
      <c r="R59" s="9"/>
      <c r="V59">
        <v>56</v>
      </c>
      <c r="W59" t="s">
        <v>187</v>
      </c>
      <c r="X59" t="s">
        <v>282</v>
      </c>
      <c r="Y59" t="s">
        <v>318</v>
      </c>
      <c r="AH59" s="236"/>
      <c r="AI59" s="8">
        <v>24</v>
      </c>
      <c r="AJ59" s="80">
        <v>1</v>
      </c>
      <c r="AK59" s="10" t="s">
        <v>566</v>
      </c>
      <c r="AL59" s="10" t="s">
        <v>567</v>
      </c>
      <c r="AN59" s="10"/>
      <c r="AR59" s="4"/>
    </row>
    <row r="60" spans="1:44" x14ac:dyDescent="0.4">
      <c r="B60">
        <v>25</v>
      </c>
      <c r="C60" s="14">
        <v>0</v>
      </c>
      <c r="D60" s="10" t="s">
        <v>568</v>
      </c>
      <c r="E60" s="10" t="s">
        <v>569</v>
      </c>
      <c r="G60" s="10"/>
      <c r="V60">
        <v>57</v>
      </c>
      <c r="W60" t="s">
        <v>319</v>
      </c>
      <c r="X60" t="s">
        <v>282</v>
      </c>
      <c r="Y60" t="s">
        <v>320</v>
      </c>
      <c r="AH60" s="236"/>
      <c r="AI60">
        <v>25</v>
      </c>
      <c r="AJ60" s="80">
        <v>0</v>
      </c>
      <c r="AK60" s="10" t="s">
        <v>568</v>
      </c>
      <c r="AL60" s="10" t="s">
        <v>569</v>
      </c>
      <c r="AN60" s="10"/>
      <c r="AR60" s="4"/>
    </row>
    <row r="61" spans="1:44" x14ac:dyDescent="0.4">
      <c r="B61">
        <v>26</v>
      </c>
      <c r="C61" s="14">
        <v>0</v>
      </c>
      <c r="D61" s="10" t="s">
        <v>570</v>
      </c>
      <c r="E61" s="10" t="s">
        <v>571</v>
      </c>
      <c r="G61" s="10"/>
      <c r="V61">
        <v>58</v>
      </c>
      <c r="W61" t="s">
        <v>321</v>
      </c>
      <c r="X61" t="s">
        <v>261</v>
      </c>
      <c r="Y61" t="s">
        <v>322</v>
      </c>
      <c r="AH61" s="236"/>
      <c r="AI61">
        <v>26</v>
      </c>
      <c r="AJ61" s="80">
        <v>0</v>
      </c>
      <c r="AK61" s="10" t="s">
        <v>570</v>
      </c>
      <c r="AL61" s="10" t="s">
        <v>571</v>
      </c>
      <c r="AN61" s="10"/>
      <c r="AR61" s="4"/>
    </row>
    <row r="62" spans="1:44" x14ac:dyDescent="0.4">
      <c r="B62">
        <v>27</v>
      </c>
      <c r="C62" s="14">
        <v>0</v>
      </c>
      <c r="D62" s="10" t="s">
        <v>572</v>
      </c>
      <c r="E62" s="10" t="s">
        <v>573</v>
      </c>
      <c r="G62" s="10"/>
      <c r="V62">
        <v>59</v>
      </c>
      <c r="W62" t="s">
        <v>323</v>
      </c>
      <c r="X62" t="s">
        <v>1196</v>
      </c>
      <c r="Y62" t="s">
        <v>324</v>
      </c>
      <c r="AH62" s="236"/>
      <c r="AI62">
        <v>27</v>
      </c>
      <c r="AJ62" s="80">
        <v>1</v>
      </c>
      <c r="AK62" s="10" t="s">
        <v>572</v>
      </c>
      <c r="AL62" s="10" t="s">
        <v>573</v>
      </c>
      <c r="AN62" s="10"/>
      <c r="AR62" s="4"/>
    </row>
    <row r="63" spans="1:44" x14ac:dyDescent="0.4">
      <c r="B63">
        <v>28</v>
      </c>
      <c r="C63" s="14">
        <v>0</v>
      </c>
      <c r="D63" s="10" t="s">
        <v>574</v>
      </c>
      <c r="E63" s="10" t="s">
        <v>575</v>
      </c>
      <c r="G63" s="10"/>
      <c r="O63" s="14"/>
      <c r="Q63" s="10"/>
      <c r="V63">
        <v>60</v>
      </c>
      <c r="W63" t="s">
        <v>325</v>
      </c>
      <c r="Y63" t="s">
        <v>326</v>
      </c>
      <c r="AH63" s="236"/>
      <c r="AI63">
        <v>28</v>
      </c>
      <c r="AJ63" s="80">
        <v>1</v>
      </c>
      <c r="AK63" s="10" t="s">
        <v>574</v>
      </c>
      <c r="AL63" s="10" t="s">
        <v>575</v>
      </c>
      <c r="AN63" s="10"/>
      <c r="AR63" s="4"/>
    </row>
    <row r="64" spans="1:44" x14ac:dyDescent="0.4">
      <c r="B64">
        <v>29</v>
      </c>
      <c r="C64" s="14">
        <v>0</v>
      </c>
      <c r="D64" s="10" t="s">
        <v>576</v>
      </c>
      <c r="E64" s="10" t="s">
        <v>577</v>
      </c>
      <c r="G64" s="10"/>
      <c r="V64">
        <v>61</v>
      </c>
      <c r="W64" t="s">
        <v>327</v>
      </c>
      <c r="X64" t="s">
        <v>282</v>
      </c>
      <c r="Y64" t="s">
        <v>328</v>
      </c>
      <c r="AH64" s="236"/>
      <c r="AI64">
        <v>29</v>
      </c>
      <c r="AJ64" s="80">
        <v>0</v>
      </c>
      <c r="AK64" s="10" t="s">
        <v>576</v>
      </c>
      <c r="AL64" s="10" t="s">
        <v>577</v>
      </c>
      <c r="AN64" s="10"/>
      <c r="AR64" s="4"/>
    </row>
    <row r="65" spans="2:44" x14ac:dyDescent="0.4">
      <c r="B65">
        <v>30</v>
      </c>
      <c r="C65" s="14">
        <v>0</v>
      </c>
      <c r="D65" s="10" t="s">
        <v>578</v>
      </c>
      <c r="E65" s="10" t="s">
        <v>579</v>
      </c>
      <c r="G65" s="10"/>
      <c r="V65">
        <v>62</v>
      </c>
      <c r="W65" t="s">
        <v>329</v>
      </c>
      <c r="X65" t="s">
        <v>282</v>
      </c>
      <c r="Y65" t="s">
        <v>330</v>
      </c>
      <c r="AH65" s="236"/>
      <c r="AI65">
        <v>30</v>
      </c>
      <c r="AJ65" s="80">
        <v>0</v>
      </c>
      <c r="AK65" s="10" t="s">
        <v>578</v>
      </c>
      <c r="AL65" s="10" t="s">
        <v>579</v>
      </c>
      <c r="AN65" s="10"/>
      <c r="AR65" s="4"/>
    </row>
    <row r="66" spans="2:44" x14ac:dyDescent="0.4">
      <c r="B66">
        <v>31</v>
      </c>
      <c r="C66" s="14">
        <v>0</v>
      </c>
      <c r="D66" s="10" t="s">
        <v>580</v>
      </c>
      <c r="E66" s="10" t="s">
        <v>581</v>
      </c>
      <c r="G66" s="10"/>
      <c r="V66">
        <v>63</v>
      </c>
      <c r="W66" t="s">
        <v>331</v>
      </c>
      <c r="X66" t="s">
        <v>213</v>
      </c>
      <c r="Y66" t="s">
        <v>332</v>
      </c>
      <c r="AI66">
        <v>31</v>
      </c>
      <c r="AJ66" s="80">
        <v>0</v>
      </c>
      <c r="AK66" s="10" t="s">
        <v>580</v>
      </c>
      <c r="AL66" s="10" t="s">
        <v>581</v>
      </c>
      <c r="AN66" s="10"/>
      <c r="AR66" s="4"/>
    </row>
    <row r="67" spans="2:44" x14ac:dyDescent="0.4">
      <c r="B67">
        <v>32</v>
      </c>
      <c r="C67" s="14">
        <v>0</v>
      </c>
      <c r="D67" s="10" t="s">
        <v>582</v>
      </c>
      <c r="E67" s="10" t="s">
        <v>594</v>
      </c>
      <c r="G67" s="10"/>
      <c r="V67">
        <v>64</v>
      </c>
      <c r="W67" t="s">
        <v>333</v>
      </c>
      <c r="X67" t="s">
        <v>213</v>
      </c>
      <c r="Y67" t="s">
        <v>334</v>
      </c>
      <c r="AI67">
        <v>32</v>
      </c>
      <c r="AJ67" s="80">
        <v>0</v>
      </c>
      <c r="AK67" s="10" t="s">
        <v>582</v>
      </c>
      <c r="AL67" s="10" t="s">
        <v>594</v>
      </c>
      <c r="AN67" s="10"/>
      <c r="AR67" s="4"/>
    </row>
    <row r="68" spans="2:44" x14ac:dyDescent="0.4">
      <c r="B68" s="41">
        <v>33</v>
      </c>
      <c r="C68" s="14">
        <v>0</v>
      </c>
      <c r="D68" s="41" t="s">
        <v>875</v>
      </c>
      <c r="E68" s="8"/>
      <c r="F68" t="s">
        <v>983</v>
      </c>
      <c r="G68" s="10"/>
      <c r="V68">
        <v>65</v>
      </c>
      <c r="W68" t="s">
        <v>335</v>
      </c>
      <c r="X68" t="s">
        <v>213</v>
      </c>
      <c r="Y68" t="s">
        <v>336</v>
      </c>
      <c r="AI68">
        <v>33</v>
      </c>
      <c r="AJ68" s="80">
        <v>0</v>
      </c>
      <c r="AK68" s="10" t="s">
        <v>888</v>
      </c>
      <c r="AL68" s="10" t="s">
        <v>889</v>
      </c>
      <c r="AN68" s="10"/>
      <c r="AR68" s="4"/>
    </row>
    <row r="69" spans="2:44" x14ac:dyDescent="0.4">
      <c r="B69" s="10">
        <v>34</v>
      </c>
      <c r="C69" s="14">
        <v>1</v>
      </c>
      <c r="D69" s="10" t="s">
        <v>583</v>
      </c>
      <c r="E69" s="10" t="s">
        <v>584</v>
      </c>
      <c r="G69" s="10"/>
      <c r="V69">
        <v>66</v>
      </c>
      <c r="W69" t="s">
        <v>337</v>
      </c>
      <c r="X69" t="s">
        <v>213</v>
      </c>
      <c r="Y69" t="s">
        <v>338</v>
      </c>
      <c r="AI69">
        <v>34</v>
      </c>
      <c r="AJ69" s="80">
        <v>0</v>
      </c>
      <c r="AK69" s="10" t="s">
        <v>583</v>
      </c>
      <c r="AL69" s="10" t="s">
        <v>584</v>
      </c>
      <c r="AN69" s="10"/>
      <c r="AR69" s="4"/>
    </row>
    <row r="70" spans="2:44" x14ac:dyDescent="0.4">
      <c r="B70">
        <v>35</v>
      </c>
      <c r="C70" s="14">
        <v>1</v>
      </c>
      <c r="D70" s="10" t="s">
        <v>585</v>
      </c>
      <c r="E70" s="10" t="s">
        <v>586</v>
      </c>
      <c r="G70" s="10"/>
      <c r="V70">
        <v>67</v>
      </c>
      <c r="W70" t="s">
        <v>339</v>
      </c>
      <c r="X70" t="s">
        <v>213</v>
      </c>
      <c r="Y70" t="s">
        <v>340</v>
      </c>
      <c r="AI70">
        <v>35</v>
      </c>
      <c r="AJ70" s="80">
        <v>0</v>
      </c>
      <c r="AK70" s="10" t="s">
        <v>585</v>
      </c>
      <c r="AL70" s="10" t="s">
        <v>586</v>
      </c>
      <c r="AN70" s="10"/>
      <c r="AR70" s="4"/>
    </row>
    <row r="71" spans="2:44" x14ac:dyDescent="0.4">
      <c r="B71">
        <v>36</v>
      </c>
      <c r="C71" s="14">
        <v>0</v>
      </c>
      <c r="D71" s="10" t="s">
        <v>587</v>
      </c>
      <c r="E71" s="10" t="s">
        <v>588</v>
      </c>
      <c r="G71" s="10"/>
      <c r="V71">
        <v>68</v>
      </c>
      <c r="W71" t="s">
        <v>341</v>
      </c>
      <c r="X71" t="s">
        <v>343</v>
      </c>
      <c r="Y71" t="s">
        <v>342</v>
      </c>
      <c r="AI71">
        <v>36</v>
      </c>
      <c r="AJ71" s="80">
        <v>0</v>
      </c>
      <c r="AK71" s="10" t="s">
        <v>587</v>
      </c>
      <c r="AL71" s="10" t="s">
        <v>588</v>
      </c>
      <c r="AN71" s="10"/>
      <c r="AR71" s="4"/>
    </row>
    <row r="72" spans="2:44" x14ac:dyDescent="0.4">
      <c r="B72">
        <v>37</v>
      </c>
      <c r="C72" s="14">
        <v>0</v>
      </c>
      <c r="D72" t="s">
        <v>589</v>
      </c>
      <c r="E72" t="s">
        <v>593</v>
      </c>
      <c r="V72">
        <v>69</v>
      </c>
      <c r="W72" t="s">
        <v>344</v>
      </c>
      <c r="X72" t="s">
        <v>343</v>
      </c>
      <c r="Y72" t="s">
        <v>345</v>
      </c>
      <c r="AI72">
        <v>37</v>
      </c>
      <c r="AJ72" s="80">
        <v>0</v>
      </c>
      <c r="AK72" s="10" t="s">
        <v>589</v>
      </c>
      <c r="AL72" s="10" t="s">
        <v>593</v>
      </c>
      <c r="AR72" s="4"/>
    </row>
    <row r="73" spans="2:44" x14ac:dyDescent="0.4">
      <c r="B73">
        <v>38</v>
      </c>
      <c r="C73" s="14">
        <v>0</v>
      </c>
      <c r="D73" s="10" t="s">
        <v>590</v>
      </c>
      <c r="E73" s="10" t="s">
        <v>1651</v>
      </c>
      <c r="V73">
        <v>70</v>
      </c>
      <c r="W73" t="s">
        <v>346</v>
      </c>
      <c r="X73" t="s">
        <v>343</v>
      </c>
      <c r="Y73" t="s">
        <v>347</v>
      </c>
      <c r="AI73">
        <v>38</v>
      </c>
      <c r="AJ73" s="80">
        <v>0</v>
      </c>
      <c r="AK73" s="10" t="s">
        <v>590</v>
      </c>
      <c r="AL73" s="10" t="s">
        <v>592</v>
      </c>
      <c r="AR73" s="4"/>
    </row>
    <row r="74" spans="2:44" x14ac:dyDescent="0.4">
      <c r="B74">
        <v>39</v>
      </c>
      <c r="C74" s="14"/>
      <c r="D74" t="s">
        <v>1206</v>
      </c>
      <c r="E74" s="10" t="s">
        <v>1212</v>
      </c>
      <c r="V74">
        <v>71</v>
      </c>
      <c r="W74" t="s">
        <v>348</v>
      </c>
      <c r="X74" t="s">
        <v>213</v>
      </c>
      <c r="Y74" t="s">
        <v>349</v>
      </c>
      <c r="AI74">
        <v>39</v>
      </c>
      <c r="AJ74" s="80">
        <v>0</v>
      </c>
      <c r="AK74" t="s">
        <v>1206</v>
      </c>
      <c r="AL74" s="10" t="s">
        <v>1212</v>
      </c>
    </row>
    <row r="75" spans="2:44" x14ac:dyDescent="0.4">
      <c r="B75" s="10">
        <v>40</v>
      </c>
      <c r="C75" s="14"/>
      <c r="D75" s="10" t="s">
        <v>1207</v>
      </c>
      <c r="E75" s="10" t="s">
        <v>1213</v>
      </c>
      <c r="V75">
        <v>72</v>
      </c>
      <c r="W75" t="s">
        <v>350</v>
      </c>
      <c r="X75" t="s">
        <v>213</v>
      </c>
      <c r="Y75" t="s">
        <v>351</v>
      </c>
      <c r="AI75">
        <v>40</v>
      </c>
      <c r="AJ75" s="80">
        <v>0</v>
      </c>
      <c r="AK75" t="s">
        <v>1207</v>
      </c>
      <c r="AL75" s="10" t="s">
        <v>1213</v>
      </c>
    </row>
    <row r="76" spans="2:44" x14ac:dyDescent="0.4">
      <c r="B76" s="8">
        <v>41</v>
      </c>
      <c r="C76" s="14">
        <v>1</v>
      </c>
      <c r="D76" s="8" t="s">
        <v>1208</v>
      </c>
      <c r="E76" s="8" t="s">
        <v>1214</v>
      </c>
      <c r="V76">
        <v>73</v>
      </c>
      <c r="W76" t="s">
        <v>352</v>
      </c>
      <c r="X76" t="s">
        <v>282</v>
      </c>
      <c r="Y76" t="s">
        <v>353</v>
      </c>
      <c r="AI76">
        <v>41</v>
      </c>
      <c r="AJ76" s="80">
        <v>0</v>
      </c>
      <c r="AK76" t="s">
        <v>1208</v>
      </c>
      <c r="AL76" s="10" t="s">
        <v>1214</v>
      </c>
    </row>
    <row r="77" spans="2:44" x14ac:dyDescent="0.4">
      <c r="B77" s="8">
        <v>42</v>
      </c>
      <c r="C77" s="14"/>
      <c r="D77" s="8" t="s">
        <v>1209</v>
      </c>
      <c r="E77" s="8" t="s">
        <v>1652</v>
      </c>
      <c r="V77">
        <v>74</v>
      </c>
      <c r="W77" t="s">
        <v>354</v>
      </c>
      <c r="X77" t="s">
        <v>282</v>
      </c>
      <c r="Y77" t="s">
        <v>355</v>
      </c>
      <c r="AI77">
        <v>42</v>
      </c>
      <c r="AJ77" s="80">
        <v>0</v>
      </c>
      <c r="AK77" t="s">
        <v>1209</v>
      </c>
      <c r="AL77" s="10" t="s">
        <v>1215</v>
      </c>
    </row>
    <row r="78" spans="2:44" x14ac:dyDescent="0.4">
      <c r="B78">
        <v>43</v>
      </c>
      <c r="C78" s="14"/>
      <c r="D78" s="10" t="s">
        <v>1647</v>
      </c>
      <c r="E78" s="10" t="s">
        <v>1653</v>
      </c>
      <c r="V78">
        <v>75</v>
      </c>
      <c r="W78" t="s">
        <v>356</v>
      </c>
      <c r="X78" t="s">
        <v>282</v>
      </c>
      <c r="Y78" t="s">
        <v>357</v>
      </c>
      <c r="AI78">
        <v>43</v>
      </c>
      <c r="AJ78" s="80">
        <v>0</v>
      </c>
      <c r="AK78" t="s">
        <v>890</v>
      </c>
      <c r="AL78" s="10" t="s">
        <v>891</v>
      </c>
    </row>
    <row r="79" spans="2:44" x14ac:dyDescent="0.4">
      <c r="B79">
        <v>44</v>
      </c>
      <c r="C79" s="14">
        <v>1</v>
      </c>
      <c r="D79" s="10" t="s">
        <v>1210</v>
      </c>
      <c r="E79" s="10" t="s">
        <v>1216</v>
      </c>
      <c r="V79">
        <v>76</v>
      </c>
      <c r="W79" t="s">
        <v>358</v>
      </c>
      <c r="X79" t="s">
        <v>282</v>
      </c>
      <c r="Y79" t="s">
        <v>359</v>
      </c>
      <c r="AI79">
        <v>44</v>
      </c>
      <c r="AJ79" s="80">
        <v>0</v>
      </c>
      <c r="AK79" t="s">
        <v>1210</v>
      </c>
      <c r="AL79" t="s">
        <v>1216</v>
      </c>
    </row>
    <row r="80" spans="2:44" x14ac:dyDescent="0.4">
      <c r="B80">
        <v>45</v>
      </c>
      <c r="C80" s="14"/>
      <c r="D80" s="10" t="s">
        <v>1211</v>
      </c>
      <c r="E80" s="10" t="s">
        <v>1654</v>
      </c>
      <c r="V80">
        <v>77</v>
      </c>
      <c r="W80" t="s">
        <v>360</v>
      </c>
      <c r="X80" t="s">
        <v>282</v>
      </c>
      <c r="Y80" t="s">
        <v>361</v>
      </c>
      <c r="AI80">
        <v>45</v>
      </c>
      <c r="AJ80" s="80">
        <v>0</v>
      </c>
      <c r="AK80" t="s">
        <v>1211</v>
      </c>
      <c r="AL80" t="s">
        <v>1217</v>
      </c>
    </row>
    <row r="81" spans="1:38" x14ac:dyDescent="0.4">
      <c r="B81">
        <v>46</v>
      </c>
      <c r="C81" s="14"/>
      <c r="D81" s="10" t="s">
        <v>1648</v>
      </c>
      <c r="E81" s="10" t="s">
        <v>1655</v>
      </c>
      <c r="V81">
        <v>78</v>
      </c>
      <c r="W81" t="s">
        <v>362</v>
      </c>
      <c r="X81" t="s">
        <v>261</v>
      </c>
      <c r="Y81" t="s">
        <v>363</v>
      </c>
      <c r="AI81">
        <v>46</v>
      </c>
      <c r="AJ81" s="80">
        <v>0</v>
      </c>
      <c r="AK81" s="41" t="s">
        <v>875</v>
      </c>
    </row>
    <row r="82" spans="1:38" x14ac:dyDescent="0.4">
      <c r="B82">
        <v>47</v>
      </c>
      <c r="C82" s="14"/>
      <c r="D82" s="10" t="s">
        <v>1649</v>
      </c>
      <c r="E82" s="10" t="s">
        <v>1656</v>
      </c>
      <c r="V82">
        <v>79</v>
      </c>
      <c r="W82" t="s">
        <v>364</v>
      </c>
      <c r="X82" t="s">
        <v>213</v>
      </c>
      <c r="Y82" t="s">
        <v>365</v>
      </c>
      <c r="AI82">
        <v>47</v>
      </c>
      <c r="AJ82" s="80">
        <v>0</v>
      </c>
      <c r="AK82" s="41" t="s">
        <v>875</v>
      </c>
    </row>
    <row r="83" spans="1:38" x14ac:dyDescent="0.4">
      <c r="B83">
        <v>48</v>
      </c>
      <c r="C83" s="14"/>
      <c r="D83" s="10" t="s">
        <v>1650</v>
      </c>
      <c r="E83" s="10" t="s">
        <v>1657</v>
      </c>
      <c r="V83">
        <v>80</v>
      </c>
      <c r="W83" t="s">
        <v>366</v>
      </c>
      <c r="X83" t="s">
        <v>282</v>
      </c>
      <c r="Y83" t="s">
        <v>367</v>
      </c>
      <c r="AI83">
        <v>48</v>
      </c>
      <c r="AJ83" s="80">
        <v>0</v>
      </c>
      <c r="AK83" s="41" t="s">
        <v>875</v>
      </c>
    </row>
    <row r="84" spans="1:38" x14ac:dyDescent="0.4">
      <c r="B84">
        <v>49</v>
      </c>
      <c r="C84" s="14"/>
      <c r="D84" s="10" t="s">
        <v>1659</v>
      </c>
      <c r="E84" s="10" t="s">
        <v>1658</v>
      </c>
      <c r="V84">
        <v>81</v>
      </c>
      <c r="W84" t="s">
        <v>368</v>
      </c>
      <c r="X84" t="s">
        <v>282</v>
      </c>
      <c r="Y84" t="s">
        <v>369</v>
      </c>
      <c r="AI84">
        <v>49</v>
      </c>
      <c r="AJ84" s="80">
        <v>0</v>
      </c>
      <c r="AK84" s="41" t="s">
        <v>875</v>
      </c>
    </row>
    <row r="85" spans="1:38" x14ac:dyDescent="0.4">
      <c r="A85" s="183" t="s">
        <v>1589</v>
      </c>
      <c r="B85" s="8">
        <v>50</v>
      </c>
      <c r="C85" s="14">
        <v>0</v>
      </c>
      <c r="D85" s="8" t="s">
        <v>1062</v>
      </c>
      <c r="E85" s="8" t="s">
        <v>1542</v>
      </c>
      <c r="V85">
        <v>82</v>
      </c>
      <c r="W85" t="s">
        <v>370</v>
      </c>
      <c r="X85" t="s">
        <v>282</v>
      </c>
      <c r="Y85" t="s">
        <v>371</v>
      </c>
      <c r="AI85">
        <v>50</v>
      </c>
      <c r="AJ85" s="80">
        <v>0</v>
      </c>
      <c r="AK85" s="10" t="s">
        <v>1062</v>
      </c>
      <c r="AL85" t="s">
        <v>1063</v>
      </c>
    </row>
    <row r="86" spans="1:38" x14ac:dyDescent="0.4">
      <c r="B86">
        <v>51</v>
      </c>
      <c r="C86" s="14"/>
      <c r="D86" s="41" t="s">
        <v>875</v>
      </c>
      <c r="V86">
        <v>83</v>
      </c>
      <c r="W86" t="s">
        <v>372</v>
      </c>
      <c r="X86" t="s">
        <v>213</v>
      </c>
      <c r="Y86" t="s">
        <v>373</v>
      </c>
      <c r="AI86">
        <v>51</v>
      </c>
      <c r="AJ86" s="80">
        <v>0</v>
      </c>
      <c r="AK86" s="41" t="s">
        <v>875</v>
      </c>
    </row>
    <row r="87" spans="1:38" x14ac:dyDescent="0.4">
      <c r="B87">
        <v>52</v>
      </c>
      <c r="C87" s="14"/>
      <c r="D87" s="41" t="s">
        <v>875</v>
      </c>
      <c r="V87">
        <v>84</v>
      </c>
      <c r="W87" t="s">
        <v>374</v>
      </c>
      <c r="X87" t="s">
        <v>282</v>
      </c>
      <c r="Y87" t="s">
        <v>375</v>
      </c>
      <c r="AI87">
        <v>52</v>
      </c>
      <c r="AJ87" s="80">
        <v>0</v>
      </c>
      <c r="AK87" s="41" t="s">
        <v>875</v>
      </c>
    </row>
    <row r="88" spans="1:38" x14ac:dyDescent="0.4">
      <c r="B88">
        <v>53</v>
      </c>
      <c r="C88" s="14"/>
      <c r="D88" s="41" t="s">
        <v>875</v>
      </c>
      <c r="V88">
        <v>85</v>
      </c>
      <c r="W88" t="s">
        <v>376</v>
      </c>
      <c r="X88" t="s">
        <v>213</v>
      </c>
      <c r="Y88" t="s">
        <v>377</v>
      </c>
      <c r="AI88">
        <v>53</v>
      </c>
      <c r="AJ88" s="80">
        <v>0</v>
      </c>
      <c r="AK88" s="41" t="s">
        <v>875</v>
      </c>
    </row>
    <row r="89" spans="1:38" x14ac:dyDescent="0.4">
      <c r="B89">
        <v>54</v>
      </c>
      <c r="C89" s="14"/>
      <c r="D89" s="41" t="s">
        <v>875</v>
      </c>
      <c r="V89">
        <v>86</v>
      </c>
      <c r="W89" t="s">
        <v>378</v>
      </c>
      <c r="X89" t="s">
        <v>213</v>
      </c>
      <c r="Y89" t="s">
        <v>379</v>
      </c>
      <c r="AI89">
        <v>54</v>
      </c>
      <c r="AJ89" s="80">
        <v>0</v>
      </c>
      <c r="AK89" s="41" t="s">
        <v>875</v>
      </c>
    </row>
    <row r="90" spans="1:38" x14ac:dyDescent="0.4">
      <c r="B90">
        <v>55</v>
      </c>
      <c r="C90" s="14"/>
      <c r="D90" s="41" t="s">
        <v>875</v>
      </c>
      <c r="V90">
        <v>87</v>
      </c>
      <c r="W90" t="s">
        <v>380</v>
      </c>
      <c r="X90" t="s">
        <v>213</v>
      </c>
      <c r="Y90" t="s">
        <v>381</v>
      </c>
      <c r="AI90">
        <v>55</v>
      </c>
      <c r="AJ90" s="80">
        <v>0</v>
      </c>
      <c r="AK90" s="41" t="s">
        <v>875</v>
      </c>
    </row>
    <row r="91" spans="1:38" x14ac:dyDescent="0.4">
      <c r="B91">
        <v>56</v>
      </c>
      <c r="C91" s="14"/>
      <c r="D91" s="41" t="s">
        <v>875</v>
      </c>
      <c r="V91">
        <v>88</v>
      </c>
      <c r="W91" t="s">
        <v>382</v>
      </c>
      <c r="X91" t="s">
        <v>282</v>
      </c>
      <c r="Y91" t="s">
        <v>383</v>
      </c>
      <c r="AI91">
        <v>56</v>
      </c>
      <c r="AJ91" s="80">
        <v>0</v>
      </c>
      <c r="AK91" s="41" t="s">
        <v>875</v>
      </c>
    </row>
    <row r="92" spans="1:38" x14ac:dyDescent="0.4">
      <c r="B92">
        <v>57</v>
      </c>
      <c r="C92" s="14"/>
      <c r="D92" s="41" t="s">
        <v>875</v>
      </c>
      <c r="V92">
        <v>89</v>
      </c>
      <c r="W92" t="s">
        <v>384</v>
      </c>
      <c r="X92" t="s">
        <v>282</v>
      </c>
      <c r="Y92" t="s">
        <v>385</v>
      </c>
      <c r="AI92">
        <v>57</v>
      </c>
      <c r="AJ92" s="80">
        <v>0</v>
      </c>
      <c r="AK92" s="41" t="s">
        <v>875</v>
      </c>
    </row>
    <row r="93" spans="1:38" x14ac:dyDescent="0.4">
      <c r="B93">
        <v>58</v>
      </c>
      <c r="C93" s="14"/>
      <c r="D93" s="41" t="s">
        <v>875</v>
      </c>
      <c r="V93">
        <v>90</v>
      </c>
      <c r="W93" t="s">
        <v>386</v>
      </c>
      <c r="X93" t="s">
        <v>282</v>
      </c>
      <c r="Y93" t="s">
        <v>387</v>
      </c>
      <c r="AI93">
        <v>58</v>
      </c>
      <c r="AJ93" s="80">
        <v>0</v>
      </c>
      <c r="AK93" s="41" t="s">
        <v>875</v>
      </c>
    </row>
    <row r="94" spans="1:38" x14ac:dyDescent="0.4">
      <c r="B94">
        <v>59</v>
      </c>
      <c r="C94" s="14"/>
      <c r="D94" s="41" t="s">
        <v>875</v>
      </c>
      <c r="V94">
        <v>91</v>
      </c>
      <c r="W94" t="s">
        <v>1545</v>
      </c>
      <c r="X94" s="8" t="s">
        <v>282</v>
      </c>
      <c r="Y94" s="8" t="s">
        <v>388</v>
      </c>
      <c r="AI94">
        <v>59</v>
      </c>
      <c r="AJ94" s="80">
        <v>0</v>
      </c>
      <c r="AK94" s="41" t="s">
        <v>875</v>
      </c>
    </row>
    <row r="95" spans="1:38" x14ac:dyDescent="0.4">
      <c r="B95">
        <v>60</v>
      </c>
      <c r="C95" s="14"/>
      <c r="D95" s="41" t="s">
        <v>875</v>
      </c>
      <c r="V95">
        <v>92</v>
      </c>
      <c r="W95" t="s">
        <v>389</v>
      </c>
      <c r="X95" t="s">
        <v>282</v>
      </c>
      <c r="Y95" t="s">
        <v>390</v>
      </c>
      <c r="AI95">
        <v>60</v>
      </c>
      <c r="AJ95" s="80">
        <v>0</v>
      </c>
      <c r="AK95" s="41" t="s">
        <v>875</v>
      </c>
    </row>
    <row r="96" spans="1:38" x14ac:dyDescent="0.4">
      <c r="C96" s="14"/>
      <c r="V96">
        <v>93</v>
      </c>
      <c r="W96" t="s">
        <v>391</v>
      </c>
      <c r="X96" t="s">
        <v>282</v>
      </c>
      <c r="Y96" t="s">
        <v>392</v>
      </c>
      <c r="AJ96" s="14"/>
    </row>
    <row r="97" spans="1:36" x14ac:dyDescent="0.4">
      <c r="V97">
        <v>94</v>
      </c>
      <c r="W97" t="s">
        <v>393</v>
      </c>
      <c r="X97" t="s">
        <v>282</v>
      </c>
      <c r="Y97" t="s">
        <v>394</v>
      </c>
      <c r="AJ97" s="14"/>
    </row>
    <row r="98" spans="1:36" x14ac:dyDescent="0.4">
      <c r="V98">
        <v>95</v>
      </c>
      <c r="W98" t="s">
        <v>395</v>
      </c>
      <c r="X98" t="s">
        <v>238</v>
      </c>
      <c r="Y98" t="s">
        <v>396</v>
      </c>
      <c r="AJ98" s="14"/>
    </row>
    <row r="99" spans="1:36" x14ac:dyDescent="0.4">
      <c r="A99" s="180"/>
      <c r="B99" s="180"/>
      <c r="C99" s="180"/>
      <c r="D99" s="180"/>
      <c r="E99" s="180"/>
      <c r="F99" s="180"/>
      <c r="G99" s="180"/>
      <c r="H99" s="180"/>
      <c r="I99" s="180"/>
      <c r="J99" s="180"/>
      <c r="K99" s="180"/>
      <c r="L99" s="180"/>
      <c r="M99" s="180"/>
      <c r="N99" s="180"/>
      <c r="O99" s="180"/>
      <c r="P99" s="180"/>
      <c r="Q99" s="180"/>
      <c r="R99" s="180"/>
      <c r="S99" s="180"/>
      <c r="T99" s="180"/>
      <c r="V99">
        <v>96</v>
      </c>
      <c r="W99" t="s">
        <v>397</v>
      </c>
      <c r="X99" t="s">
        <v>282</v>
      </c>
      <c r="Y99" t="s">
        <v>398</v>
      </c>
      <c r="AJ99" s="14"/>
    </row>
    <row r="100" spans="1:36" x14ac:dyDescent="0.4">
      <c r="A100" s="79"/>
      <c r="B100" s="79"/>
      <c r="C100" s="79"/>
      <c r="D100" s="79"/>
      <c r="E100" s="79"/>
      <c r="F100" s="79"/>
      <c r="G100" s="79"/>
      <c r="H100" s="79"/>
      <c r="I100" s="79"/>
      <c r="J100" s="79"/>
      <c r="K100" s="79"/>
      <c r="L100" s="79"/>
      <c r="M100" s="79"/>
      <c r="N100" s="79"/>
      <c r="O100" s="79"/>
      <c r="P100" s="79"/>
      <c r="Q100" s="79"/>
      <c r="R100" s="79"/>
      <c r="S100" s="79"/>
      <c r="T100" s="79"/>
      <c r="U100" s="15"/>
      <c r="V100">
        <v>97</v>
      </c>
      <c r="W100" t="s">
        <v>399</v>
      </c>
      <c r="X100" t="s">
        <v>213</v>
      </c>
      <c r="Y100" t="s">
        <v>400</v>
      </c>
      <c r="AJ100" s="14"/>
    </row>
    <row r="101" spans="1:36" x14ac:dyDescent="0.4">
      <c r="A101" s="180"/>
      <c r="B101" s="180"/>
      <c r="C101" s="180"/>
      <c r="D101" s="180"/>
      <c r="E101" s="180"/>
      <c r="F101" s="180"/>
      <c r="G101" s="180"/>
      <c r="H101" s="180"/>
      <c r="I101" s="180"/>
      <c r="J101" s="180"/>
      <c r="K101" s="180"/>
      <c r="L101" s="180"/>
      <c r="M101" s="180"/>
      <c r="N101" s="180"/>
      <c r="O101" s="180"/>
      <c r="P101" s="180"/>
      <c r="Q101" s="180"/>
      <c r="R101" s="180"/>
      <c r="S101" s="180"/>
      <c r="T101" s="180"/>
      <c r="V101">
        <v>98</v>
      </c>
      <c r="W101" t="s">
        <v>401</v>
      </c>
      <c r="X101" t="s">
        <v>403</v>
      </c>
      <c r="Y101" t="s">
        <v>402</v>
      </c>
      <c r="AJ101" s="14"/>
    </row>
    <row r="102" spans="1:36" x14ac:dyDescent="0.4">
      <c r="A102" s="79"/>
      <c r="B102" s="79"/>
      <c r="C102" s="79"/>
      <c r="D102" s="79"/>
      <c r="E102" s="79"/>
      <c r="F102" s="79"/>
      <c r="G102" s="79"/>
      <c r="H102" s="79"/>
      <c r="I102" s="79"/>
      <c r="J102" s="79"/>
      <c r="K102" s="79"/>
      <c r="L102" s="79"/>
      <c r="M102" s="79"/>
      <c r="N102" s="79"/>
      <c r="O102" s="79"/>
      <c r="P102" s="79"/>
      <c r="Q102" s="79"/>
      <c r="R102" s="79"/>
      <c r="S102" s="79"/>
      <c r="T102" s="79"/>
      <c r="U102" s="15"/>
      <c r="V102">
        <v>99</v>
      </c>
      <c r="W102" t="s">
        <v>189</v>
      </c>
      <c r="Y102" t="s">
        <v>404</v>
      </c>
      <c r="AJ102" s="14"/>
    </row>
    <row r="103" spans="1:36" x14ac:dyDescent="0.4">
      <c r="A103" s="180"/>
      <c r="B103" s="180"/>
      <c r="C103" s="180"/>
      <c r="D103" s="180"/>
      <c r="E103" s="180"/>
      <c r="F103" s="180"/>
      <c r="G103" s="180"/>
      <c r="H103" s="180"/>
      <c r="I103" s="180"/>
      <c r="J103" s="180"/>
      <c r="K103" s="180"/>
      <c r="L103" s="180"/>
      <c r="M103" s="180"/>
      <c r="N103" s="180"/>
      <c r="O103" s="180"/>
      <c r="P103" s="180"/>
      <c r="Q103" s="180"/>
      <c r="R103" s="180"/>
      <c r="S103" s="180"/>
      <c r="T103" s="180"/>
      <c r="V103">
        <v>100</v>
      </c>
      <c r="W103" t="s">
        <v>405</v>
      </c>
      <c r="X103" t="s">
        <v>213</v>
      </c>
      <c r="Y103" t="s">
        <v>212</v>
      </c>
      <c r="AJ103" s="14"/>
    </row>
    <row r="104" spans="1:36" x14ac:dyDescent="0.4">
      <c r="A104" s="79"/>
      <c r="B104" s="79"/>
      <c r="C104" s="79"/>
      <c r="D104" s="79"/>
      <c r="E104" s="79"/>
      <c r="F104" s="79"/>
      <c r="G104" s="79"/>
      <c r="H104" s="79"/>
      <c r="I104" s="79"/>
      <c r="J104" s="79"/>
      <c r="K104" s="79"/>
      <c r="L104" s="79"/>
      <c r="M104" s="79"/>
      <c r="N104" s="79"/>
      <c r="O104" s="79"/>
      <c r="P104" s="79"/>
      <c r="Q104" s="79"/>
      <c r="R104" s="79"/>
      <c r="S104" s="79"/>
      <c r="T104" s="79"/>
      <c r="U104" s="15"/>
      <c r="V104">
        <v>101</v>
      </c>
      <c r="W104" t="s">
        <v>406</v>
      </c>
      <c r="X104" t="s">
        <v>282</v>
      </c>
      <c r="Y104" t="s">
        <v>407</v>
      </c>
      <c r="AJ104" s="14"/>
    </row>
    <row r="105" spans="1:36" x14ac:dyDescent="0.4">
      <c r="A105" s="180"/>
      <c r="B105" s="180"/>
      <c r="C105" s="180"/>
      <c r="D105" s="180"/>
      <c r="E105" s="180"/>
      <c r="F105" s="180"/>
      <c r="G105" s="180"/>
      <c r="H105" s="180"/>
      <c r="I105" s="180"/>
      <c r="J105" s="180"/>
      <c r="K105" s="180"/>
      <c r="L105" s="180"/>
      <c r="M105" s="180"/>
      <c r="N105" s="180"/>
      <c r="O105" s="180"/>
      <c r="P105" s="180"/>
      <c r="Q105" s="180"/>
      <c r="R105" s="180"/>
      <c r="S105" s="180"/>
      <c r="T105" s="180"/>
      <c r="V105">
        <v>102</v>
      </c>
      <c r="W105" t="s">
        <v>408</v>
      </c>
      <c r="X105" t="s">
        <v>282</v>
      </c>
      <c r="Y105" t="s">
        <v>409</v>
      </c>
      <c r="AJ105" s="14"/>
    </row>
    <row r="106" spans="1:36" x14ac:dyDescent="0.4">
      <c r="A106" s="79"/>
      <c r="B106" s="79"/>
      <c r="C106" s="79"/>
      <c r="D106" s="79"/>
      <c r="E106" s="79"/>
      <c r="F106" s="79"/>
      <c r="G106" s="79"/>
      <c r="H106" s="79"/>
      <c r="I106" s="79"/>
      <c r="J106" s="79"/>
      <c r="K106" s="79"/>
      <c r="L106" s="79"/>
      <c r="M106" s="79"/>
      <c r="N106" s="79"/>
      <c r="O106" s="79"/>
      <c r="P106" s="79"/>
      <c r="Q106" s="79"/>
      <c r="R106" s="79"/>
      <c r="S106" s="79"/>
      <c r="T106" s="79"/>
      <c r="U106" s="15"/>
      <c r="V106">
        <v>103</v>
      </c>
      <c r="W106" t="s">
        <v>410</v>
      </c>
      <c r="X106" t="s">
        <v>261</v>
      </c>
      <c r="Y106" t="s">
        <v>411</v>
      </c>
      <c r="AJ106" s="14"/>
    </row>
    <row r="107" spans="1:36" x14ac:dyDescent="0.4">
      <c r="A107" s="180"/>
      <c r="B107" s="180"/>
      <c r="C107" s="180"/>
      <c r="D107" s="180"/>
      <c r="E107" s="180"/>
      <c r="F107" s="180"/>
      <c r="G107" s="180"/>
      <c r="H107" s="180"/>
      <c r="I107" s="180"/>
      <c r="J107" s="180"/>
      <c r="K107" s="180"/>
      <c r="L107" s="180"/>
      <c r="M107" s="180"/>
      <c r="N107" s="180"/>
      <c r="O107" s="180"/>
      <c r="P107" s="180"/>
      <c r="Q107" s="180"/>
      <c r="R107" s="180"/>
      <c r="S107" s="180"/>
      <c r="T107" s="180"/>
      <c r="V107">
        <v>104</v>
      </c>
      <c r="W107" t="s">
        <v>412</v>
      </c>
      <c r="X107" t="s">
        <v>213</v>
      </c>
      <c r="Y107" t="s">
        <v>413</v>
      </c>
      <c r="AJ107" s="14"/>
    </row>
    <row r="108" spans="1:36" x14ac:dyDescent="0.4">
      <c r="A108" s="79"/>
      <c r="B108" s="79"/>
      <c r="C108" s="79"/>
      <c r="D108" s="79"/>
      <c r="E108" s="79"/>
      <c r="F108" s="79"/>
      <c r="G108" s="79"/>
      <c r="H108" s="79"/>
      <c r="I108" s="79"/>
      <c r="J108" s="79"/>
      <c r="K108" s="79"/>
      <c r="L108" s="79"/>
      <c r="M108" s="79"/>
      <c r="N108" s="79"/>
      <c r="O108" s="79"/>
      <c r="P108" s="79"/>
      <c r="Q108" s="79"/>
      <c r="R108" s="79"/>
      <c r="S108" s="79"/>
      <c r="T108" s="79"/>
      <c r="U108" s="15"/>
      <c r="V108">
        <v>105</v>
      </c>
      <c r="W108" t="s">
        <v>414</v>
      </c>
      <c r="X108" t="s">
        <v>282</v>
      </c>
      <c r="Y108" t="s">
        <v>415</v>
      </c>
      <c r="AJ108" s="14"/>
    </row>
    <row r="109" spans="1:36" x14ac:dyDescent="0.4">
      <c r="A109" s="180"/>
      <c r="B109" s="180"/>
      <c r="C109" s="180"/>
      <c r="D109" s="180"/>
      <c r="E109" s="180"/>
      <c r="F109" s="180"/>
      <c r="G109" s="180"/>
      <c r="H109" s="180"/>
      <c r="I109" s="180"/>
      <c r="J109" s="180"/>
      <c r="K109" s="180"/>
      <c r="L109" s="180"/>
      <c r="M109" s="180"/>
      <c r="N109" s="180"/>
      <c r="O109" s="180"/>
      <c r="P109" s="180"/>
      <c r="Q109" s="180"/>
      <c r="R109" s="180"/>
      <c r="S109" s="180"/>
      <c r="T109" s="180"/>
      <c r="V109">
        <v>106</v>
      </c>
      <c r="W109" t="s">
        <v>416</v>
      </c>
      <c r="X109" t="s">
        <v>282</v>
      </c>
      <c r="Y109" t="s">
        <v>417</v>
      </c>
      <c r="AJ109" s="14"/>
    </row>
    <row r="110" spans="1:36" x14ac:dyDescent="0.4">
      <c r="A110" s="79"/>
      <c r="B110" s="79"/>
      <c r="C110" s="79"/>
      <c r="D110" s="79"/>
      <c r="E110" s="79"/>
      <c r="F110" s="79"/>
      <c r="G110" s="79"/>
      <c r="H110" s="79"/>
      <c r="I110" s="79"/>
      <c r="J110" s="79"/>
      <c r="K110" s="79"/>
      <c r="L110" s="79"/>
      <c r="M110" s="79"/>
      <c r="N110" s="79"/>
      <c r="O110" s="79"/>
      <c r="P110" s="79"/>
      <c r="Q110" s="79"/>
      <c r="R110" s="79"/>
      <c r="S110" s="79"/>
      <c r="T110" s="79"/>
      <c r="U110" s="15"/>
      <c r="V110">
        <v>107</v>
      </c>
      <c r="W110" t="s">
        <v>418</v>
      </c>
      <c r="X110" t="s">
        <v>261</v>
      </c>
      <c r="Y110" t="s">
        <v>419</v>
      </c>
      <c r="AJ110" s="14"/>
    </row>
    <row r="111" spans="1:36" x14ac:dyDescent="0.4">
      <c r="A111" s="180"/>
      <c r="B111" s="180"/>
      <c r="C111" s="180"/>
      <c r="D111" s="180"/>
      <c r="E111" s="180"/>
      <c r="F111" s="180"/>
      <c r="G111" s="180"/>
      <c r="H111" s="180"/>
      <c r="I111" s="180"/>
      <c r="J111" s="180"/>
      <c r="K111" s="180"/>
      <c r="L111" s="180"/>
      <c r="M111" s="180"/>
      <c r="N111" s="180"/>
      <c r="O111" s="180"/>
      <c r="P111" s="180"/>
      <c r="Q111" s="180"/>
      <c r="R111" s="180"/>
      <c r="S111" s="180"/>
      <c r="T111" s="180"/>
      <c r="V111">
        <v>108</v>
      </c>
      <c r="W111" t="s">
        <v>420</v>
      </c>
      <c r="X111" t="s">
        <v>282</v>
      </c>
      <c r="Y111" t="s">
        <v>421</v>
      </c>
      <c r="AJ111" s="14"/>
    </row>
    <row r="112" spans="1:36" x14ac:dyDescent="0.4">
      <c r="A112" s="79"/>
      <c r="B112" s="79"/>
      <c r="C112" s="79"/>
      <c r="D112" s="79"/>
      <c r="E112" s="79"/>
      <c r="F112" s="79"/>
      <c r="G112" s="79"/>
      <c r="H112" s="79"/>
      <c r="I112" s="79"/>
      <c r="J112" s="79"/>
      <c r="K112" s="79"/>
      <c r="L112" s="79"/>
      <c r="M112" s="79"/>
      <c r="N112" s="79"/>
      <c r="O112" s="79"/>
      <c r="P112" s="79"/>
      <c r="Q112" s="79"/>
      <c r="R112" s="79"/>
      <c r="S112" s="79"/>
      <c r="T112" s="79"/>
      <c r="U112" s="15"/>
      <c r="V112">
        <v>109</v>
      </c>
      <c r="W112" t="s">
        <v>422</v>
      </c>
      <c r="X112" t="s">
        <v>282</v>
      </c>
      <c r="Y112" t="s">
        <v>423</v>
      </c>
      <c r="AJ112" s="14"/>
    </row>
    <row r="113" spans="1:36" x14ac:dyDescent="0.4">
      <c r="A113" s="180"/>
      <c r="B113" s="180"/>
      <c r="C113" s="180"/>
      <c r="D113" s="180"/>
      <c r="E113" s="180"/>
      <c r="F113" s="180"/>
      <c r="G113" s="180"/>
      <c r="H113" s="180"/>
      <c r="I113" s="181"/>
      <c r="J113" s="181"/>
      <c r="K113" s="181"/>
      <c r="L113" s="181"/>
      <c r="M113" s="181"/>
      <c r="N113" s="181"/>
      <c r="O113" s="181"/>
      <c r="P113" s="181"/>
      <c r="Q113" s="181"/>
      <c r="R113" s="181"/>
      <c r="S113" s="181"/>
      <c r="T113" s="181"/>
      <c r="V113">
        <v>110</v>
      </c>
      <c r="W113" t="s">
        <v>424</v>
      </c>
      <c r="X113" t="s">
        <v>213</v>
      </c>
      <c r="Y113" t="s">
        <v>425</v>
      </c>
      <c r="AJ113" s="14"/>
    </row>
    <row r="114" spans="1:36" x14ac:dyDescent="0.4">
      <c r="A114" s="79"/>
      <c r="B114" s="79"/>
      <c r="C114" s="79"/>
      <c r="D114" s="79"/>
      <c r="E114" s="79"/>
      <c r="F114" s="79"/>
      <c r="G114" s="79"/>
      <c r="H114" s="79"/>
      <c r="I114" s="79"/>
      <c r="J114" s="79"/>
      <c r="K114" s="79"/>
      <c r="L114" s="79"/>
      <c r="M114" s="79"/>
      <c r="N114" s="79"/>
      <c r="O114" s="79"/>
      <c r="P114" s="79"/>
      <c r="Q114" s="79"/>
      <c r="R114" s="79"/>
      <c r="S114" s="79"/>
      <c r="T114" s="79"/>
      <c r="U114" s="15"/>
      <c r="V114">
        <v>111</v>
      </c>
      <c r="W114" t="s">
        <v>426</v>
      </c>
      <c r="X114" t="s">
        <v>428</v>
      </c>
      <c r="Y114" t="s">
        <v>427</v>
      </c>
      <c r="AJ114" s="14"/>
    </row>
    <row r="115" spans="1:36" x14ac:dyDescent="0.4">
      <c r="C115" s="14"/>
      <c r="V115">
        <v>112</v>
      </c>
      <c r="W115" t="s">
        <v>429</v>
      </c>
      <c r="X115" t="s">
        <v>431</v>
      </c>
      <c r="Y115" t="s">
        <v>430</v>
      </c>
      <c r="AJ115" s="14"/>
    </row>
    <row r="116" spans="1:36" x14ac:dyDescent="0.4">
      <c r="C116" s="14"/>
      <c r="V116">
        <v>113</v>
      </c>
      <c r="W116" t="s">
        <v>432</v>
      </c>
      <c r="X116" t="s">
        <v>282</v>
      </c>
      <c r="Y116" t="s">
        <v>433</v>
      </c>
      <c r="AJ116" s="14"/>
    </row>
    <row r="117" spans="1:36" x14ac:dyDescent="0.4">
      <c r="C117" s="14"/>
      <c r="V117">
        <v>114</v>
      </c>
      <c r="W117" t="s">
        <v>434</v>
      </c>
      <c r="X117" t="s">
        <v>282</v>
      </c>
      <c r="Y117" t="s">
        <v>435</v>
      </c>
      <c r="AJ117" s="14"/>
    </row>
    <row r="118" spans="1:36" x14ac:dyDescent="0.4">
      <c r="C118" s="14"/>
      <c r="V118">
        <v>115</v>
      </c>
      <c r="W118" t="s">
        <v>436</v>
      </c>
      <c r="X118" t="s">
        <v>282</v>
      </c>
      <c r="Y118" t="s">
        <v>437</v>
      </c>
      <c r="AJ118" s="14"/>
    </row>
    <row r="119" spans="1:36" x14ac:dyDescent="0.4">
      <c r="C119" s="14"/>
      <c r="V119">
        <v>116</v>
      </c>
      <c r="W119" t="s">
        <v>438</v>
      </c>
      <c r="X119" t="s">
        <v>282</v>
      </c>
      <c r="Y119" t="s">
        <v>439</v>
      </c>
      <c r="AJ119" s="14"/>
    </row>
    <row r="120" spans="1:36" x14ac:dyDescent="0.4">
      <c r="C120" s="14"/>
      <c r="V120">
        <v>117</v>
      </c>
      <c r="W120" s="1" t="s">
        <v>440</v>
      </c>
      <c r="X120" t="s">
        <v>213</v>
      </c>
      <c r="Y120" t="s">
        <v>441</v>
      </c>
      <c r="AJ120" s="14"/>
    </row>
    <row r="121" spans="1:36" x14ac:dyDescent="0.4">
      <c r="C121" s="14"/>
      <c r="V121">
        <v>118</v>
      </c>
      <c r="W121" t="s">
        <v>442</v>
      </c>
      <c r="X121" t="s">
        <v>282</v>
      </c>
      <c r="Y121" t="s">
        <v>443</v>
      </c>
      <c r="AJ121" s="14"/>
    </row>
    <row r="122" spans="1:36" x14ac:dyDescent="0.4">
      <c r="C122" s="14"/>
      <c r="V122">
        <v>119</v>
      </c>
      <c r="W122" t="s">
        <v>444</v>
      </c>
      <c r="X122" t="s">
        <v>282</v>
      </c>
      <c r="Y122" t="s">
        <v>445</v>
      </c>
      <c r="AJ122" s="14"/>
    </row>
    <row r="123" spans="1:36" x14ac:dyDescent="0.4">
      <c r="C123" s="14"/>
      <c r="V123">
        <v>120</v>
      </c>
      <c r="W123" t="s">
        <v>446</v>
      </c>
      <c r="X123" t="s">
        <v>213</v>
      </c>
      <c r="Y123" t="s">
        <v>447</v>
      </c>
      <c r="AJ123" s="14"/>
    </row>
    <row r="124" spans="1:36" x14ac:dyDescent="0.4">
      <c r="C124" s="14"/>
      <c r="V124">
        <v>121</v>
      </c>
      <c r="W124" t="s">
        <v>448</v>
      </c>
      <c r="X124" t="s">
        <v>450</v>
      </c>
      <c r="Y124" t="s">
        <v>449</v>
      </c>
      <c r="AJ124" s="14"/>
    </row>
    <row r="125" spans="1:36" x14ac:dyDescent="0.4">
      <c r="C125" s="14"/>
      <c r="V125">
        <v>122</v>
      </c>
      <c r="W125" t="s">
        <v>451</v>
      </c>
      <c r="X125" t="s">
        <v>453</v>
      </c>
      <c r="Y125" t="s">
        <v>452</v>
      </c>
      <c r="AJ125" s="14"/>
    </row>
    <row r="126" spans="1:36" x14ac:dyDescent="0.4">
      <c r="C126" s="14"/>
      <c r="V126">
        <v>123</v>
      </c>
      <c r="W126" t="s">
        <v>454</v>
      </c>
      <c r="X126" t="s">
        <v>453</v>
      </c>
      <c r="Y126" t="s">
        <v>455</v>
      </c>
      <c r="AJ126" s="14"/>
    </row>
    <row r="127" spans="1:36" x14ac:dyDescent="0.4">
      <c r="C127" s="14"/>
      <c r="V127">
        <v>124</v>
      </c>
      <c r="W127" t="s">
        <v>456</v>
      </c>
      <c r="X127" t="s">
        <v>261</v>
      </c>
      <c r="Y127" t="s">
        <v>457</v>
      </c>
      <c r="AJ127" s="14"/>
    </row>
    <row r="128" spans="1:36" ht="15" x14ac:dyDescent="0.4">
      <c r="C128" s="14"/>
      <c r="V128">
        <v>125</v>
      </c>
      <c r="W128" t="s">
        <v>458</v>
      </c>
      <c r="X128" t="s">
        <v>460</v>
      </c>
      <c r="Y128" t="s">
        <v>459</v>
      </c>
      <c r="AJ128" s="14"/>
    </row>
    <row r="129" spans="3:36" ht="15" x14ac:dyDescent="0.4">
      <c r="C129" s="14"/>
      <c r="V129">
        <v>126</v>
      </c>
      <c r="W129" t="s">
        <v>461</v>
      </c>
      <c r="X129" t="s">
        <v>460</v>
      </c>
      <c r="Y129" t="s">
        <v>336</v>
      </c>
      <c r="AJ129" s="14"/>
    </row>
    <row r="130" spans="3:36" ht="15" x14ac:dyDescent="0.4">
      <c r="C130" s="14"/>
      <c r="V130">
        <v>127</v>
      </c>
      <c r="W130" t="s">
        <v>462</v>
      </c>
      <c r="X130" t="s">
        <v>460</v>
      </c>
      <c r="Y130" t="s">
        <v>463</v>
      </c>
      <c r="AJ130" s="14"/>
    </row>
    <row r="131" spans="3:36" x14ac:dyDescent="0.4">
      <c r="C131" s="14"/>
      <c r="V131">
        <v>128</v>
      </c>
      <c r="W131" t="s">
        <v>464</v>
      </c>
      <c r="X131" t="s">
        <v>282</v>
      </c>
      <c r="Y131" t="s">
        <v>465</v>
      </c>
      <c r="AJ131" s="14"/>
    </row>
    <row r="132" spans="3:36" x14ac:dyDescent="0.4">
      <c r="C132" s="14"/>
      <c r="V132">
        <v>129</v>
      </c>
      <c r="W132" t="s">
        <v>466</v>
      </c>
      <c r="X132" t="s">
        <v>282</v>
      </c>
      <c r="Y132" t="s">
        <v>467</v>
      </c>
      <c r="AJ132" s="14"/>
    </row>
    <row r="133" spans="3:36" x14ac:dyDescent="0.4">
      <c r="C133" s="14"/>
      <c r="V133">
        <v>130</v>
      </c>
      <c r="W133" t="s">
        <v>468</v>
      </c>
      <c r="X133" t="s">
        <v>282</v>
      </c>
      <c r="Y133" t="s">
        <v>469</v>
      </c>
      <c r="AJ133" s="14"/>
    </row>
    <row r="134" spans="3:36" x14ac:dyDescent="0.4">
      <c r="C134" s="14"/>
      <c r="V134">
        <v>131</v>
      </c>
      <c r="W134" t="s">
        <v>470</v>
      </c>
      <c r="X134" t="s">
        <v>282</v>
      </c>
      <c r="Y134" t="s">
        <v>471</v>
      </c>
      <c r="AJ134" s="14"/>
    </row>
    <row r="135" spans="3:36" x14ac:dyDescent="0.4">
      <c r="C135" s="14"/>
      <c r="V135">
        <v>132</v>
      </c>
      <c r="W135" t="s">
        <v>472</v>
      </c>
      <c r="X135" t="s">
        <v>282</v>
      </c>
      <c r="Y135" t="s">
        <v>473</v>
      </c>
      <c r="AJ135" s="14"/>
    </row>
    <row r="136" spans="3:36" x14ac:dyDescent="0.4">
      <c r="C136" s="14"/>
      <c r="V136">
        <v>133</v>
      </c>
      <c r="W136" t="s">
        <v>474</v>
      </c>
      <c r="X136" t="s">
        <v>282</v>
      </c>
      <c r="Y136" t="s">
        <v>475</v>
      </c>
      <c r="AJ136" s="14"/>
    </row>
    <row r="137" spans="3:36" x14ac:dyDescent="0.4">
      <c r="C137" s="14"/>
      <c r="V137">
        <v>134</v>
      </c>
      <c r="W137" t="s">
        <v>476</v>
      </c>
      <c r="X137" t="s">
        <v>282</v>
      </c>
      <c r="Y137" t="s">
        <v>477</v>
      </c>
      <c r="AJ137" s="14"/>
    </row>
    <row r="138" spans="3:36" x14ac:dyDescent="0.4">
      <c r="C138" s="14"/>
      <c r="V138">
        <v>135</v>
      </c>
      <c r="W138" t="s">
        <v>478</v>
      </c>
      <c r="X138" t="s">
        <v>282</v>
      </c>
      <c r="Y138" t="s">
        <v>479</v>
      </c>
      <c r="AJ138" s="14"/>
    </row>
    <row r="139" spans="3:36" x14ac:dyDescent="0.4">
      <c r="C139" s="14"/>
      <c r="V139">
        <v>136</v>
      </c>
      <c r="W139" t="s">
        <v>480</v>
      </c>
      <c r="X139" t="s">
        <v>282</v>
      </c>
      <c r="Y139" t="s">
        <v>481</v>
      </c>
      <c r="AJ139" s="14"/>
    </row>
    <row r="140" spans="3:36" x14ac:dyDescent="0.4">
      <c r="C140" s="14"/>
      <c r="V140">
        <v>137</v>
      </c>
      <c r="W140" t="s">
        <v>482</v>
      </c>
      <c r="X140" t="s">
        <v>282</v>
      </c>
      <c r="Y140" t="s">
        <v>483</v>
      </c>
      <c r="AJ140" s="14"/>
    </row>
    <row r="141" spans="3:36" x14ac:dyDescent="0.4">
      <c r="C141" s="14"/>
      <c r="V141">
        <v>138</v>
      </c>
      <c r="W141" t="s">
        <v>484</v>
      </c>
      <c r="X141" t="s">
        <v>282</v>
      </c>
      <c r="Y141" t="s">
        <v>485</v>
      </c>
      <c r="AJ141" s="14"/>
    </row>
    <row r="142" spans="3:36" x14ac:dyDescent="0.4">
      <c r="C142" s="14"/>
      <c r="V142">
        <v>139</v>
      </c>
      <c r="W142" t="s">
        <v>486</v>
      </c>
      <c r="X142" t="s">
        <v>261</v>
      </c>
      <c r="Y142" t="s">
        <v>487</v>
      </c>
      <c r="AJ142" s="14"/>
    </row>
    <row r="143" spans="3:36" x14ac:dyDescent="0.4">
      <c r="C143" s="14"/>
      <c r="V143">
        <v>140</v>
      </c>
      <c r="W143" t="s">
        <v>488</v>
      </c>
      <c r="X143" t="s">
        <v>282</v>
      </c>
      <c r="Y143" t="s">
        <v>489</v>
      </c>
      <c r="AJ143" s="14"/>
    </row>
    <row r="144" spans="3:36" x14ac:dyDescent="0.4">
      <c r="C144" s="14"/>
      <c r="V144">
        <v>141</v>
      </c>
      <c r="W144" t="s">
        <v>490</v>
      </c>
      <c r="X144" t="s">
        <v>492</v>
      </c>
      <c r="Y144" t="s">
        <v>491</v>
      </c>
      <c r="AJ144" s="14"/>
    </row>
    <row r="145" spans="3:25" x14ac:dyDescent="0.4">
      <c r="C145" s="14"/>
      <c r="V145">
        <v>142</v>
      </c>
      <c r="W145" t="s">
        <v>493</v>
      </c>
      <c r="X145" t="s">
        <v>282</v>
      </c>
      <c r="Y145" t="s">
        <v>494</v>
      </c>
    </row>
    <row r="146" spans="3:25" x14ac:dyDescent="0.4">
      <c r="C146" s="14"/>
      <c r="V146">
        <v>143</v>
      </c>
      <c r="W146" t="s">
        <v>495</v>
      </c>
      <c r="X146" t="s">
        <v>282</v>
      </c>
      <c r="Y146" t="s">
        <v>496</v>
      </c>
    </row>
    <row r="147" spans="3:25" x14ac:dyDescent="0.4">
      <c r="C147" s="14"/>
      <c r="V147">
        <v>144</v>
      </c>
      <c r="W147" t="s">
        <v>497</v>
      </c>
      <c r="X147" t="s">
        <v>492</v>
      </c>
      <c r="Y147" t="s">
        <v>1193</v>
      </c>
    </row>
    <row r="148" spans="3:25" x14ac:dyDescent="0.4">
      <c r="C148" s="14"/>
      <c r="V148">
        <v>145</v>
      </c>
      <c r="W148" t="s">
        <v>498</v>
      </c>
      <c r="X148" t="s">
        <v>492</v>
      </c>
      <c r="Y148" t="s">
        <v>1194</v>
      </c>
    </row>
    <row r="149" spans="3:25" x14ac:dyDescent="0.4">
      <c r="V149">
        <v>146</v>
      </c>
      <c r="W149" t="s">
        <v>1546</v>
      </c>
      <c r="Y149" t="s">
        <v>1551</v>
      </c>
    </row>
    <row r="150" spans="3:25" x14ac:dyDescent="0.4">
      <c r="V150">
        <v>147</v>
      </c>
      <c r="W150" t="s">
        <v>1547</v>
      </c>
      <c r="Y150" t="s">
        <v>1552</v>
      </c>
    </row>
    <row r="151" spans="3:25" x14ac:dyDescent="0.4">
      <c r="V151" s="122">
        <v>148</v>
      </c>
      <c r="W151" s="122" t="s">
        <v>1548</v>
      </c>
    </row>
    <row r="152" spans="3:25" x14ac:dyDescent="0.4">
      <c r="V152">
        <v>149</v>
      </c>
      <c r="W152" t="s">
        <v>1549</v>
      </c>
      <c r="X152" t="s">
        <v>282</v>
      </c>
      <c r="Y152" t="s">
        <v>1553</v>
      </c>
    </row>
    <row r="153" spans="3:25" x14ac:dyDescent="0.4">
      <c r="V153" s="122">
        <v>150</v>
      </c>
      <c r="W153" s="122" t="s">
        <v>1550</v>
      </c>
    </row>
  </sheetData>
  <mergeCells count="2">
    <mergeCell ref="AG4:AG28"/>
    <mergeCell ref="AH35:AH65"/>
  </mergeCells>
  <pageMargins left="0.7" right="0.7" top="0.75" bottom="0.75" header="0.3" footer="0.3"/>
  <pageSetup orientation="portrait" r:id="rId1"/>
  <drawing r:id="rId2"/>
  <legacyDrawing r:id="rId3"/>
  <controls>
    <mc:AlternateContent xmlns:mc="http://schemas.openxmlformats.org/markup-compatibility/2006">
      <mc:Choice Requires="x14">
        <control shapeId="10249" r:id="rId4" name="cmdWritePrnt">
          <controlPr defaultSize="0" autoLine="0" r:id="rId5">
            <anchor moveWithCells="1">
              <from>
                <xdr:col>8</xdr:col>
                <xdr:colOff>484414</xdr:colOff>
                <xdr:row>0</xdr:row>
                <xdr:rowOff>59871</xdr:rowOff>
              </from>
              <to>
                <xdr:col>10</xdr:col>
                <xdr:colOff>190500</xdr:colOff>
                <xdr:row>1</xdr:row>
                <xdr:rowOff>119743</xdr:rowOff>
              </to>
            </anchor>
          </controlPr>
        </control>
      </mc:Choice>
      <mc:Fallback>
        <control shapeId="10249" r:id="rId4" name="cmdWritePrnt"/>
      </mc:Fallback>
    </mc:AlternateContent>
    <mc:AlternateContent xmlns:mc="http://schemas.openxmlformats.org/markup-compatibility/2006">
      <mc:Choice Requires="x14">
        <control shapeId="10248" r:id="rId6" name="cmdReadPrnt">
          <controlPr defaultSize="0" autoLine="0" r:id="rId7">
            <anchor moveWithCells="1">
              <from>
                <xdr:col>7</xdr:col>
                <xdr:colOff>38100</xdr:colOff>
                <xdr:row>0</xdr:row>
                <xdr:rowOff>59871</xdr:rowOff>
              </from>
              <to>
                <xdr:col>8</xdr:col>
                <xdr:colOff>402771</xdr:colOff>
                <xdr:row>1</xdr:row>
                <xdr:rowOff>119743</xdr:rowOff>
              </to>
            </anchor>
          </controlPr>
        </control>
      </mc:Choice>
      <mc:Fallback>
        <control shapeId="10248" r:id="rId6" name="cmdReadPrnt"/>
      </mc:Fallback>
    </mc:AlternateContent>
    <mc:AlternateContent xmlns:mc="http://schemas.openxmlformats.org/markup-compatibility/2006">
      <mc:Choice Requires="x14">
        <control shapeId="10250" r:id="rId8" name="cmdRun">
          <controlPr defaultSize="0" autoLine="0" r:id="rId9">
            <anchor moveWithCells="1">
              <from>
                <xdr:col>10</xdr:col>
                <xdr:colOff>370114</xdr:colOff>
                <xdr:row>0</xdr:row>
                <xdr:rowOff>59871</xdr:rowOff>
              </from>
              <to>
                <xdr:col>12</xdr:col>
                <xdr:colOff>81643</xdr:colOff>
                <xdr:row>1</xdr:row>
                <xdr:rowOff>125186</xdr:rowOff>
              </to>
            </anchor>
          </controlPr>
        </control>
      </mc:Choice>
      <mc:Fallback>
        <control shapeId="10250" r:id="rId8" name="cmdRu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XFD262"/>
  <sheetViews>
    <sheetView zoomScaleNormal="100" workbookViewId="0">
      <pane ySplit="3" topLeftCell="A4" activePane="bottomLeft" state="frozen"/>
      <selection pane="bottomLeft"/>
    </sheetView>
  </sheetViews>
  <sheetFormatPr defaultColWidth="8.84375" defaultRowHeight="14.6" x14ac:dyDescent="0.4"/>
  <cols>
    <col min="1" max="1" width="12.3046875" customWidth="1"/>
    <col min="2" max="2" width="9.69140625" customWidth="1"/>
    <col min="3" max="3" width="9.69140625" style="30" customWidth="1"/>
    <col min="4" max="4" width="8.84375" customWidth="1"/>
    <col min="5" max="5" width="8.84375" style="17"/>
    <col min="17" max="18" width="8.84375" customWidth="1"/>
    <col min="16381" max="16381" width="4" bestFit="1" customWidth="1"/>
    <col min="16382" max="16382" width="40" bestFit="1" customWidth="1"/>
    <col min="16383" max="16383" width="4" bestFit="1" customWidth="1"/>
    <col min="16384" max="16384" width="27" bestFit="1" customWidth="1"/>
  </cols>
  <sheetData>
    <row r="1" spans="1:48 16381:16384" ht="25.4" customHeight="1" x14ac:dyDescent="0.4">
      <c r="A1" s="94" t="s">
        <v>980</v>
      </c>
      <c r="XFA1" s="7" t="s">
        <v>117</v>
      </c>
      <c r="XFB1" s="7" t="s">
        <v>902</v>
      </c>
      <c r="XFC1" s="7" t="s">
        <v>163</v>
      </c>
      <c r="XFD1" s="75" t="s">
        <v>903</v>
      </c>
    </row>
    <row r="2" spans="1:48 16381:16384" ht="19.95" customHeight="1" x14ac:dyDescent="0.4">
      <c r="A2" s="27" t="s">
        <v>918</v>
      </c>
      <c r="B2" s="17" t="s">
        <v>1864</v>
      </c>
      <c r="C2" s="111"/>
      <c r="D2" s="27" t="s">
        <v>758</v>
      </c>
      <c r="E2" s="85" t="s">
        <v>1540</v>
      </c>
      <c r="XFA2" s="10">
        <v>0</v>
      </c>
      <c r="XFB2" s="10" t="s">
        <v>1411</v>
      </c>
      <c r="XFC2">
        <v>1</v>
      </c>
      <c r="XFD2" t="s">
        <v>904</v>
      </c>
    </row>
    <row r="3" spans="1:48 16381:16384" ht="15.65" customHeight="1" x14ac:dyDescent="0.4">
      <c r="A3" s="26" t="s">
        <v>900</v>
      </c>
      <c r="B3" s="17"/>
      <c r="C3" s="112"/>
      <c r="D3" s="17"/>
      <c r="XFA3" s="10">
        <v>1</v>
      </c>
      <c r="XFB3" s="10" t="s">
        <v>1440</v>
      </c>
      <c r="XFC3">
        <v>2</v>
      </c>
      <c r="XFD3" t="s">
        <v>905</v>
      </c>
    </row>
    <row r="4" spans="1:48 16381:16384" s="3" customFormat="1" x14ac:dyDescent="0.4">
      <c r="A4" s="19" t="s">
        <v>643</v>
      </c>
      <c r="C4" s="113"/>
      <c r="D4" s="69" t="s">
        <v>919</v>
      </c>
      <c r="E4" s="18"/>
      <c r="XFA4" s="10">
        <v>2</v>
      </c>
      <c r="XFB4" s="10" t="s">
        <v>1412</v>
      </c>
      <c r="XFC4">
        <v>3</v>
      </c>
      <c r="XFD4" t="s">
        <v>906</v>
      </c>
    </row>
    <row r="5" spans="1:48 16381:16384" s="3" customFormat="1" x14ac:dyDescent="0.4">
      <c r="B5" s="12" t="s">
        <v>644</v>
      </c>
      <c r="C5" s="12" t="s">
        <v>1157</v>
      </c>
      <c r="D5" s="3" t="s">
        <v>920</v>
      </c>
      <c r="E5" s="81"/>
      <c r="AU5" s="3" t="s">
        <v>768</v>
      </c>
      <c r="AV5" t="s">
        <v>761</v>
      </c>
      <c r="XFA5" s="10">
        <v>3</v>
      </c>
      <c r="XFB5" s="10" t="s">
        <v>1413</v>
      </c>
      <c r="XFC5">
        <v>4</v>
      </c>
      <c r="XFD5" t="s">
        <v>907</v>
      </c>
    </row>
    <row r="6" spans="1:48 16381:16384" x14ac:dyDescent="0.4">
      <c r="A6" s="16" t="s">
        <v>642</v>
      </c>
      <c r="B6" s="34"/>
      <c r="C6" s="34"/>
      <c r="D6" t="s">
        <v>1487</v>
      </c>
      <c r="F6" s="35"/>
      <c r="G6" s="35"/>
      <c r="H6" s="20"/>
      <c r="I6" s="20"/>
      <c r="J6" s="20"/>
      <c r="K6" s="20"/>
      <c r="L6" s="20"/>
      <c r="M6" s="20"/>
      <c r="N6" s="20"/>
      <c r="O6" s="20"/>
      <c r="P6" s="20"/>
      <c r="Q6" s="20"/>
      <c r="R6" s="20"/>
      <c r="S6" s="20"/>
      <c r="T6" s="20"/>
      <c r="AM6" s="32" t="s">
        <v>1733</v>
      </c>
      <c r="AN6" s="33">
        <v>4.3</v>
      </c>
      <c r="AR6" s="30" t="s">
        <v>1734</v>
      </c>
      <c r="AS6" s="24">
        <f>INT(AN6)</f>
        <v>4</v>
      </c>
      <c r="AU6">
        <f>0*($AS$13/20)</f>
        <v>0</v>
      </c>
      <c r="AV6" s="31">
        <f>AU6/(AU6+EXP($AS$12-$AS$11*AU6))</f>
        <v>0</v>
      </c>
      <c r="XFA6" s="10">
        <v>4</v>
      </c>
      <c r="XFB6" s="10" t="s">
        <v>1732</v>
      </c>
      <c r="XFC6">
        <v>5</v>
      </c>
      <c r="XFD6" t="s">
        <v>1731</v>
      </c>
    </row>
    <row r="7" spans="1:48 16381:16384" x14ac:dyDescent="0.4">
      <c r="A7" s="16" t="s">
        <v>641</v>
      </c>
      <c r="B7" s="35"/>
      <c r="C7" s="35"/>
      <c r="D7" t="s">
        <v>1488</v>
      </c>
      <c r="F7" s="35"/>
      <c r="G7" s="35"/>
      <c r="H7" s="20"/>
      <c r="I7" s="20"/>
      <c r="J7" s="20"/>
      <c r="K7" s="20"/>
      <c r="L7" s="20"/>
      <c r="M7" s="20"/>
      <c r="N7" s="20"/>
      <c r="O7" s="20"/>
      <c r="P7" s="20"/>
      <c r="Q7" s="20"/>
      <c r="R7" s="20"/>
      <c r="S7" s="20"/>
      <c r="T7" s="20"/>
      <c r="AM7" s="32" t="s">
        <v>770</v>
      </c>
      <c r="AN7" s="33">
        <v>7.77</v>
      </c>
      <c r="AR7" s="30" t="s">
        <v>762</v>
      </c>
      <c r="AS7" s="24">
        <f>INT(AN7)</f>
        <v>7</v>
      </c>
      <c r="AU7">
        <f>1*($AS$13/20)</f>
        <v>0.7</v>
      </c>
      <c r="AV7" s="31">
        <f>AU7/(AU7+EXP($AS$12-$AS$11*AU7))</f>
        <v>1.4261046436132766E-2</v>
      </c>
      <c r="XFA7" s="10">
        <v>5</v>
      </c>
      <c r="XFB7" s="10" t="s">
        <v>1414</v>
      </c>
      <c r="XFC7">
        <v>6</v>
      </c>
      <c r="XFD7" t="s">
        <v>908</v>
      </c>
    </row>
    <row r="8" spans="1:48 16381:16384" x14ac:dyDescent="0.4">
      <c r="A8" s="16" t="s">
        <v>640</v>
      </c>
      <c r="B8" s="35"/>
      <c r="C8" s="35"/>
      <c r="D8" t="s">
        <v>1489</v>
      </c>
      <c r="F8" s="35"/>
      <c r="G8" s="35"/>
      <c r="H8" s="20"/>
      <c r="I8" s="20"/>
      <c r="J8" s="20"/>
      <c r="K8" s="20"/>
      <c r="L8" s="20"/>
      <c r="M8" s="20"/>
      <c r="N8" s="20"/>
      <c r="O8" s="20"/>
      <c r="P8" s="20"/>
      <c r="Q8" s="20"/>
      <c r="R8" s="20"/>
      <c r="S8" s="20"/>
      <c r="T8" s="20"/>
      <c r="AR8" s="30" t="s">
        <v>763</v>
      </c>
      <c r="AS8" s="24">
        <f>AN6-AS6</f>
        <v>0.29999999999999982</v>
      </c>
      <c r="AU8">
        <f>2*($AS$13/20)</f>
        <v>1.4</v>
      </c>
      <c r="AV8" s="31">
        <f>AU8/(AU8+EXP($AS$12-$AS$11*AU8))</f>
        <v>3.9405479951089575E-2</v>
      </c>
      <c r="XFA8" s="10">
        <v>6</v>
      </c>
      <c r="XFB8" s="10" t="s">
        <v>1415</v>
      </c>
      <c r="XFC8">
        <v>7</v>
      </c>
      <c r="XFD8" t="s">
        <v>909</v>
      </c>
    </row>
    <row r="9" spans="1:48 16381:16384" x14ac:dyDescent="0.4">
      <c r="A9" s="16" t="s">
        <v>639</v>
      </c>
      <c r="B9" s="35"/>
      <c r="C9" s="35"/>
      <c r="D9" t="s">
        <v>1490</v>
      </c>
      <c r="F9" s="35"/>
      <c r="G9" s="35"/>
      <c r="H9" s="20"/>
      <c r="I9" s="20"/>
      <c r="J9" s="20">
        <f>C9-G9</f>
        <v>0</v>
      </c>
      <c r="K9" s="20"/>
      <c r="L9" s="20"/>
      <c r="M9" s="20"/>
      <c r="N9" s="20"/>
      <c r="O9" s="20"/>
      <c r="P9" s="20"/>
      <c r="Q9" s="20"/>
      <c r="R9" s="20"/>
      <c r="S9" s="20"/>
      <c r="T9" s="20"/>
      <c r="AR9" s="30" t="s">
        <v>764</v>
      </c>
      <c r="AS9" s="24">
        <f>AN7-AS7</f>
        <v>0.76999999999999957</v>
      </c>
      <c r="AU9">
        <f>3*($AS$13/20)</f>
        <v>2.0999999999999996</v>
      </c>
      <c r="AV9" s="31">
        <f>AU9/(AU9+EXP($AS$12-$AS$11*AU9))</f>
        <v>8.0238032205428966E-2</v>
      </c>
      <c r="XFA9" s="10">
        <v>7</v>
      </c>
      <c r="XFB9" s="10" t="s">
        <v>1437</v>
      </c>
      <c r="XFC9">
        <v>8</v>
      </c>
      <c r="XFD9" t="s">
        <v>910</v>
      </c>
    </row>
    <row r="10" spans="1:48 16381:16384" x14ac:dyDescent="0.4">
      <c r="A10" s="16" t="s">
        <v>638</v>
      </c>
      <c r="B10" s="35"/>
      <c r="C10" s="35"/>
      <c r="D10" t="s">
        <v>1491</v>
      </c>
      <c r="F10" s="35"/>
      <c r="G10" s="35"/>
      <c r="H10" s="20"/>
      <c r="I10" s="20"/>
      <c r="J10" s="20"/>
      <c r="K10" s="20"/>
      <c r="L10" s="20"/>
      <c r="M10" s="20"/>
      <c r="N10" s="20"/>
      <c r="O10" s="20"/>
      <c r="P10" s="20"/>
      <c r="Q10" s="20"/>
      <c r="R10" s="20"/>
      <c r="S10" s="20"/>
      <c r="T10" s="20"/>
      <c r="AR10" s="30" t="s">
        <v>765</v>
      </c>
      <c r="AS10" s="24">
        <f>LN(AS6/AS8-AS6)</f>
        <v>2.2335922215070951</v>
      </c>
      <c r="AU10">
        <f>4*($AS$13/20)</f>
        <v>2.8</v>
      </c>
      <c r="AV10" s="31">
        <f>AU10/(AU10+EXP($AS$12-$AS$11*AU10))</f>
        <v>0.14156279711511155</v>
      </c>
      <c r="XFA10" s="10">
        <v>8</v>
      </c>
      <c r="XFB10" s="10" t="s">
        <v>1438</v>
      </c>
      <c r="XFC10">
        <v>9</v>
      </c>
      <c r="XFD10" t="s">
        <v>911</v>
      </c>
    </row>
    <row r="11" spans="1:48 16381:16384" x14ac:dyDescent="0.4">
      <c r="A11" s="16" t="s">
        <v>637</v>
      </c>
      <c r="B11" s="35"/>
      <c r="C11" s="35"/>
      <c r="D11" t="s">
        <v>1492</v>
      </c>
      <c r="F11" s="35"/>
      <c r="G11" s="35"/>
      <c r="H11" s="20"/>
      <c r="I11" s="20"/>
      <c r="J11" s="20"/>
      <c r="K11" s="20"/>
      <c r="L11" s="20"/>
      <c r="M11" s="20"/>
      <c r="N11" s="20"/>
      <c r="O11" s="20"/>
      <c r="P11" s="20"/>
      <c r="Q11" s="20"/>
      <c r="R11" s="20"/>
      <c r="S11" s="20"/>
      <c r="T11" s="20"/>
      <c r="AR11" s="30" t="s">
        <v>766</v>
      </c>
      <c r="AS11" s="24">
        <f>(AS10-LN(AS7/AS9-AS7))/(AS7-AS6)</f>
        <v>0.49866442612543799</v>
      </c>
      <c r="AU11">
        <f>5*($AS$13/20)</f>
        <v>3.5</v>
      </c>
      <c r="AV11" s="31">
        <f>AU11/(AU11+EXP($AS$12-$AS$11*AU11))</f>
        <v>0.22615316664055121</v>
      </c>
      <c r="XFA11" s="10">
        <v>9</v>
      </c>
      <c r="XFB11" s="10" t="s">
        <v>1439</v>
      </c>
      <c r="XFC11">
        <v>10</v>
      </c>
      <c r="XFD11" t="s">
        <v>912</v>
      </c>
    </row>
    <row r="12" spans="1:48 16381:16384" x14ac:dyDescent="0.4">
      <c r="A12" s="16" t="s">
        <v>636</v>
      </c>
      <c r="B12" s="35"/>
      <c r="C12" s="35"/>
      <c r="D12" t="s">
        <v>1493</v>
      </c>
      <c r="F12" s="35"/>
      <c r="G12" s="35"/>
      <c r="H12" s="20"/>
      <c r="I12" s="20"/>
      <c r="J12" s="20"/>
      <c r="K12" s="20"/>
      <c r="L12" s="20"/>
      <c r="M12" s="20"/>
      <c r="N12" s="20"/>
      <c r="O12" s="20"/>
      <c r="P12" s="20"/>
      <c r="Q12" s="20"/>
      <c r="R12" s="20"/>
      <c r="S12" s="20"/>
      <c r="T12" s="20"/>
      <c r="AR12" s="30" t="s">
        <v>767</v>
      </c>
      <c r="AS12" s="24">
        <f>AS10+AS6*AS11</f>
        <v>4.2282499260088473</v>
      </c>
      <c r="AU12">
        <f>6*($AS$13/20)</f>
        <v>4.1999999999999993</v>
      </c>
      <c r="AV12" s="31">
        <f>AU12/(AU12+EXP($AS$12-$AS$11*AU12))</f>
        <v>0.33208392395918168</v>
      </c>
      <c r="XFA12" s="10">
        <v>10</v>
      </c>
      <c r="XFB12" s="10" t="s">
        <v>1416</v>
      </c>
      <c r="XFC12">
        <v>11</v>
      </c>
      <c r="XFD12" t="s">
        <v>913</v>
      </c>
    </row>
    <row r="13" spans="1:48 16381:16384" x14ac:dyDescent="0.4">
      <c r="A13" s="16" t="s">
        <v>635</v>
      </c>
      <c r="B13" s="35"/>
      <c r="C13" s="35"/>
      <c r="D13" t="s">
        <v>1494</v>
      </c>
      <c r="F13" s="35"/>
      <c r="G13" s="35"/>
      <c r="H13" s="20"/>
      <c r="I13" s="20"/>
      <c r="J13" s="20"/>
      <c r="K13" s="20"/>
      <c r="L13" s="20"/>
      <c r="M13" s="20"/>
      <c r="N13" s="20"/>
      <c r="O13" s="20"/>
      <c r="P13" s="20"/>
      <c r="Q13" s="20"/>
      <c r="R13" s="20"/>
      <c r="S13" s="20"/>
      <c r="T13" s="20"/>
      <c r="AR13" s="3" t="s">
        <v>769</v>
      </c>
      <c r="AS13" s="3">
        <f>AS7*2</f>
        <v>14</v>
      </c>
      <c r="AU13">
        <f>7*($AS$13/20)</f>
        <v>4.8999999999999995</v>
      </c>
      <c r="AV13" s="31">
        <f>AU13/(AU13+EXP($AS$12-$AS$11*AU13))</f>
        <v>0.45126545716373684</v>
      </c>
      <c r="XFA13" s="10">
        <v>11</v>
      </c>
      <c r="XFB13" s="10" t="s">
        <v>1417</v>
      </c>
    </row>
    <row r="14" spans="1:48 16381:16384" x14ac:dyDescent="0.4">
      <c r="A14" s="16" t="s">
        <v>634</v>
      </c>
      <c r="B14" s="35"/>
      <c r="C14" s="35"/>
      <c r="D14" t="s">
        <v>1495</v>
      </c>
      <c r="F14" s="35"/>
      <c r="G14" s="35"/>
      <c r="H14" s="20"/>
      <c r="I14" s="20"/>
      <c r="J14" s="20"/>
      <c r="K14" s="20"/>
      <c r="L14" s="20"/>
      <c r="M14" s="20"/>
      <c r="N14" s="20"/>
      <c r="O14" s="20"/>
      <c r="P14" s="20"/>
      <c r="Q14" s="20"/>
      <c r="R14" s="20"/>
      <c r="S14" s="20"/>
      <c r="T14" s="20"/>
      <c r="AU14">
        <f>8*($AS$13/20)</f>
        <v>5.6</v>
      </c>
      <c r="AV14" s="31">
        <f>AU14/(AU14+EXP($AS$12-$AS$11*AU14))</f>
        <v>0.57127069940979536</v>
      </c>
      <c r="XFA14" s="10">
        <v>12</v>
      </c>
      <c r="XFB14" s="10" t="s">
        <v>1418</v>
      </c>
    </row>
    <row r="15" spans="1:48 16381:16384" x14ac:dyDescent="0.4">
      <c r="A15" s="16" t="s">
        <v>633</v>
      </c>
      <c r="B15" s="35"/>
      <c r="C15" s="35"/>
      <c r="D15" t="s">
        <v>1496</v>
      </c>
      <c r="F15" s="35"/>
      <c r="G15" s="35"/>
      <c r="H15" s="20"/>
      <c r="I15" s="20"/>
      <c r="J15" s="20"/>
      <c r="K15" s="20"/>
      <c r="L15" s="20"/>
      <c r="M15" s="20"/>
      <c r="N15" s="20"/>
      <c r="O15" s="20"/>
      <c r="P15" s="20"/>
      <c r="Q15" s="20"/>
      <c r="R15" s="20"/>
      <c r="S15" s="20"/>
      <c r="T15" s="20"/>
      <c r="AU15">
        <f>9*($AS$13/20)</f>
        <v>6.3</v>
      </c>
      <c r="AV15" s="31">
        <f>AU15/(AU15+EXP($AS$12-$AS$11*AU15))</f>
        <v>0.68002476011034163</v>
      </c>
      <c r="XFA15" s="10">
        <v>13</v>
      </c>
      <c r="XFB15" s="10" t="s">
        <v>1419</v>
      </c>
      <c r="XFD15" s="7"/>
    </row>
    <row r="16" spans="1:48 16381:16384" x14ac:dyDescent="0.4">
      <c r="A16" s="16" t="s">
        <v>632</v>
      </c>
      <c r="B16" s="35"/>
      <c r="C16" s="35"/>
      <c r="D16" t="s">
        <v>1497</v>
      </c>
      <c r="F16" s="35"/>
      <c r="G16" s="35"/>
      <c r="H16" s="20"/>
      <c r="I16" s="20"/>
      <c r="J16" s="20"/>
      <c r="K16" s="20"/>
      <c r="L16" s="20"/>
      <c r="M16" s="20"/>
      <c r="N16" s="20"/>
      <c r="O16" s="20"/>
      <c r="P16" s="20"/>
      <c r="Q16" s="20"/>
      <c r="R16" s="20"/>
      <c r="S16" s="20"/>
      <c r="T16" s="20"/>
      <c r="AU16">
        <f>10*($AS$13/20)</f>
        <v>7</v>
      </c>
      <c r="AV16" s="31">
        <f t="shared" ref="AV16:AV26" si="0">AU16/(AU16+EXP($AS$12-$AS$11*AU16))</f>
        <v>0.76999999999999968</v>
      </c>
      <c r="XFA16" s="10">
        <v>14</v>
      </c>
      <c r="XFB16" s="10" t="s">
        <v>1420</v>
      </c>
    </row>
    <row r="17" spans="1:48 16381:16382" x14ac:dyDescent="0.4">
      <c r="A17" s="16" t="s">
        <v>631</v>
      </c>
      <c r="B17" s="35"/>
      <c r="C17" s="35"/>
      <c r="D17" t="s">
        <v>1498</v>
      </c>
      <c r="F17" s="35"/>
      <c r="G17" s="35"/>
      <c r="H17" s="20"/>
      <c r="I17" s="20"/>
      <c r="J17" s="20"/>
      <c r="K17" s="20"/>
      <c r="L17" s="20"/>
      <c r="M17" s="20"/>
      <c r="N17" s="20"/>
      <c r="O17" s="20"/>
      <c r="P17" s="20"/>
      <c r="Q17" s="20"/>
      <c r="R17" s="20"/>
      <c r="S17" s="20"/>
      <c r="T17" s="20"/>
      <c r="AU17">
        <f>11*($AS$13/20)</f>
        <v>7.6999999999999993</v>
      </c>
      <c r="AV17" s="31">
        <f t="shared" si="0"/>
        <v>0.8392538059307143</v>
      </c>
      <c r="XFA17" s="10">
        <v>15</v>
      </c>
      <c r="XFB17" s="10" t="s">
        <v>1421</v>
      </c>
    </row>
    <row r="18" spans="1:48 16381:16382" x14ac:dyDescent="0.4">
      <c r="A18" s="16" t="s">
        <v>630</v>
      </c>
      <c r="B18" s="35"/>
      <c r="C18" s="35"/>
      <c r="D18" t="s">
        <v>1499</v>
      </c>
      <c r="F18" s="35"/>
      <c r="G18" s="35"/>
      <c r="H18" s="20"/>
      <c r="I18" s="20"/>
      <c r="J18" s="20"/>
      <c r="K18" s="20"/>
      <c r="L18" s="20"/>
      <c r="M18" s="20"/>
      <c r="N18" s="20"/>
      <c r="O18" s="20"/>
      <c r="P18" s="20"/>
      <c r="Q18" s="20"/>
      <c r="R18" s="20"/>
      <c r="S18" s="20"/>
      <c r="T18" s="20"/>
      <c r="AU18">
        <f>12*($AS$13/20)</f>
        <v>8.3999999999999986</v>
      </c>
      <c r="AV18" s="31">
        <f t="shared" si="0"/>
        <v>0.88980619086963175</v>
      </c>
      <c r="XFA18" s="10">
        <v>16</v>
      </c>
      <c r="XFB18" s="10" t="s">
        <v>1422</v>
      </c>
    </row>
    <row r="19" spans="1:48 16381:16382" x14ac:dyDescent="0.4">
      <c r="A19" s="16" t="s">
        <v>629</v>
      </c>
      <c r="B19" s="35"/>
      <c r="C19" s="35"/>
      <c r="D19" t="s">
        <v>1500</v>
      </c>
      <c r="F19" s="35"/>
      <c r="G19" s="35"/>
      <c r="H19" s="20"/>
      <c r="I19" s="20"/>
      <c r="J19" s="20"/>
      <c r="K19" s="20"/>
      <c r="L19" s="20"/>
      <c r="M19" s="20"/>
      <c r="N19" s="20"/>
      <c r="O19" s="20"/>
      <c r="P19" s="20"/>
      <c r="Q19" s="20"/>
      <c r="R19" s="20"/>
      <c r="S19" s="20"/>
      <c r="T19" s="20"/>
      <c r="AU19">
        <f>13*($AS$13/20)</f>
        <v>9.1</v>
      </c>
      <c r="AV19" s="31">
        <f t="shared" si="0"/>
        <v>0.92538516968459239</v>
      </c>
      <c r="XFA19" s="10">
        <v>17</v>
      </c>
      <c r="XFB19" s="10" t="s">
        <v>1423</v>
      </c>
    </row>
    <row r="20" spans="1:48 16381:16382" x14ac:dyDescent="0.4">
      <c r="A20" s="16" t="s">
        <v>628</v>
      </c>
      <c r="B20" s="35"/>
      <c r="C20" s="35"/>
      <c r="D20" t="s">
        <v>1501</v>
      </c>
      <c r="F20" s="35"/>
      <c r="G20" s="35"/>
      <c r="H20" s="20"/>
      <c r="I20" s="20"/>
      <c r="J20" s="20"/>
      <c r="K20" s="20"/>
      <c r="L20" s="20"/>
      <c r="M20" s="20"/>
      <c r="N20" s="20"/>
      <c r="O20" s="20"/>
      <c r="P20" s="20"/>
      <c r="Q20" s="20"/>
      <c r="R20" s="20"/>
      <c r="S20" s="20"/>
      <c r="T20" s="20"/>
      <c r="AU20">
        <f>14*($AS$13/20)</f>
        <v>9.7999999999999989</v>
      </c>
      <c r="AV20" s="31">
        <f t="shared" si="0"/>
        <v>0.94983848407396587</v>
      </c>
      <c r="XFA20" s="10">
        <v>18</v>
      </c>
      <c r="XFB20" s="10" t="s">
        <v>1424</v>
      </c>
    </row>
    <row r="21" spans="1:48 16381:16382" x14ac:dyDescent="0.4">
      <c r="A21" s="16" t="s">
        <v>627</v>
      </c>
      <c r="B21" s="35"/>
      <c r="C21" s="35"/>
      <c r="D21" t="s">
        <v>1502</v>
      </c>
      <c r="F21" s="35"/>
      <c r="G21" s="35"/>
      <c r="H21" s="20"/>
      <c r="I21" s="20"/>
      <c r="J21" s="20"/>
      <c r="K21" s="20"/>
      <c r="L21" s="20"/>
      <c r="M21" s="20"/>
      <c r="N21" s="20"/>
      <c r="O21" s="20"/>
      <c r="P21" s="20"/>
      <c r="Q21" s="20"/>
      <c r="R21" s="20"/>
      <c r="S21" s="20"/>
      <c r="T21" s="20"/>
      <c r="AU21">
        <f>15*($AS$13/20)</f>
        <v>10.5</v>
      </c>
      <c r="AV21" s="31">
        <f t="shared" si="0"/>
        <v>0.96640162498372095</v>
      </c>
      <c r="XFA21" s="10">
        <v>19</v>
      </c>
      <c r="XFB21" s="10" t="s">
        <v>1425</v>
      </c>
    </row>
    <row r="22" spans="1:48 16381:16382" x14ac:dyDescent="0.4">
      <c r="A22" s="16" t="s">
        <v>626</v>
      </c>
      <c r="B22" s="35"/>
      <c r="C22" s="35"/>
      <c r="D22" t="s">
        <v>1503</v>
      </c>
      <c r="F22" s="35"/>
      <c r="G22" s="35"/>
      <c r="H22" s="20"/>
      <c r="I22" s="20"/>
      <c r="J22" s="20"/>
      <c r="K22" s="20"/>
      <c r="L22" s="20"/>
      <c r="M22" s="20"/>
      <c r="N22" s="20"/>
      <c r="O22" s="20"/>
      <c r="P22" s="20"/>
      <c r="Q22" s="20"/>
      <c r="R22" s="20"/>
      <c r="S22" s="20"/>
      <c r="T22" s="20"/>
      <c r="AU22">
        <f>16*($AS$13/20)</f>
        <v>11.2</v>
      </c>
      <c r="AV22" s="31">
        <f t="shared" si="0"/>
        <v>0.97752687040115716</v>
      </c>
      <c r="XFA22" s="10">
        <v>20</v>
      </c>
      <c r="XFB22" s="10" t="s">
        <v>1426</v>
      </c>
    </row>
    <row r="23" spans="1:48 16381:16382" x14ac:dyDescent="0.4">
      <c r="A23" s="16" t="s">
        <v>625</v>
      </c>
      <c r="B23" s="35"/>
      <c r="C23" s="35"/>
      <c r="D23" t="s">
        <v>1504</v>
      </c>
      <c r="F23" s="35"/>
      <c r="G23" s="35"/>
      <c r="H23" s="20"/>
      <c r="I23" s="20"/>
      <c r="J23" s="20"/>
      <c r="K23" s="20"/>
      <c r="L23" s="20"/>
      <c r="M23" s="20"/>
      <c r="N23" s="20"/>
      <c r="O23" s="20"/>
      <c r="P23" s="20"/>
      <c r="Q23" s="20"/>
      <c r="R23" s="20"/>
      <c r="S23" s="20"/>
      <c r="T23" s="20"/>
      <c r="AU23">
        <f>17*($AS$13/20)</f>
        <v>11.899999999999999</v>
      </c>
      <c r="AV23" s="31">
        <f t="shared" si="0"/>
        <v>0.98496751515045788</v>
      </c>
      <c r="XFA23" s="10">
        <v>21</v>
      </c>
      <c r="XFB23" s="10" t="s">
        <v>1427</v>
      </c>
    </row>
    <row r="24" spans="1:48 16381:16382" x14ac:dyDescent="0.4">
      <c r="A24" s="16" t="s">
        <v>624</v>
      </c>
      <c r="B24" s="35"/>
      <c r="C24" s="35"/>
      <c r="D24" t="s">
        <v>1505</v>
      </c>
      <c r="F24" s="35"/>
      <c r="G24" s="35"/>
      <c r="H24" s="20"/>
      <c r="I24" s="20"/>
      <c r="J24" s="20"/>
      <c r="K24" s="20"/>
      <c r="L24" s="20"/>
      <c r="M24" s="20"/>
      <c r="N24" s="20"/>
      <c r="O24" s="20"/>
      <c r="P24" s="20"/>
      <c r="Q24" s="20"/>
      <c r="R24" s="20"/>
      <c r="S24" s="20"/>
      <c r="T24" s="20"/>
      <c r="AU24">
        <f>18*($AS$13/20)</f>
        <v>12.6</v>
      </c>
      <c r="AV24" s="31">
        <f t="shared" si="0"/>
        <v>0.98993543273216722</v>
      </c>
      <c r="XFA24" s="10">
        <v>22</v>
      </c>
      <c r="XFB24" s="10" t="s">
        <v>1428</v>
      </c>
    </row>
    <row r="25" spans="1:48 16381:16382" x14ac:dyDescent="0.4">
      <c r="A25" s="16" t="s">
        <v>623</v>
      </c>
      <c r="B25" s="35"/>
      <c r="C25" s="35"/>
      <c r="D25" t="s">
        <v>1506</v>
      </c>
      <c r="F25" s="35"/>
      <c r="G25" s="35"/>
      <c r="H25" s="20"/>
      <c r="I25" s="20"/>
      <c r="J25" s="20"/>
      <c r="K25" s="20"/>
      <c r="L25" s="20"/>
      <c r="M25" s="20"/>
      <c r="N25" s="20"/>
      <c r="O25" s="20"/>
      <c r="P25" s="20"/>
      <c r="Q25" s="20"/>
      <c r="R25" s="20"/>
      <c r="S25" s="20"/>
      <c r="T25" s="20"/>
      <c r="AU25">
        <f>19*($AS$13/20)</f>
        <v>13.299999999999999</v>
      </c>
      <c r="AV25" s="31">
        <f t="shared" si="0"/>
        <v>0.99325208534252396</v>
      </c>
      <c r="XFA25" s="10">
        <v>23</v>
      </c>
      <c r="XFB25" s="10" t="s">
        <v>1429</v>
      </c>
    </row>
    <row r="26" spans="1:48 16381:16382" x14ac:dyDescent="0.4">
      <c r="A26" s="16" t="s">
        <v>622</v>
      </c>
      <c r="B26" s="35"/>
      <c r="C26" s="35"/>
      <c r="D26" t="s">
        <v>1507</v>
      </c>
      <c r="F26" s="35"/>
      <c r="G26" s="35"/>
      <c r="H26" s="20"/>
      <c r="I26" s="20"/>
      <c r="J26" s="20"/>
      <c r="K26" s="20"/>
      <c r="L26" s="20"/>
      <c r="M26" s="20"/>
      <c r="N26" s="20"/>
      <c r="O26" s="20"/>
      <c r="P26" s="20"/>
      <c r="Q26" s="20"/>
      <c r="R26" s="20"/>
      <c r="S26" s="20"/>
      <c r="T26" s="20"/>
      <c r="AU26">
        <f>20*($AS$13/20)</f>
        <v>14</v>
      </c>
      <c r="AV26" s="31">
        <f t="shared" si="0"/>
        <v>0.99546826948049871</v>
      </c>
      <c r="XFA26" s="10">
        <v>24</v>
      </c>
      <c r="XFB26" s="10" t="s">
        <v>1430</v>
      </c>
    </row>
    <row r="27" spans="1:48 16381:16382" x14ac:dyDescent="0.4">
      <c r="A27" s="16" t="s">
        <v>621</v>
      </c>
      <c r="B27" s="35"/>
      <c r="C27" s="35"/>
      <c r="D27" t="s">
        <v>1508</v>
      </c>
      <c r="F27" s="35"/>
      <c r="G27" s="35"/>
      <c r="H27" s="20"/>
      <c r="I27" s="20"/>
      <c r="J27" s="20"/>
      <c r="K27" s="20"/>
      <c r="L27" s="20"/>
      <c r="M27" s="20"/>
      <c r="N27" s="20"/>
      <c r="O27" s="20"/>
      <c r="P27" s="20"/>
      <c r="Q27" s="20"/>
      <c r="R27" s="20"/>
      <c r="S27" s="20"/>
      <c r="T27" s="20"/>
      <c r="XFA27" s="10">
        <v>25</v>
      </c>
      <c r="XFB27" s="10" t="s">
        <v>1431</v>
      </c>
    </row>
    <row r="28" spans="1:48 16381:16382" x14ac:dyDescent="0.4">
      <c r="A28" s="16" t="s">
        <v>620</v>
      </c>
      <c r="B28" s="35"/>
      <c r="C28" s="35"/>
      <c r="D28" t="s">
        <v>1509</v>
      </c>
      <c r="K28" s="20"/>
      <c r="L28" s="20"/>
      <c r="M28" s="20"/>
      <c r="N28" s="20"/>
      <c r="O28" s="20"/>
      <c r="P28" s="20"/>
      <c r="Q28" s="20"/>
      <c r="R28" s="20"/>
      <c r="S28" s="20"/>
      <c r="T28" s="20"/>
      <c r="XFA28" s="10">
        <v>26</v>
      </c>
      <c r="XFB28" s="10" t="s">
        <v>1432</v>
      </c>
    </row>
    <row r="29" spans="1:48 16381:16382" x14ac:dyDescent="0.4">
      <c r="A29" s="16" t="s">
        <v>619</v>
      </c>
      <c r="B29" s="35"/>
      <c r="C29" s="35"/>
      <c r="D29" t="s">
        <v>1510</v>
      </c>
      <c r="K29" s="20"/>
      <c r="L29" s="20"/>
      <c r="M29" s="20"/>
      <c r="N29" s="20"/>
      <c r="O29" s="20"/>
      <c r="P29" s="20"/>
      <c r="Q29" s="20"/>
      <c r="R29" s="20"/>
      <c r="S29" s="20"/>
      <c r="T29" s="20"/>
      <c r="XFA29" s="10">
        <v>27</v>
      </c>
      <c r="XFB29" s="10" t="s">
        <v>1433</v>
      </c>
    </row>
    <row r="30" spans="1:48 16381:16382" x14ac:dyDescent="0.4">
      <c r="A30" s="16" t="s">
        <v>618</v>
      </c>
      <c r="B30" s="35"/>
      <c r="C30" s="35"/>
      <c r="D30" t="s">
        <v>1511</v>
      </c>
      <c r="H30" s="20"/>
      <c r="I30" s="20"/>
      <c r="J30" s="20"/>
      <c r="K30" s="20"/>
      <c r="L30" s="20"/>
      <c r="M30" s="20"/>
      <c r="N30" s="20"/>
      <c r="O30" s="20"/>
      <c r="P30" s="20"/>
      <c r="Q30" s="20"/>
      <c r="R30" s="20"/>
      <c r="S30" s="20"/>
      <c r="T30" s="20"/>
    </row>
    <row r="31" spans="1:48 16381:16382" x14ac:dyDescent="0.4">
      <c r="A31" s="16" t="s">
        <v>617</v>
      </c>
      <c r="B31" s="35"/>
      <c r="C31" s="35"/>
      <c r="D31" t="s">
        <v>1512</v>
      </c>
      <c r="H31" s="20"/>
      <c r="I31" s="20"/>
      <c r="J31" s="20"/>
      <c r="K31" s="20"/>
      <c r="L31" s="20"/>
      <c r="M31" s="20"/>
      <c r="N31" s="20"/>
      <c r="O31" s="20"/>
      <c r="P31" s="20"/>
      <c r="Q31" s="20"/>
      <c r="R31" s="20"/>
      <c r="S31" s="20"/>
      <c r="T31" s="20"/>
    </row>
    <row r="32" spans="1:48 16381:16382" x14ac:dyDescent="0.4">
      <c r="A32" s="16" t="s">
        <v>616</v>
      </c>
      <c r="B32" s="35"/>
      <c r="C32" s="35"/>
      <c r="D32" t="s">
        <v>1513</v>
      </c>
      <c r="H32" s="20"/>
      <c r="I32" s="20"/>
      <c r="J32" s="20"/>
      <c r="K32" s="20"/>
      <c r="L32" s="20"/>
      <c r="M32" s="20"/>
      <c r="N32" s="20"/>
      <c r="O32" s="20"/>
      <c r="P32" s="20"/>
      <c r="Q32" s="20"/>
      <c r="R32" s="20"/>
      <c r="S32" s="20"/>
      <c r="T32" s="20"/>
    </row>
    <row r="33" spans="1:20" x14ac:dyDescent="0.4">
      <c r="A33" s="16" t="s">
        <v>615</v>
      </c>
      <c r="B33" s="35"/>
      <c r="C33" s="35"/>
      <c r="D33" t="s">
        <v>1514</v>
      </c>
      <c r="F33" s="36"/>
      <c r="G33" s="36"/>
      <c r="H33" s="20"/>
      <c r="I33" s="20"/>
      <c r="J33" s="20"/>
      <c r="K33" s="20"/>
      <c r="L33" s="20"/>
      <c r="M33" s="20"/>
      <c r="N33" s="20"/>
      <c r="O33" s="20"/>
      <c r="P33" s="20"/>
      <c r="Q33" s="20"/>
      <c r="R33" s="20"/>
      <c r="S33" s="20"/>
      <c r="T33" s="20"/>
    </row>
    <row r="34" spans="1:20" x14ac:dyDescent="0.4">
      <c r="A34" s="16" t="s">
        <v>614</v>
      </c>
      <c r="B34" s="35"/>
      <c r="C34" s="35"/>
      <c r="D34" t="s">
        <v>1515</v>
      </c>
      <c r="E34"/>
      <c r="H34" s="20"/>
      <c r="I34" s="20"/>
      <c r="J34" s="20"/>
      <c r="K34" s="20"/>
      <c r="L34" s="20"/>
      <c r="M34" s="20"/>
      <c r="N34" s="20"/>
      <c r="O34" s="20"/>
      <c r="P34" s="20"/>
      <c r="Q34" s="20"/>
      <c r="R34" s="20"/>
      <c r="S34" s="20"/>
      <c r="T34" s="20"/>
    </row>
    <row r="35" spans="1:20" x14ac:dyDescent="0.4">
      <c r="A35" s="16" t="s">
        <v>612</v>
      </c>
      <c r="B35" s="35"/>
      <c r="C35" s="35"/>
      <c r="D35" t="s">
        <v>1516</v>
      </c>
      <c r="E35"/>
      <c r="H35" s="20"/>
      <c r="I35" s="20"/>
      <c r="J35" s="20"/>
      <c r="K35" s="20"/>
      <c r="L35" s="20"/>
      <c r="M35" s="20"/>
      <c r="N35" s="20"/>
      <c r="O35" s="20"/>
      <c r="P35" s="20"/>
      <c r="Q35" s="20"/>
      <c r="R35" s="20"/>
      <c r="S35" s="20"/>
      <c r="T35" s="20"/>
    </row>
    <row r="36" spans="1:20" x14ac:dyDescent="0.4">
      <c r="A36" s="16" t="s">
        <v>1482</v>
      </c>
      <c r="B36" s="173"/>
      <c r="C36" s="173"/>
      <c r="D36" s="174" t="s">
        <v>1517</v>
      </c>
      <c r="E36"/>
      <c r="H36" s="20"/>
      <c r="I36" s="20"/>
      <c r="J36" s="20"/>
      <c r="K36" s="20"/>
      <c r="L36" s="20"/>
      <c r="M36" s="20"/>
      <c r="N36" s="20"/>
      <c r="O36" s="20"/>
      <c r="P36" s="20"/>
      <c r="Q36" s="20"/>
      <c r="R36" s="20"/>
      <c r="S36" s="20"/>
      <c r="T36" s="20"/>
    </row>
    <row r="37" spans="1:20" x14ac:dyDescent="0.4">
      <c r="A37" s="16" t="s">
        <v>1483</v>
      </c>
      <c r="B37" s="173"/>
      <c r="C37" s="173"/>
      <c r="D37" s="174" t="s">
        <v>1517</v>
      </c>
      <c r="E37"/>
      <c r="H37" s="20"/>
      <c r="I37" s="20"/>
      <c r="J37" s="20"/>
      <c r="K37" s="20"/>
      <c r="L37" s="20"/>
      <c r="M37" s="20"/>
      <c r="N37" s="20"/>
      <c r="O37" s="20"/>
      <c r="P37" s="20"/>
      <c r="Q37" s="20"/>
      <c r="R37" s="20"/>
      <c r="S37" s="20"/>
      <c r="T37" s="20"/>
    </row>
    <row r="38" spans="1:20" x14ac:dyDescent="0.4">
      <c r="A38" s="16" t="s">
        <v>1484</v>
      </c>
      <c r="B38" s="173"/>
      <c r="C38" s="173"/>
      <c r="D38" s="174" t="s">
        <v>1517</v>
      </c>
      <c r="E38"/>
      <c r="H38" s="20"/>
      <c r="I38" s="20"/>
      <c r="J38" s="20"/>
      <c r="K38" s="20"/>
      <c r="L38" s="20"/>
      <c r="M38" s="20"/>
      <c r="N38" s="20"/>
      <c r="O38" s="20"/>
      <c r="P38" s="20"/>
      <c r="Q38" s="20"/>
      <c r="R38" s="20"/>
      <c r="S38" s="20"/>
      <c r="T38" s="20"/>
    </row>
    <row r="39" spans="1:20" x14ac:dyDescent="0.4">
      <c r="A39" s="16" t="s">
        <v>1485</v>
      </c>
      <c r="B39" s="173"/>
      <c r="C39" s="173"/>
      <c r="D39" s="174" t="s">
        <v>1517</v>
      </c>
      <c r="E39"/>
      <c r="H39" s="20"/>
      <c r="I39" s="20"/>
      <c r="J39" s="20"/>
      <c r="K39" s="20"/>
      <c r="L39" s="20"/>
      <c r="M39" s="20"/>
      <c r="N39" s="20"/>
      <c r="O39" s="20"/>
      <c r="P39" s="20"/>
      <c r="Q39" s="20"/>
      <c r="R39" s="20"/>
      <c r="S39" s="20"/>
      <c r="T39" s="20"/>
    </row>
    <row r="40" spans="1:20" x14ac:dyDescent="0.4">
      <c r="A40" s="16" t="s">
        <v>1486</v>
      </c>
      <c r="B40" s="35"/>
      <c r="C40" s="35"/>
      <c r="D40" t="s">
        <v>1518</v>
      </c>
      <c r="E40"/>
      <c r="H40" s="20"/>
      <c r="I40" s="20"/>
      <c r="J40" s="20"/>
      <c r="K40" s="20"/>
      <c r="L40" s="20"/>
      <c r="M40" s="20"/>
      <c r="N40" s="20"/>
      <c r="O40" s="20"/>
      <c r="P40" s="20"/>
      <c r="Q40" s="20"/>
      <c r="R40" s="20"/>
      <c r="S40" s="20"/>
      <c r="T40" s="20"/>
    </row>
    <row r="41" spans="1:20" x14ac:dyDescent="0.4">
      <c r="A41" s="16"/>
      <c r="B41" s="8"/>
      <c r="C41" s="114"/>
      <c r="F41" s="3"/>
    </row>
    <row r="42" spans="1:20" x14ac:dyDescent="0.4">
      <c r="A42" s="19" t="s">
        <v>645</v>
      </c>
      <c r="F42" s="3"/>
    </row>
    <row r="43" spans="1:20" ht="16" customHeight="1" x14ac:dyDescent="0.4">
      <c r="A43" s="184" t="s">
        <v>658</v>
      </c>
      <c r="F43" s="3"/>
    </row>
    <row r="44" spans="1:20" ht="16" customHeight="1" x14ac:dyDescent="0.4">
      <c r="A44" s="16" t="s">
        <v>657</v>
      </c>
      <c r="F44" s="3"/>
    </row>
    <row r="45" spans="1:20" ht="16" customHeight="1" x14ac:dyDescent="0.4">
      <c r="A45" s="130" t="s">
        <v>24</v>
      </c>
      <c r="B45" s="126" t="s">
        <v>646</v>
      </c>
      <c r="D45" t="s">
        <v>921</v>
      </c>
      <c r="E45"/>
      <c r="F45" s="3"/>
      <c r="H45" s="8"/>
    </row>
    <row r="46" spans="1:20" ht="16" customHeight="1" x14ac:dyDescent="0.4">
      <c r="A46" s="22" t="s">
        <v>647</v>
      </c>
      <c r="E46"/>
      <c r="F46" s="3"/>
      <c r="H46" s="8"/>
    </row>
    <row r="47" spans="1:20" s="10" customFormat="1" ht="16" customHeight="1" x14ac:dyDescent="0.4">
      <c r="A47" s="109">
        <v>1</v>
      </c>
      <c r="B47" s="126">
        <v>1</v>
      </c>
      <c r="C47" s="115"/>
      <c r="D47" s="22" t="s">
        <v>1086</v>
      </c>
      <c r="E47" s="6"/>
      <c r="F47" s="3"/>
      <c r="G47"/>
      <c r="J47" s="115"/>
    </row>
    <row r="48" spans="1:20" ht="16" customHeight="1" x14ac:dyDescent="0.4">
      <c r="A48" s="30">
        <v>2</v>
      </c>
      <c r="B48" s="6">
        <v>2</v>
      </c>
      <c r="C48" s="115"/>
      <c r="D48" s="22" t="s">
        <v>1085</v>
      </c>
      <c r="E48" s="6"/>
      <c r="F48" s="3"/>
      <c r="H48" s="10"/>
      <c r="J48" s="115"/>
      <c r="K48" s="10"/>
    </row>
    <row r="49" spans="1:11" ht="16" customHeight="1" x14ac:dyDescent="0.4">
      <c r="A49" s="30">
        <v>3</v>
      </c>
      <c r="B49" s="6">
        <v>3</v>
      </c>
      <c r="C49" s="115"/>
      <c r="D49" s="22" t="s">
        <v>1087</v>
      </c>
      <c r="E49" s="6"/>
      <c r="F49" s="3"/>
      <c r="H49" s="10"/>
      <c r="J49" s="115"/>
      <c r="K49" s="10"/>
    </row>
    <row r="50" spans="1:11" ht="16" customHeight="1" x14ac:dyDescent="0.4">
      <c r="A50" s="156">
        <v>4</v>
      </c>
      <c r="B50" s="157">
        <v>4</v>
      </c>
      <c r="C50" s="115"/>
      <c r="D50" s="22" t="s">
        <v>1286</v>
      </c>
      <c r="E50" s="6"/>
      <c r="F50" s="3"/>
      <c r="H50" s="10"/>
      <c r="J50" s="115"/>
      <c r="K50" s="10"/>
    </row>
    <row r="51" spans="1:11" ht="16" customHeight="1" x14ac:dyDescent="0.4">
      <c r="A51" s="30">
        <v>5</v>
      </c>
      <c r="B51" s="6">
        <v>5</v>
      </c>
      <c r="C51" s="115"/>
      <c r="D51" s="22" t="s">
        <v>1287</v>
      </c>
      <c r="E51" s="6"/>
      <c r="F51" s="3"/>
      <c r="H51" s="10"/>
      <c r="J51" s="115"/>
      <c r="K51" s="10"/>
    </row>
    <row r="52" spans="1:11" ht="16" customHeight="1" x14ac:dyDescent="0.4">
      <c r="A52" s="158">
        <v>6</v>
      </c>
      <c r="B52" s="159">
        <v>6</v>
      </c>
      <c r="C52" s="115"/>
      <c r="D52" s="22" t="s">
        <v>1084</v>
      </c>
      <c r="E52" s="6"/>
      <c r="F52" s="3"/>
      <c r="H52" s="10"/>
      <c r="J52" s="115"/>
      <c r="K52" s="10"/>
    </row>
    <row r="53" spans="1:11" ht="16" customHeight="1" x14ac:dyDescent="0.4">
      <c r="A53" s="30">
        <v>7</v>
      </c>
      <c r="B53" s="6">
        <v>7</v>
      </c>
      <c r="C53" s="115"/>
      <c r="D53" s="22" t="s">
        <v>1288</v>
      </c>
      <c r="E53" s="6"/>
      <c r="F53" s="3"/>
      <c r="H53" s="10"/>
      <c r="J53" s="115"/>
      <c r="K53" s="10"/>
    </row>
    <row r="54" spans="1:11" ht="16" customHeight="1" x14ac:dyDescent="0.4">
      <c r="A54" s="30">
        <v>8</v>
      </c>
      <c r="B54" s="6">
        <v>8</v>
      </c>
      <c r="C54" s="115"/>
      <c r="D54" s="22" t="s">
        <v>1289</v>
      </c>
      <c r="E54" s="6"/>
      <c r="F54" s="3"/>
      <c r="H54" s="10"/>
      <c r="J54" s="115"/>
      <c r="K54" s="10"/>
    </row>
    <row r="55" spans="1:11" s="10" customFormat="1" ht="16" customHeight="1" x14ac:dyDescent="0.4">
      <c r="A55" s="109">
        <v>9</v>
      </c>
      <c r="B55" s="126">
        <v>9</v>
      </c>
      <c r="C55" s="129"/>
      <c r="D55" s="130" t="s">
        <v>1290</v>
      </c>
      <c r="E55" s="126"/>
      <c r="F55" s="96"/>
      <c r="G55"/>
      <c r="J55" s="131"/>
    </row>
    <row r="56" spans="1:11" s="10" customFormat="1" ht="16" customHeight="1" x14ac:dyDescent="0.4">
      <c r="A56" s="109">
        <v>10</v>
      </c>
      <c r="B56" s="126">
        <v>10</v>
      </c>
      <c r="C56" s="129"/>
      <c r="D56" s="130" t="s">
        <v>1088</v>
      </c>
      <c r="E56" s="126"/>
      <c r="F56" s="96"/>
      <c r="G56"/>
      <c r="J56" s="131"/>
    </row>
    <row r="57" spans="1:11" ht="16" customHeight="1" x14ac:dyDescent="0.4">
      <c r="A57" s="22" t="s">
        <v>648</v>
      </c>
      <c r="C57" s="129"/>
      <c r="D57" s="22"/>
      <c r="E57"/>
      <c r="F57" s="3"/>
      <c r="G57" s="129"/>
      <c r="H57" s="10"/>
      <c r="J57" s="129"/>
      <c r="K57" s="10"/>
    </row>
    <row r="58" spans="1:11" ht="16" customHeight="1" x14ac:dyDescent="0.4">
      <c r="A58" s="30">
        <v>1</v>
      </c>
      <c r="B58" s="6">
        <v>11</v>
      </c>
      <c r="C58" s="115"/>
      <c r="D58" s="22" t="s">
        <v>1089</v>
      </c>
      <c r="E58" s="6"/>
      <c r="F58" s="3"/>
      <c r="H58" s="10"/>
      <c r="J58" s="115"/>
      <c r="K58" s="10"/>
    </row>
    <row r="59" spans="1:11" ht="16" customHeight="1" x14ac:dyDescent="0.4">
      <c r="A59" s="160">
        <v>2</v>
      </c>
      <c r="B59" s="80">
        <v>12</v>
      </c>
      <c r="C59" s="115"/>
      <c r="D59" s="22" t="s">
        <v>1090</v>
      </c>
      <c r="E59" s="6"/>
      <c r="F59" s="3"/>
      <c r="H59" s="10"/>
      <c r="J59" s="115"/>
      <c r="K59" s="10"/>
    </row>
    <row r="60" spans="1:11" ht="16" customHeight="1" x14ac:dyDescent="0.4">
      <c r="A60" s="30">
        <v>3</v>
      </c>
      <c r="B60" s="6">
        <v>13</v>
      </c>
      <c r="C60" s="115"/>
      <c r="D60" s="22" t="s">
        <v>1091</v>
      </c>
      <c r="E60" s="6"/>
      <c r="F60" s="3"/>
      <c r="H60" s="10"/>
      <c r="J60" s="115"/>
      <c r="K60" s="10"/>
    </row>
    <row r="61" spans="1:11" ht="16" customHeight="1" x14ac:dyDescent="0.4">
      <c r="A61" s="30">
        <v>4</v>
      </c>
      <c r="B61" s="6">
        <v>14</v>
      </c>
      <c r="C61" s="115"/>
      <c r="D61" s="22" t="s">
        <v>1092</v>
      </c>
      <c r="E61" s="6"/>
      <c r="F61" s="3"/>
      <c r="H61" s="10"/>
      <c r="J61" s="115"/>
      <c r="K61" s="10"/>
    </row>
    <row r="62" spans="1:11" ht="16" customHeight="1" x14ac:dyDescent="0.4">
      <c r="A62" s="30">
        <v>5</v>
      </c>
      <c r="B62" s="6">
        <v>15</v>
      </c>
      <c r="C62" s="115"/>
      <c r="D62" s="22" t="s">
        <v>1093</v>
      </c>
      <c r="E62" s="6"/>
      <c r="F62" s="3"/>
      <c r="H62" s="10"/>
      <c r="J62" s="115"/>
      <c r="K62" s="10"/>
    </row>
    <row r="63" spans="1:11" ht="16" customHeight="1" x14ac:dyDescent="0.4">
      <c r="A63" s="30">
        <v>6</v>
      </c>
      <c r="B63" s="6">
        <v>16</v>
      </c>
      <c r="C63" s="115"/>
      <c r="D63" s="22" t="s">
        <v>1094</v>
      </c>
      <c r="E63" s="6"/>
      <c r="F63" s="3"/>
      <c r="H63" s="10"/>
      <c r="J63" s="115"/>
      <c r="K63" s="10"/>
    </row>
    <row r="64" spans="1:11" ht="16" customHeight="1" x14ac:dyDescent="0.4">
      <c r="A64" s="158">
        <v>7</v>
      </c>
      <c r="B64" s="159">
        <v>17</v>
      </c>
      <c r="C64" s="115"/>
      <c r="D64" s="22" t="s">
        <v>1095</v>
      </c>
      <c r="E64" s="6"/>
      <c r="F64" s="3"/>
      <c r="H64" s="10"/>
      <c r="J64" s="115"/>
      <c r="K64" s="10"/>
    </row>
    <row r="65" spans="1:13" ht="16" customHeight="1" x14ac:dyDescent="0.4">
      <c r="A65" s="160">
        <v>8</v>
      </c>
      <c r="B65" s="80">
        <v>18</v>
      </c>
      <c r="C65" s="115"/>
      <c r="D65" s="22" t="s">
        <v>1096</v>
      </c>
      <c r="E65" s="6"/>
      <c r="F65" s="3"/>
      <c r="H65" s="10"/>
      <c r="J65" s="115"/>
      <c r="K65" s="10"/>
    </row>
    <row r="66" spans="1:13" ht="16" customHeight="1" x14ac:dyDescent="0.4">
      <c r="A66" s="160">
        <v>9</v>
      </c>
      <c r="B66" s="80">
        <v>19</v>
      </c>
      <c r="C66" s="115"/>
      <c r="D66" s="22" t="s">
        <v>1097</v>
      </c>
      <c r="E66" s="6"/>
      <c r="F66" s="3"/>
      <c r="H66" s="10"/>
      <c r="J66" s="115"/>
      <c r="K66" s="10"/>
    </row>
    <row r="67" spans="1:13" ht="16" customHeight="1" x14ac:dyDescent="0.4">
      <c r="A67" s="160">
        <v>10</v>
      </c>
      <c r="B67" s="80">
        <v>20</v>
      </c>
      <c r="C67" s="115"/>
      <c r="D67" s="22" t="s">
        <v>1098</v>
      </c>
      <c r="E67" s="6"/>
      <c r="F67" s="3"/>
      <c r="H67" s="10"/>
      <c r="J67" s="115"/>
      <c r="K67" s="10"/>
    </row>
    <row r="68" spans="1:13" ht="16" customHeight="1" x14ac:dyDescent="0.4">
      <c r="A68" s="22" t="s">
        <v>649</v>
      </c>
      <c r="C68" s="115"/>
      <c r="D68" s="22"/>
      <c r="E68"/>
      <c r="F68" s="3"/>
      <c r="G68" s="115"/>
      <c r="H68" s="10"/>
      <c r="J68" s="115"/>
      <c r="K68" s="10"/>
    </row>
    <row r="69" spans="1:13" ht="16" customHeight="1" x14ac:dyDescent="0.4">
      <c r="A69" s="30">
        <v>1</v>
      </c>
      <c r="B69" s="6">
        <v>21</v>
      </c>
      <c r="C69" s="115"/>
      <c r="D69" s="22" t="s">
        <v>1099</v>
      </c>
      <c r="E69" s="6"/>
      <c r="F69" s="3"/>
      <c r="H69" s="10"/>
      <c r="J69" s="115"/>
      <c r="K69" s="10"/>
    </row>
    <row r="70" spans="1:13" ht="16" customHeight="1" x14ac:dyDescent="0.4">
      <c r="A70" s="30">
        <v>2</v>
      </c>
      <c r="B70" s="6">
        <v>22</v>
      </c>
      <c r="C70" s="115"/>
      <c r="D70" s="22" t="s">
        <v>1100</v>
      </c>
      <c r="E70" s="6"/>
      <c r="F70" s="3"/>
      <c r="H70" s="10"/>
      <c r="J70" s="115"/>
      <c r="K70" s="10"/>
    </row>
    <row r="71" spans="1:13" ht="16" customHeight="1" x14ac:dyDescent="0.4">
      <c r="A71" s="30">
        <v>3</v>
      </c>
      <c r="B71" s="6">
        <v>23</v>
      </c>
      <c r="C71" s="115"/>
      <c r="D71" s="22" t="s">
        <v>1101</v>
      </c>
      <c r="E71" s="6"/>
      <c r="F71" s="3"/>
      <c r="H71" s="10"/>
      <c r="J71" s="115"/>
      <c r="K71" s="10"/>
    </row>
    <row r="72" spans="1:13" ht="16" customHeight="1" x14ac:dyDescent="0.4">
      <c r="A72" s="30">
        <v>4</v>
      </c>
      <c r="B72" s="6">
        <v>24</v>
      </c>
      <c r="C72" s="115"/>
      <c r="D72" s="22" t="s">
        <v>1102</v>
      </c>
      <c r="E72" s="6"/>
      <c r="F72" s="3"/>
      <c r="H72" s="10"/>
      <c r="J72" s="115"/>
      <c r="K72" s="10"/>
    </row>
    <row r="73" spans="1:13" ht="16" customHeight="1" x14ac:dyDescent="0.4">
      <c r="A73" s="30">
        <v>5</v>
      </c>
      <c r="B73" s="6">
        <v>25</v>
      </c>
      <c r="C73" s="115"/>
      <c r="D73" s="22" t="s">
        <v>922</v>
      </c>
      <c r="E73" s="6"/>
      <c r="F73" s="3"/>
      <c r="H73" s="10"/>
      <c r="J73" s="115"/>
    </row>
    <row r="74" spans="1:13" ht="16" customHeight="1" x14ac:dyDescent="0.4">
      <c r="A74" s="158">
        <v>6</v>
      </c>
      <c r="B74" s="159">
        <v>26</v>
      </c>
      <c r="C74" s="115"/>
      <c r="D74" s="22" t="s">
        <v>1103</v>
      </c>
      <c r="E74" s="6"/>
      <c r="F74" s="3"/>
      <c r="H74" s="10"/>
      <c r="J74" s="115"/>
      <c r="K74" s="10"/>
    </row>
    <row r="75" spans="1:13" ht="16" customHeight="1" x14ac:dyDescent="0.4">
      <c r="A75" s="156">
        <v>7</v>
      </c>
      <c r="B75" s="157">
        <v>27</v>
      </c>
      <c r="C75" s="115"/>
      <c r="D75" s="22" t="s">
        <v>1104</v>
      </c>
      <c r="E75" s="6"/>
      <c r="F75" s="3"/>
      <c r="H75" s="10"/>
      <c r="J75" s="115"/>
      <c r="K75" s="10"/>
    </row>
    <row r="76" spans="1:13" ht="16" customHeight="1" x14ac:dyDescent="0.4">
      <c r="A76" s="30">
        <v>8</v>
      </c>
      <c r="B76" s="6">
        <v>28</v>
      </c>
      <c r="C76" s="115"/>
      <c r="D76" s="22" t="s">
        <v>1105</v>
      </c>
      <c r="E76" s="6"/>
      <c r="F76" s="3"/>
      <c r="H76" s="10"/>
      <c r="J76" s="115"/>
      <c r="K76" s="10"/>
    </row>
    <row r="77" spans="1:13" ht="16" customHeight="1" x14ac:dyDescent="0.4">
      <c r="A77" s="30">
        <v>9</v>
      </c>
      <c r="B77" s="6">
        <v>29</v>
      </c>
      <c r="C77" s="115"/>
      <c r="D77" s="22" t="s">
        <v>1106</v>
      </c>
      <c r="E77" s="6"/>
      <c r="F77" s="3"/>
      <c r="H77" s="10"/>
      <c r="J77" s="115"/>
      <c r="K77" s="10"/>
    </row>
    <row r="78" spans="1:13" s="134" customFormat="1" ht="16" customHeight="1" x14ac:dyDescent="0.4">
      <c r="A78" s="158">
        <v>10</v>
      </c>
      <c r="B78" s="159">
        <v>30</v>
      </c>
      <c r="C78" s="115"/>
      <c r="D78" s="130" t="s">
        <v>1856</v>
      </c>
      <c r="E78" s="4"/>
      <c r="F78" s="11"/>
      <c r="G78" s="8"/>
      <c r="H78" s="8"/>
      <c r="I78" s="8"/>
      <c r="J78" s="115"/>
      <c r="K78" s="8"/>
      <c r="L78" s="8"/>
      <c r="M78" s="8"/>
    </row>
    <row r="79" spans="1:13" ht="16" customHeight="1" x14ac:dyDescent="0.4">
      <c r="A79" s="22" t="s">
        <v>650</v>
      </c>
      <c r="C79" s="115"/>
      <c r="D79" s="22"/>
      <c r="E79"/>
      <c r="F79" s="3"/>
      <c r="H79" s="10"/>
      <c r="J79" s="115"/>
      <c r="K79" s="10"/>
    </row>
    <row r="80" spans="1:13" ht="16" customHeight="1" x14ac:dyDescent="0.4">
      <c r="A80" s="30">
        <v>1</v>
      </c>
      <c r="B80" s="6">
        <v>31</v>
      </c>
      <c r="C80" s="115"/>
      <c r="D80" s="22" t="s">
        <v>1107</v>
      </c>
      <c r="E80" s="6"/>
      <c r="F80" s="3"/>
      <c r="G80" s="115"/>
      <c r="H80" s="10"/>
      <c r="J80" s="115"/>
    </row>
    <row r="81" spans="1:11" ht="16" customHeight="1" x14ac:dyDescent="0.4">
      <c r="A81" s="30">
        <v>2</v>
      </c>
      <c r="B81" s="6">
        <v>32</v>
      </c>
      <c r="C81" s="115"/>
      <c r="D81" s="22" t="s">
        <v>1108</v>
      </c>
      <c r="E81" s="6"/>
      <c r="F81" s="3"/>
      <c r="G81" s="115"/>
      <c r="H81" s="10"/>
      <c r="J81" s="115"/>
    </row>
    <row r="82" spans="1:11" ht="16" customHeight="1" x14ac:dyDescent="0.4">
      <c r="A82" s="30">
        <v>3</v>
      </c>
      <c r="B82" s="6">
        <v>33</v>
      </c>
      <c r="C82" s="115"/>
      <c r="D82" s="22" t="s">
        <v>1109</v>
      </c>
      <c r="E82" s="6"/>
      <c r="F82" s="3"/>
      <c r="G82" s="115"/>
      <c r="H82" s="10"/>
      <c r="J82" s="115"/>
    </row>
    <row r="83" spans="1:11" ht="16" customHeight="1" x14ac:dyDescent="0.4">
      <c r="A83" s="30">
        <v>4</v>
      </c>
      <c r="B83" s="6">
        <v>34</v>
      </c>
      <c r="C83" s="115"/>
      <c r="D83" s="22" t="s">
        <v>1110</v>
      </c>
      <c r="E83" s="6"/>
      <c r="F83" s="3"/>
      <c r="G83" s="115"/>
      <c r="H83" s="10"/>
      <c r="J83" s="115"/>
    </row>
    <row r="84" spans="1:11" s="134" customFormat="1" ht="16" customHeight="1" x14ac:dyDescent="0.4">
      <c r="A84" s="109">
        <v>5</v>
      </c>
      <c r="B84" s="126">
        <v>35</v>
      </c>
      <c r="C84" s="115"/>
      <c r="D84" s="130" t="s">
        <v>1857</v>
      </c>
      <c r="E84" s="116"/>
      <c r="F84" s="133"/>
      <c r="G84" s="115"/>
      <c r="H84" s="10"/>
      <c r="J84" s="118"/>
      <c r="K84"/>
    </row>
    <row r="85" spans="1:11" ht="16" customHeight="1" x14ac:dyDescent="0.4">
      <c r="A85" s="30">
        <v>6</v>
      </c>
      <c r="B85" s="6">
        <v>36</v>
      </c>
      <c r="C85" s="115"/>
      <c r="D85" s="22" t="s">
        <v>1111</v>
      </c>
      <c r="E85" s="6"/>
      <c r="F85" s="3"/>
      <c r="G85" s="115"/>
      <c r="H85" s="10"/>
      <c r="J85" s="115"/>
    </row>
    <row r="86" spans="1:11" ht="16" customHeight="1" x14ac:dyDescent="0.4">
      <c r="A86" s="30">
        <v>7</v>
      </c>
      <c r="B86" s="6">
        <v>37</v>
      </c>
      <c r="C86" s="115"/>
      <c r="D86" s="22" t="s">
        <v>1112</v>
      </c>
      <c r="E86" s="6"/>
      <c r="F86" s="3"/>
      <c r="G86" s="115"/>
      <c r="H86" s="10"/>
      <c r="J86" s="115"/>
    </row>
    <row r="87" spans="1:11" s="79" customFormat="1" ht="16" customHeight="1" x14ac:dyDescent="0.4">
      <c r="A87" s="158">
        <v>8</v>
      </c>
      <c r="B87" s="159">
        <v>38</v>
      </c>
      <c r="C87" s="115"/>
      <c r="D87" s="22" t="s">
        <v>1113</v>
      </c>
      <c r="E87" s="6"/>
      <c r="F87" s="3"/>
      <c r="G87" s="115"/>
      <c r="H87" s="10"/>
      <c r="J87" s="115"/>
      <c r="K87"/>
    </row>
    <row r="88" spans="1:11" ht="16" customHeight="1" x14ac:dyDescent="0.4">
      <c r="A88" s="30">
        <v>9</v>
      </c>
      <c r="B88" s="6">
        <v>39</v>
      </c>
      <c r="C88" s="115"/>
      <c r="D88" s="22" t="s">
        <v>1114</v>
      </c>
      <c r="E88" s="6"/>
      <c r="F88" s="3"/>
      <c r="G88" s="115"/>
      <c r="H88" s="10"/>
      <c r="J88" s="115"/>
    </row>
    <row r="89" spans="1:11" ht="16" customHeight="1" x14ac:dyDescent="0.4">
      <c r="A89" s="160">
        <v>10</v>
      </c>
      <c r="B89" s="80">
        <v>40</v>
      </c>
      <c r="C89" s="115"/>
      <c r="D89" s="22" t="s">
        <v>1115</v>
      </c>
      <c r="E89" s="6"/>
      <c r="F89" s="3"/>
      <c r="G89" s="115"/>
      <c r="H89" s="10"/>
      <c r="J89" s="115"/>
    </row>
    <row r="90" spans="1:11" ht="16" customHeight="1" x14ac:dyDescent="0.4">
      <c r="A90" s="22" t="s">
        <v>651</v>
      </c>
      <c r="C90" s="115"/>
      <c r="D90" s="22"/>
      <c r="E90"/>
      <c r="F90" s="3"/>
      <c r="G90" s="115"/>
      <c r="H90" s="10"/>
      <c r="J90" s="115"/>
      <c r="K90" s="10"/>
    </row>
    <row r="91" spans="1:11" ht="16" customHeight="1" x14ac:dyDescent="0.4">
      <c r="A91" s="30">
        <v>1</v>
      </c>
      <c r="B91" s="6">
        <v>41</v>
      </c>
      <c r="C91" s="115"/>
      <c r="D91" s="22" t="s">
        <v>1116</v>
      </c>
      <c r="E91" s="6"/>
      <c r="F91" s="3"/>
      <c r="G91" s="115"/>
      <c r="H91" s="10"/>
      <c r="J91" s="115"/>
    </row>
    <row r="92" spans="1:11" ht="16" customHeight="1" x14ac:dyDescent="0.4">
      <c r="A92" s="160">
        <v>2</v>
      </c>
      <c r="B92" s="80">
        <v>42</v>
      </c>
      <c r="C92" s="115"/>
      <c r="D92" s="22" t="s">
        <v>1117</v>
      </c>
      <c r="E92" s="6"/>
      <c r="F92" s="3"/>
      <c r="G92" s="115"/>
      <c r="H92" s="10"/>
      <c r="J92" s="115"/>
    </row>
    <row r="93" spans="1:11" ht="16" customHeight="1" x14ac:dyDescent="0.4">
      <c r="A93" s="30">
        <v>3</v>
      </c>
      <c r="B93" s="6">
        <v>43</v>
      </c>
      <c r="C93" s="115"/>
      <c r="D93" s="22" t="s">
        <v>1118</v>
      </c>
      <c r="E93" s="6"/>
      <c r="F93" s="3"/>
      <c r="G93" s="115"/>
      <c r="H93" s="10"/>
      <c r="J93" s="115"/>
    </row>
    <row r="94" spans="1:11" ht="16" customHeight="1" x14ac:dyDescent="0.4">
      <c r="A94" s="30">
        <v>4</v>
      </c>
      <c r="B94" s="6">
        <v>44</v>
      </c>
      <c r="C94" s="115"/>
      <c r="D94" s="22" t="s">
        <v>1119</v>
      </c>
      <c r="E94" s="6"/>
      <c r="F94" s="3"/>
      <c r="G94" s="115"/>
      <c r="H94" s="10"/>
      <c r="J94" s="115"/>
    </row>
    <row r="95" spans="1:11" ht="16" customHeight="1" x14ac:dyDescent="0.4">
      <c r="A95" s="30">
        <v>5</v>
      </c>
      <c r="B95" s="6">
        <v>45</v>
      </c>
      <c r="C95" s="115"/>
      <c r="D95" s="22" t="s">
        <v>923</v>
      </c>
      <c r="E95" s="6"/>
      <c r="F95" s="3"/>
      <c r="G95" s="115"/>
      <c r="H95" s="10"/>
      <c r="J95" s="115"/>
    </row>
    <row r="96" spans="1:11" ht="16" customHeight="1" x14ac:dyDescent="0.4">
      <c r="A96" s="160">
        <v>6</v>
      </c>
      <c r="B96" s="80">
        <v>46</v>
      </c>
      <c r="C96" s="115"/>
      <c r="D96" s="22" t="s">
        <v>1120</v>
      </c>
      <c r="E96" s="6"/>
      <c r="F96" s="3"/>
      <c r="G96" s="115"/>
      <c r="H96" s="10"/>
      <c r="J96" s="115"/>
    </row>
    <row r="97" spans="1:11" ht="16" customHeight="1" x14ac:dyDescent="0.4">
      <c r="A97" s="160">
        <v>7</v>
      </c>
      <c r="B97" s="80">
        <v>47</v>
      </c>
      <c r="C97" s="115"/>
      <c r="D97" s="22" t="s">
        <v>1121</v>
      </c>
      <c r="E97" s="6"/>
      <c r="F97" s="3"/>
      <c r="G97" s="115"/>
      <c r="H97" s="10"/>
      <c r="J97" s="115"/>
    </row>
    <row r="98" spans="1:11" s="134" customFormat="1" ht="16" customHeight="1" x14ac:dyDescent="0.4">
      <c r="A98" s="109">
        <v>8</v>
      </c>
      <c r="B98" s="126">
        <v>48</v>
      </c>
      <c r="C98" s="115"/>
      <c r="D98" s="130" t="s">
        <v>1858</v>
      </c>
      <c r="E98" s="116"/>
      <c r="F98" s="133"/>
      <c r="G98" s="115"/>
      <c r="H98" s="10"/>
      <c r="J98" s="118"/>
    </row>
    <row r="99" spans="1:11" ht="16" customHeight="1" x14ac:dyDescent="0.4">
      <c r="A99" s="30">
        <v>9</v>
      </c>
      <c r="B99" s="6">
        <v>49</v>
      </c>
      <c r="C99" s="115"/>
      <c r="D99" s="130" t="s">
        <v>1122</v>
      </c>
      <c r="E99" s="6"/>
      <c r="F99" s="3"/>
      <c r="G99" s="115"/>
      <c r="H99" s="10"/>
      <c r="J99" s="115"/>
    </row>
    <row r="100" spans="1:11" ht="16" customHeight="1" x14ac:dyDescent="0.4">
      <c r="A100" s="30">
        <v>10</v>
      </c>
      <c r="B100" s="6">
        <v>50</v>
      </c>
      <c r="C100" s="115"/>
      <c r="D100" s="22" t="s">
        <v>1123</v>
      </c>
      <c r="E100" s="6"/>
      <c r="F100" s="3"/>
      <c r="G100" s="115"/>
      <c r="H100" s="10"/>
      <c r="J100" s="115"/>
    </row>
    <row r="101" spans="1:11" ht="16" customHeight="1" x14ac:dyDescent="0.4">
      <c r="A101" s="22" t="s">
        <v>652</v>
      </c>
      <c r="C101" s="115"/>
      <c r="D101" s="22"/>
      <c r="E101"/>
      <c r="F101" s="3"/>
      <c r="G101" s="115"/>
      <c r="H101" s="10"/>
      <c r="J101" s="115"/>
      <c r="K101" s="10"/>
    </row>
    <row r="102" spans="1:11" ht="16" customHeight="1" x14ac:dyDescent="0.4">
      <c r="A102" s="30">
        <v>1</v>
      </c>
      <c r="B102" s="6">
        <v>51</v>
      </c>
      <c r="C102" s="115"/>
      <c r="D102" s="22" t="s">
        <v>1124</v>
      </c>
      <c r="E102" s="6"/>
      <c r="F102" s="3"/>
      <c r="G102" s="115"/>
      <c r="H102" s="10"/>
      <c r="J102" s="115"/>
      <c r="K102" s="10"/>
    </row>
    <row r="103" spans="1:11" ht="16" customHeight="1" x14ac:dyDescent="0.4">
      <c r="A103" s="30">
        <v>2</v>
      </c>
      <c r="B103" s="6">
        <v>52</v>
      </c>
      <c r="C103" s="115"/>
      <c r="D103" s="22" t="s">
        <v>1125</v>
      </c>
      <c r="E103" s="6"/>
      <c r="F103" s="3"/>
      <c r="G103" s="115"/>
      <c r="H103" s="10"/>
      <c r="J103" s="115"/>
      <c r="K103" s="10"/>
    </row>
    <row r="104" spans="1:11" ht="16" customHeight="1" x14ac:dyDescent="0.4">
      <c r="A104" s="30">
        <v>3</v>
      </c>
      <c r="B104" s="6">
        <v>53</v>
      </c>
      <c r="C104" s="115"/>
      <c r="D104" s="22" t="s">
        <v>1126</v>
      </c>
      <c r="E104" s="6"/>
      <c r="F104" s="3"/>
      <c r="G104" s="115"/>
      <c r="H104" s="10"/>
      <c r="J104" s="115"/>
      <c r="K104" s="10"/>
    </row>
    <row r="105" spans="1:11" ht="16" customHeight="1" x14ac:dyDescent="0.4">
      <c r="A105" s="30">
        <v>4</v>
      </c>
      <c r="B105" s="157">
        <v>54</v>
      </c>
      <c r="C105" s="115"/>
      <c r="D105" s="22" t="s">
        <v>1127</v>
      </c>
      <c r="E105" s="6"/>
      <c r="F105" s="3"/>
      <c r="G105" s="115"/>
      <c r="H105" s="10"/>
      <c r="J105" s="115"/>
      <c r="K105" s="10"/>
    </row>
    <row r="106" spans="1:11" ht="16" customHeight="1" x14ac:dyDescent="0.4">
      <c r="A106" s="30">
        <v>5</v>
      </c>
      <c r="B106" s="157">
        <v>55</v>
      </c>
      <c r="C106" s="115"/>
      <c r="D106" s="22" t="s">
        <v>1128</v>
      </c>
      <c r="E106" s="6"/>
      <c r="F106" s="3"/>
      <c r="G106" s="115"/>
      <c r="H106" s="10"/>
      <c r="J106" s="115"/>
      <c r="K106" s="10"/>
    </row>
    <row r="107" spans="1:11" ht="16" customHeight="1" x14ac:dyDescent="0.4">
      <c r="A107" s="30">
        <v>6</v>
      </c>
      <c r="B107" s="6">
        <v>56</v>
      </c>
      <c r="C107" s="115"/>
      <c r="D107" s="22" t="s">
        <v>1129</v>
      </c>
      <c r="E107" s="6"/>
      <c r="F107" s="3"/>
      <c r="G107" s="115"/>
      <c r="H107" s="10"/>
      <c r="J107" s="115"/>
      <c r="K107" s="10"/>
    </row>
    <row r="108" spans="1:11" ht="16" customHeight="1" x14ac:dyDescent="0.4">
      <c r="A108" s="158">
        <v>7</v>
      </c>
      <c r="B108" s="159">
        <v>57</v>
      </c>
      <c r="C108" s="115"/>
      <c r="D108" s="22" t="s">
        <v>1130</v>
      </c>
      <c r="E108" s="6"/>
      <c r="F108" s="3"/>
      <c r="G108" s="115"/>
      <c r="H108" s="10"/>
      <c r="J108" s="115"/>
      <c r="K108" s="10"/>
    </row>
    <row r="109" spans="1:11" ht="16" customHeight="1" x14ac:dyDescent="0.4">
      <c r="A109" s="158">
        <v>8</v>
      </c>
      <c r="B109" s="159">
        <v>58</v>
      </c>
      <c r="C109" s="115"/>
      <c r="D109" s="22" t="s">
        <v>1131</v>
      </c>
      <c r="E109" s="6"/>
      <c r="F109" s="3"/>
      <c r="G109" s="115"/>
      <c r="H109" s="10"/>
      <c r="J109" s="115"/>
      <c r="K109" s="10"/>
    </row>
    <row r="110" spans="1:11" ht="16" customHeight="1" x14ac:dyDescent="0.4">
      <c r="A110" s="158">
        <v>9</v>
      </c>
      <c r="B110" s="159">
        <v>59</v>
      </c>
      <c r="C110" s="115"/>
      <c r="D110" s="22" t="s">
        <v>1132</v>
      </c>
      <c r="E110" s="6"/>
      <c r="F110" s="3"/>
      <c r="G110" s="115"/>
      <c r="H110" s="10"/>
      <c r="J110" s="115"/>
      <c r="K110" s="10"/>
    </row>
    <row r="111" spans="1:11" ht="16" customHeight="1" x14ac:dyDescent="0.4">
      <c r="A111" s="30">
        <v>10</v>
      </c>
      <c r="B111" s="6">
        <v>60</v>
      </c>
      <c r="C111" s="115"/>
      <c r="D111" s="22" t="s">
        <v>1133</v>
      </c>
      <c r="E111" s="6"/>
      <c r="F111" s="3"/>
      <c r="G111" s="115"/>
      <c r="H111" s="10"/>
      <c r="J111" s="115"/>
      <c r="K111" s="10"/>
    </row>
    <row r="112" spans="1:11" ht="16" customHeight="1" x14ac:dyDescent="0.4">
      <c r="A112" s="22" t="s">
        <v>1059</v>
      </c>
      <c r="C112" s="115"/>
      <c r="D112" s="22"/>
      <c r="E112"/>
      <c r="F112" s="3"/>
      <c r="G112" s="115"/>
      <c r="H112" s="10"/>
      <c r="J112" s="115"/>
      <c r="K112" s="10"/>
    </row>
    <row r="113" spans="1:12" ht="16" customHeight="1" x14ac:dyDescent="0.4">
      <c r="A113" s="30">
        <v>1</v>
      </c>
      <c r="B113" s="6">
        <v>61</v>
      </c>
      <c r="C113" s="115"/>
      <c r="D113" s="22" t="s">
        <v>1083</v>
      </c>
      <c r="E113" s="6"/>
      <c r="F113" s="3"/>
      <c r="G113" s="115"/>
      <c r="H113" s="10"/>
      <c r="J113" s="115"/>
      <c r="K113" s="10"/>
    </row>
    <row r="114" spans="1:12" ht="16" customHeight="1" x14ac:dyDescent="0.4">
      <c r="A114" s="30">
        <v>2</v>
      </c>
      <c r="B114" s="6">
        <v>62</v>
      </c>
      <c r="C114" s="115"/>
      <c r="D114" s="22" t="s">
        <v>1134</v>
      </c>
      <c r="E114" s="6"/>
      <c r="F114" s="3"/>
      <c r="G114" s="115"/>
      <c r="H114" s="10"/>
      <c r="J114" s="115"/>
      <c r="K114" s="10"/>
    </row>
    <row r="115" spans="1:12" ht="16" customHeight="1" x14ac:dyDescent="0.4">
      <c r="A115" s="30">
        <v>3</v>
      </c>
      <c r="B115" s="6">
        <v>63</v>
      </c>
      <c r="C115" s="115"/>
      <c r="D115" s="22" t="s">
        <v>1135</v>
      </c>
      <c r="E115" s="6"/>
      <c r="F115" s="3"/>
      <c r="G115" s="115"/>
      <c r="H115" s="10"/>
      <c r="J115" s="115"/>
      <c r="K115" s="10"/>
    </row>
    <row r="116" spans="1:12" ht="16" customHeight="1" x14ac:dyDescent="0.4">
      <c r="A116" s="156">
        <v>4</v>
      </c>
      <c r="B116" s="157">
        <v>64</v>
      </c>
      <c r="C116" s="115"/>
      <c r="D116" s="22" t="s">
        <v>1136</v>
      </c>
      <c r="E116" s="6"/>
      <c r="F116" s="3"/>
      <c r="G116" s="115"/>
      <c r="H116" s="10"/>
      <c r="J116" s="115"/>
      <c r="K116" s="10"/>
    </row>
    <row r="117" spans="1:12" ht="16" customHeight="1" x14ac:dyDescent="0.4">
      <c r="A117" s="30">
        <v>5</v>
      </c>
      <c r="B117" s="6">
        <v>65</v>
      </c>
      <c r="C117" s="115"/>
      <c r="D117" s="22" t="s">
        <v>1137</v>
      </c>
      <c r="E117" s="6"/>
      <c r="F117" s="3"/>
      <c r="G117" s="115"/>
      <c r="H117" s="10"/>
      <c r="J117" s="115"/>
      <c r="K117" s="10"/>
    </row>
    <row r="118" spans="1:12" ht="16" customHeight="1" x14ac:dyDescent="0.4">
      <c r="A118" s="30">
        <v>6</v>
      </c>
      <c r="B118" s="6">
        <v>66</v>
      </c>
      <c r="C118" s="115"/>
      <c r="D118" s="22" t="s">
        <v>1138</v>
      </c>
      <c r="E118" s="6"/>
      <c r="F118" s="3"/>
      <c r="G118" s="115"/>
      <c r="H118" s="10"/>
      <c r="J118" s="115"/>
      <c r="K118" s="10"/>
    </row>
    <row r="119" spans="1:12" ht="16" customHeight="1" x14ac:dyDescent="0.4">
      <c r="A119" s="30">
        <v>7</v>
      </c>
      <c r="B119" s="6">
        <v>67</v>
      </c>
      <c r="C119" s="115"/>
      <c r="D119" s="22" t="s">
        <v>1139</v>
      </c>
      <c r="E119" s="6"/>
      <c r="F119" s="3"/>
      <c r="G119" s="115"/>
      <c r="H119" s="10"/>
      <c r="J119" s="115"/>
      <c r="K119" s="10"/>
    </row>
    <row r="120" spans="1:12" ht="16" customHeight="1" x14ac:dyDescent="0.4">
      <c r="A120" s="30">
        <v>8</v>
      </c>
      <c r="B120" s="6">
        <v>68</v>
      </c>
      <c r="C120" s="115"/>
      <c r="D120" s="22" t="s">
        <v>1140</v>
      </c>
      <c r="E120" s="6"/>
      <c r="F120" s="3"/>
      <c r="G120" s="115"/>
      <c r="H120" s="10"/>
      <c r="J120" s="115"/>
      <c r="K120" s="10"/>
    </row>
    <row r="121" spans="1:12" s="10" customFormat="1" ht="16" customHeight="1" x14ac:dyDescent="0.4">
      <c r="A121" s="156">
        <v>9</v>
      </c>
      <c r="B121" s="157">
        <v>69</v>
      </c>
      <c r="C121" s="115"/>
      <c r="D121" s="22" t="s">
        <v>1082</v>
      </c>
      <c r="E121" s="6"/>
      <c r="F121" s="3"/>
      <c r="G121" s="115"/>
      <c r="J121" s="115"/>
      <c r="L121"/>
    </row>
    <row r="122" spans="1:12" ht="16" customHeight="1" x14ac:dyDescent="0.4">
      <c r="A122" s="30">
        <v>10</v>
      </c>
      <c r="B122" s="6">
        <v>70</v>
      </c>
      <c r="C122" s="115"/>
      <c r="D122" s="22" t="s">
        <v>1081</v>
      </c>
      <c r="E122" s="6"/>
      <c r="F122" s="3"/>
      <c r="G122" s="115"/>
      <c r="H122" s="10"/>
      <c r="J122" s="115"/>
      <c r="K122" s="10"/>
    </row>
    <row r="123" spans="1:12" ht="16" customHeight="1" x14ac:dyDescent="0.4">
      <c r="A123" s="22" t="s">
        <v>1058</v>
      </c>
      <c r="C123" s="115"/>
      <c r="D123" s="22"/>
      <c r="E123"/>
      <c r="F123" s="3"/>
      <c r="G123" s="115"/>
      <c r="H123" s="10"/>
      <c r="J123" s="115"/>
      <c r="K123" s="10"/>
    </row>
    <row r="124" spans="1:12" ht="16" customHeight="1" x14ac:dyDescent="0.4">
      <c r="A124" s="30">
        <v>1</v>
      </c>
      <c r="B124" s="6">
        <v>71</v>
      </c>
      <c r="C124" s="115"/>
      <c r="D124" s="22" t="s">
        <v>1141</v>
      </c>
      <c r="E124" s="6"/>
      <c r="F124" s="3"/>
      <c r="G124" s="115"/>
      <c r="H124" s="10"/>
      <c r="J124" s="115"/>
      <c r="K124" s="10"/>
    </row>
    <row r="125" spans="1:12" ht="16" customHeight="1" x14ac:dyDescent="0.4">
      <c r="A125" s="156">
        <v>2</v>
      </c>
      <c r="B125" s="157">
        <v>72</v>
      </c>
      <c r="C125" s="115"/>
      <c r="D125" s="22" t="s">
        <v>1080</v>
      </c>
      <c r="E125" s="6"/>
      <c r="F125" s="3"/>
      <c r="G125" s="115"/>
      <c r="H125" s="10"/>
      <c r="J125" s="115"/>
      <c r="K125" s="10"/>
    </row>
    <row r="126" spans="1:12" s="134" customFormat="1" ht="16" customHeight="1" x14ac:dyDescent="0.4">
      <c r="A126" s="161">
        <v>3</v>
      </c>
      <c r="B126" s="116">
        <v>73</v>
      </c>
      <c r="C126" s="118"/>
      <c r="D126" s="132" t="s">
        <v>1219</v>
      </c>
      <c r="E126" s="116"/>
      <c r="F126" s="133"/>
      <c r="G126" s="115"/>
      <c r="H126" s="10"/>
      <c r="J126" s="118"/>
      <c r="K126" s="10"/>
      <c r="L126" s="8"/>
    </row>
    <row r="127" spans="1:12" ht="16" customHeight="1" x14ac:dyDescent="0.4">
      <c r="A127" s="156">
        <v>4</v>
      </c>
      <c r="B127" s="157">
        <v>74</v>
      </c>
      <c r="C127" s="115"/>
      <c r="D127" s="22" t="s">
        <v>1079</v>
      </c>
      <c r="E127" s="6"/>
      <c r="F127" s="3"/>
      <c r="G127" s="115"/>
      <c r="H127" s="10"/>
      <c r="J127" s="115"/>
      <c r="K127" s="10"/>
    </row>
    <row r="128" spans="1:12" ht="16" customHeight="1" x14ac:dyDescent="0.4">
      <c r="A128" s="30">
        <v>5</v>
      </c>
      <c r="B128" s="6">
        <v>75</v>
      </c>
      <c r="C128" s="115"/>
      <c r="D128" s="22" t="s">
        <v>1142</v>
      </c>
      <c r="E128" s="6"/>
      <c r="F128" s="3"/>
      <c r="G128" s="115"/>
      <c r="H128" s="10"/>
      <c r="J128" s="115"/>
      <c r="K128" s="10"/>
    </row>
    <row r="129" spans="1:11" ht="16" customHeight="1" x14ac:dyDescent="0.4">
      <c r="A129" s="156">
        <v>6</v>
      </c>
      <c r="B129" s="157">
        <v>76</v>
      </c>
      <c r="C129" s="115"/>
      <c r="D129" s="22" t="s">
        <v>1143</v>
      </c>
      <c r="E129" s="6"/>
      <c r="F129" s="3"/>
      <c r="G129" s="115"/>
      <c r="H129" s="10"/>
      <c r="J129" s="115"/>
      <c r="K129" s="10"/>
    </row>
    <row r="130" spans="1:11" ht="16" customHeight="1" x14ac:dyDescent="0.4">
      <c r="A130" s="30">
        <v>7</v>
      </c>
      <c r="B130" s="6">
        <v>77</v>
      </c>
      <c r="C130" s="115"/>
      <c r="D130" s="22" t="s">
        <v>1144</v>
      </c>
      <c r="E130" s="6"/>
      <c r="F130" s="3"/>
      <c r="G130" s="115"/>
      <c r="H130" s="10"/>
      <c r="J130" s="115"/>
      <c r="K130" s="10"/>
    </row>
    <row r="131" spans="1:11" ht="16" customHeight="1" x14ac:dyDescent="0.4">
      <c r="A131" s="30">
        <v>8</v>
      </c>
      <c r="B131" s="6">
        <v>78</v>
      </c>
      <c r="C131" s="115"/>
      <c r="D131" s="22" t="s">
        <v>1145</v>
      </c>
      <c r="E131" s="6"/>
      <c r="F131" s="3"/>
      <c r="G131" s="115"/>
      <c r="H131" s="10"/>
      <c r="J131" s="115"/>
      <c r="K131" s="10"/>
    </row>
    <row r="132" spans="1:11" ht="16" customHeight="1" x14ac:dyDescent="0.4">
      <c r="A132" s="30">
        <v>9</v>
      </c>
      <c r="B132" s="6">
        <v>79</v>
      </c>
      <c r="C132" s="115"/>
      <c r="D132" s="22" t="s">
        <v>1146</v>
      </c>
      <c r="E132" s="6"/>
      <c r="F132" s="3"/>
      <c r="G132" s="115"/>
      <c r="H132" s="10"/>
      <c r="J132" s="115"/>
      <c r="K132" s="10"/>
    </row>
    <row r="133" spans="1:11" ht="16" customHeight="1" x14ac:dyDescent="0.4">
      <c r="A133" s="156">
        <v>10</v>
      </c>
      <c r="B133" s="157">
        <v>80</v>
      </c>
      <c r="C133" s="115"/>
      <c r="D133" s="22" t="s">
        <v>1147</v>
      </c>
      <c r="E133" s="6"/>
      <c r="F133" s="3"/>
      <c r="G133" s="115"/>
      <c r="H133" s="10"/>
      <c r="J133" s="115"/>
      <c r="K133" s="10"/>
    </row>
    <row r="134" spans="1:11" ht="16" customHeight="1" x14ac:dyDescent="0.4">
      <c r="A134" s="22" t="s">
        <v>1531</v>
      </c>
      <c r="C134" s="115"/>
      <c r="D134" s="22"/>
      <c r="E134"/>
      <c r="F134" s="3"/>
      <c r="G134" s="115"/>
      <c r="H134" s="10"/>
      <c r="J134" s="115"/>
      <c r="K134" s="10"/>
    </row>
    <row r="135" spans="1:11" ht="16" customHeight="1" x14ac:dyDescent="0.4">
      <c r="A135" s="30">
        <v>1</v>
      </c>
      <c r="B135" s="6">
        <v>81</v>
      </c>
      <c r="C135" s="115"/>
      <c r="D135" s="22" t="s">
        <v>1148</v>
      </c>
      <c r="E135" s="6"/>
      <c r="F135" s="8"/>
      <c r="G135" s="115"/>
      <c r="H135" s="10"/>
      <c r="J135" s="115"/>
      <c r="K135" s="10"/>
    </row>
    <row r="136" spans="1:11" ht="16" customHeight="1" x14ac:dyDescent="0.4">
      <c r="A136" s="30">
        <v>2</v>
      </c>
      <c r="B136" s="6">
        <v>82</v>
      </c>
      <c r="C136" s="115"/>
      <c r="D136" s="22" t="s">
        <v>1519</v>
      </c>
      <c r="E136" s="6"/>
      <c r="F136" s="3"/>
      <c r="G136" s="115"/>
      <c r="H136" s="10"/>
      <c r="J136" s="115"/>
      <c r="K136" s="10"/>
    </row>
    <row r="137" spans="1:11" ht="16" customHeight="1" x14ac:dyDescent="0.4">
      <c r="A137" s="30">
        <v>3</v>
      </c>
      <c r="B137" s="6">
        <v>83</v>
      </c>
      <c r="C137" s="115"/>
      <c r="D137" s="22" t="s">
        <v>924</v>
      </c>
      <c r="E137" s="6"/>
      <c r="F137" s="3"/>
      <c r="G137" s="115"/>
      <c r="H137" s="10"/>
      <c r="J137" s="115"/>
      <c r="K137" s="10"/>
    </row>
    <row r="138" spans="1:11" ht="16" customHeight="1" x14ac:dyDescent="0.4">
      <c r="A138" s="30">
        <v>4</v>
      </c>
      <c r="B138" s="6">
        <v>84</v>
      </c>
      <c r="C138" s="115"/>
      <c r="D138" s="22" t="s">
        <v>925</v>
      </c>
      <c r="E138" s="6"/>
      <c r="F138" s="3"/>
      <c r="G138" s="115"/>
      <c r="H138" s="10"/>
      <c r="J138" s="115"/>
      <c r="K138" s="10"/>
    </row>
    <row r="139" spans="1:11" ht="16" customHeight="1" x14ac:dyDescent="0.4">
      <c r="A139" s="30">
        <v>5</v>
      </c>
      <c r="B139" s="6">
        <v>85</v>
      </c>
      <c r="C139" s="115"/>
      <c r="D139" s="22" t="s">
        <v>926</v>
      </c>
      <c r="E139" s="6"/>
      <c r="F139" s="3"/>
      <c r="G139" s="115"/>
      <c r="H139" s="10"/>
      <c r="J139" s="115"/>
      <c r="K139" s="10"/>
    </row>
    <row r="140" spans="1:11" ht="16" customHeight="1" x14ac:dyDescent="0.4">
      <c r="A140" s="156">
        <v>6</v>
      </c>
      <c r="B140" s="157">
        <v>86</v>
      </c>
      <c r="C140" s="115"/>
      <c r="D140" s="22" t="s">
        <v>1077</v>
      </c>
      <c r="E140" s="6"/>
      <c r="F140" s="3"/>
      <c r="G140" s="115"/>
      <c r="H140" s="10"/>
      <c r="J140" s="115"/>
      <c r="K140" s="10"/>
    </row>
    <row r="141" spans="1:11" ht="16" customHeight="1" x14ac:dyDescent="0.4">
      <c r="A141" s="30">
        <v>7</v>
      </c>
      <c r="B141" s="6">
        <v>87</v>
      </c>
      <c r="C141" s="115"/>
      <c r="D141" s="22" t="s">
        <v>1078</v>
      </c>
      <c r="E141" s="6"/>
      <c r="F141" s="3"/>
      <c r="G141" s="115"/>
      <c r="H141" s="10"/>
      <c r="J141" s="115"/>
      <c r="K141" s="10"/>
    </row>
    <row r="142" spans="1:11" ht="16" customHeight="1" x14ac:dyDescent="0.4">
      <c r="A142" s="30">
        <v>8</v>
      </c>
      <c r="B142" s="6">
        <v>88</v>
      </c>
      <c r="C142" s="115"/>
      <c r="D142" s="22" t="s">
        <v>1149</v>
      </c>
      <c r="E142" s="6"/>
      <c r="F142" s="3"/>
      <c r="G142" s="115"/>
      <c r="H142" s="10"/>
      <c r="J142" s="115"/>
      <c r="K142" s="10"/>
    </row>
    <row r="143" spans="1:11" ht="16" customHeight="1" x14ac:dyDescent="0.4">
      <c r="A143" s="30">
        <v>9</v>
      </c>
      <c r="B143" s="6">
        <v>89</v>
      </c>
      <c r="C143" s="115"/>
      <c r="D143" s="22" t="s">
        <v>1150</v>
      </c>
      <c r="E143" s="6"/>
      <c r="F143" s="3"/>
      <c r="G143" s="115"/>
      <c r="H143" s="10"/>
      <c r="J143" s="115"/>
      <c r="K143" s="10"/>
    </row>
    <row r="144" spans="1:11" ht="16" customHeight="1" x14ac:dyDescent="0.4">
      <c r="A144" s="30">
        <v>10</v>
      </c>
      <c r="B144" s="6">
        <v>90</v>
      </c>
      <c r="C144" s="115"/>
      <c r="D144" s="22" t="s">
        <v>1520</v>
      </c>
      <c r="E144" s="6"/>
      <c r="F144" s="3"/>
      <c r="G144" s="115"/>
      <c r="H144" s="10"/>
      <c r="J144" s="115"/>
      <c r="K144" s="10"/>
    </row>
    <row r="145" spans="1:13" ht="16" customHeight="1" x14ac:dyDescent="0.4">
      <c r="A145" s="22" t="s">
        <v>1532</v>
      </c>
      <c r="C145" s="115"/>
      <c r="D145" s="22"/>
      <c r="E145"/>
      <c r="F145" s="8"/>
      <c r="G145" s="115"/>
      <c r="H145" s="10"/>
      <c r="J145" s="115"/>
      <c r="K145" s="10"/>
    </row>
    <row r="146" spans="1:13" ht="16" customHeight="1" x14ac:dyDescent="0.4">
      <c r="A146" s="30">
        <v>1</v>
      </c>
      <c r="B146" s="6">
        <v>91</v>
      </c>
      <c r="C146" s="115"/>
      <c r="D146" s="22" t="s">
        <v>1076</v>
      </c>
      <c r="E146" s="6"/>
      <c r="F146" s="3"/>
      <c r="G146" s="115"/>
      <c r="H146" s="10"/>
      <c r="J146" s="115"/>
      <c r="K146" s="10"/>
      <c r="M146" s="8"/>
    </row>
    <row r="147" spans="1:13" ht="16" customHeight="1" x14ac:dyDescent="0.4">
      <c r="A147" s="160">
        <v>2</v>
      </c>
      <c r="B147" s="80">
        <v>92</v>
      </c>
      <c r="C147" s="115"/>
      <c r="D147" s="22" t="s">
        <v>1075</v>
      </c>
      <c r="E147" s="6"/>
      <c r="F147" s="3"/>
      <c r="G147" s="115"/>
      <c r="H147" s="10"/>
      <c r="J147" s="115"/>
      <c r="K147" s="10"/>
      <c r="M147" s="8"/>
    </row>
    <row r="148" spans="1:13" ht="16" customHeight="1" x14ac:dyDescent="0.4">
      <c r="A148" s="30">
        <v>3</v>
      </c>
      <c r="B148" s="6">
        <v>93</v>
      </c>
      <c r="C148" s="115"/>
      <c r="D148" s="22" t="s">
        <v>1151</v>
      </c>
      <c r="E148" s="6"/>
      <c r="F148" s="3"/>
      <c r="G148" s="115"/>
      <c r="H148" s="10"/>
      <c r="J148" s="115"/>
      <c r="K148" s="10"/>
      <c r="M148" s="8"/>
    </row>
    <row r="149" spans="1:13" ht="16" customHeight="1" x14ac:dyDescent="0.4">
      <c r="A149" s="30">
        <v>4</v>
      </c>
      <c r="B149" s="6">
        <v>94</v>
      </c>
      <c r="C149" s="115"/>
      <c r="D149" s="22" t="s">
        <v>1152</v>
      </c>
      <c r="E149" s="6"/>
      <c r="F149" s="3"/>
      <c r="G149" s="115"/>
      <c r="H149" s="10"/>
      <c r="J149" s="115"/>
      <c r="K149" s="10"/>
      <c r="M149" s="8"/>
    </row>
    <row r="150" spans="1:13" ht="16" customHeight="1" x14ac:dyDescent="0.4">
      <c r="A150" s="30">
        <v>5</v>
      </c>
      <c r="B150" s="6">
        <v>95</v>
      </c>
      <c r="C150" s="115"/>
      <c r="D150" s="22" t="s">
        <v>927</v>
      </c>
      <c r="E150" s="6"/>
      <c r="F150" s="3"/>
      <c r="G150" s="115"/>
      <c r="H150" s="10"/>
      <c r="J150" s="115"/>
      <c r="K150" s="10"/>
      <c r="M150" s="8"/>
    </row>
    <row r="151" spans="1:13" ht="16" customHeight="1" x14ac:dyDescent="0.4">
      <c r="A151" s="30">
        <v>6</v>
      </c>
      <c r="B151" s="6">
        <v>96</v>
      </c>
      <c r="C151" s="115"/>
      <c r="D151" s="22" t="s">
        <v>1074</v>
      </c>
      <c r="E151" s="6"/>
      <c r="F151" s="3"/>
      <c r="G151" s="115"/>
      <c r="H151" s="10"/>
      <c r="J151" s="115"/>
      <c r="K151" s="10"/>
      <c r="M151" s="8"/>
    </row>
    <row r="152" spans="1:13" ht="16" customHeight="1" x14ac:dyDescent="0.4">
      <c r="A152" s="30">
        <v>7</v>
      </c>
      <c r="B152" s="6">
        <v>97</v>
      </c>
      <c r="C152" s="115"/>
      <c r="D152" s="22" t="s">
        <v>1521</v>
      </c>
      <c r="E152" s="6"/>
      <c r="F152" s="3"/>
      <c r="G152" s="115"/>
      <c r="H152" s="10"/>
      <c r="J152" s="115"/>
      <c r="K152" s="10"/>
      <c r="M152" s="8"/>
    </row>
    <row r="153" spans="1:13" ht="16" customHeight="1" x14ac:dyDescent="0.4">
      <c r="A153" s="30">
        <v>8</v>
      </c>
      <c r="B153" s="6">
        <v>98</v>
      </c>
      <c r="C153" s="115"/>
      <c r="D153" s="22" t="s">
        <v>1522</v>
      </c>
      <c r="E153" s="6"/>
      <c r="F153" s="3"/>
      <c r="G153" s="115"/>
      <c r="H153" s="10"/>
      <c r="J153" s="115"/>
      <c r="K153" s="10"/>
      <c r="M153" s="8"/>
    </row>
    <row r="154" spans="1:13" ht="16" customHeight="1" x14ac:dyDescent="0.4">
      <c r="A154" s="30">
        <v>9</v>
      </c>
      <c r="B154" s="6">
        <v>99</v>
      </c>
      <c r="C154" s="115"/>
      <c r="D154" s="22" t="s">
        <v>1523</v>
      </c>
      <c r="E154" s="6"/>
      <c r="F154" s="3"/>
      <c r="G154" s="115"/>
      <c r="H154" s="10"/>
      <c r="J154" s="115"/>
      <c r="K154" s="10"/>
      <c r="M154" s="8"/>
    </row>
    <row r="155" spans="1:13" ht="16" customHeight="1" x14ac:dyDescent="0.4">
      <c r="A155" s="30">
        <v>10</v>
      </c>
      <c r="B155" s="6">
        <v>100</v>
      </c>
      <c r="C155" s="115"/>
      <c r="D155" s="22" t="s">
        <v>1524</v>
      </c>
      <c r="E155" s="6"/>
      <c r="F155" s="3"/>
      <c r="G155" s="115"/>
      <c r="H155" s="10"/>
      <c r="J155" s="115"/>
      <c r="K155" s="10"/>
      <c r="M155" s="8"/>
    </row>
    <row r="156" spans="1:13" ht="16" customHeight="1" x14ac:dyDescent="0.4">
      <c r="A156" s="22" t="s">
        <v>1533</v>
      </c>
      <c r="C156" s="115"/>
      <c r="D156" s="22"/>
      <c r="E156"/>
      <c r="F156" s="3"/>
      <c r="G156" s="115"/>
      <c r="H156" s="10"/>
      <c r="J156" s="115"/>
      <c r="K156" s="10"/>
      <c r="M156" s="16"/>
    </row>
    <row r="157" spans="1:13" ht="16" customHeight="1" x14ac:dyDescent="0.4">
      <c r="A157" s="30">
        <v>1</v>
      </c>
      <c r="B157" s="6">
        <v>101</v>
      </c>
      <c r="C157" s="115"/>
      <c r="D157" s="22" t="s">
        <v>1660</v>
      </c>
      <c r="E157"/>
      <c r="F157" s="3"/>
      <c r="G157" s="115"/>
      <c r="H157" s="10"/>
      <c r="J157" s="115"/>
      <c r="K157" s="10"/>
    </row>
    <row r="158" spans="1:13" ht="16" customHeight="1" x14ac:dyDescent="0.4">
      <c r="A158" s="30">
        <v>2</v>
      </c>
      <c r="B158" s="6">
        <v>102</v>
      </c>
      <c r="C158" s="115"/>
      <c r="D158" s="22" t="s">
        <v>1661</v>
      </c>
      <c r="E158"/>
      <c r="F158" s="3"/>
      <c r="G158" s="115"/>
      <c r="H158" s="10"/>
      <c r="J158" s="115"/>
      <c r="K158" s="10"/>
    </row>
    <row r="159" spans="1:13" ht="16" customHeight="1" x14ac:dyDescent="0.4">
      <c r="A159" s="30">
        <v>3</v>
      </c>
      <c r="B159" s="6">
        <v>103</v>
      </c>
      <c r="C159" s="115"/>
      <c r="D159" s="22" t="s">
        <v>1662</v>
      </c>
      <c r="E159"/>
      <c r="F159" s="3"/>
      <c r="G159" s="115"/>
      <c r="H159" s="10"/>
      <c r="J159" s="115"/>
      <c r="K159" s="10"/>
    </row>
    <row r="160" spans="1:13" ht="16" customHeight="1" x14ac:dyDescent="0.4">
      <c r="A160" s="30">
        <v>4</v>
      </c>
      <c r="B160" s="6">
        <v>104</v>
      </c>
      <c r="C160" s="115"/>
      <c r="D160" s="22" t="s">
        <v>1663</v>
      </c>
      <c r="E160"/>
      <c r="F160" s="3"/>
      <c r="G160" s="115"/>
      <c r="H160" s="10"/>
      <c r="J160" s="115"/>
      <c r="K160" s="10"/>
    </row>
    <row r="161" spans="1:11" s="122" customFormat="1" ht="16" customHeight="1" x14ac:dyDescent="0.4">
      <c r="A161" s="109">
        <v>5</v>
      </c>
      <c r="B161" s="126">
        <v>105</v>
      </c>
      <c r="C161" s="115"/>
      <c r="D161" s="130" t="s">
        <v>1664</v>
      </c>
      <c r="F161" s="137"/>
      <c r="G161" s="124"/>
      <c r="J161" s="124"/>
    </row>
    <row r="162" spans="1:11" s="122" customFormat="1" ht="16" customHeight="1" x14ac:dyDescent="0.4">
      <c r="A162" s="109">
        <v>6</v>
      </c>
      <c r="B162" s="126">
        <v>106</v>
      </c>
      <c r="C162" s="115"/>
      <c r="D162" s="130" t="s">
        <v>1665</v>
      </c>
      <c r="F162" s="137"/>
      <c r="G162" s="124"/>
      <c r="J162" s="124"/>
    </row>
    <row r="163" spans="1:11" s="122" customFormat="1" ht="16" customHeight="1" x14ac:dyDescent="0.4">
      <c r="A163" s="109">
        <v>7</v>
      </c>
      <c r="B163" s="126">
        <v>107</v>
      </c>
      <c r="C163" s="115"/>
      <c r="D163" s="130" t="s">
        <v>1666</v>
      </c>
      <c r="F163" s="137"/>
      <c r="G163" s="124"/>
      <c r="J163" s="124"/>
    </row>
    <row r="164" spans="1:11" s="122" customFormat="1" ht="16" customHeight="1" x14ac:dyDescent="0.4">
      <c r="A164" s="109">
        <v>8</v>
      </c>
      <c r="B164" s="126">
        <v>108</v>
      </c>
      <c r="C164" s="115"/>
      <c r="D164" s="130" t="s">
        <v>1667</v>
      </c>
      <c r="F164" s="137"/>
      <c r="G164" s="124"/>
      <c r="J164" s="124"/>
    </row>
    <row r="165" spans="1:11" s="122" customFormat="1" ht="16" customHeight="1" x14ac:dyDescent="0.4">
      <c r="A165" s="109">
        <v>9</v>
      </c>
      <c r="B165" s="126">
        <v>109</v>
      </c>
      <c r="C165" s="115"/>
      <c r="D165" s="130" t="s">
        <v>1668</v>
      </c>
      <c r="F165" s="137"/>
      <c r="G165" s="124"/>
      <c r="J165" s="124"/>
    </row>
    <row r="166" spans="1:11" s="122" customFormat="1" ht="16" customHeight="1" x14ac:dyDescent="0.4">
      <c r="A166" s="109">
        <v>10</v>
      </c>
      <c r="B166" s="126">
        <v>110</v>
      </c>
      <c r="C166" s="115"/>
      <c r="D166" s="130" t="s">
        <v>1669</v>
      </c>
      <c r="F166" s="137"/>
      <c r="G166" s="124"/>
      <c r="J166" s="124"/>
    </row>
    <row r="167" spans="1:11" ht="16" customHeight="1" x14ac:dyDescent="0.4">
      <c r="A167" s="22" t="s">
        <v>1533</v>
      </c>
      <c r="B167" s="6"/>
      <c r="C167" s="115"/>
      <c r="D167" s="22"/>
      <c r="E167"/>
      <c r="F167" s="3"/>
      <c r="G167" s="115"/>
      <c r="H167" s="10"/>
      <c r="J167" s="115"/>
      <c r="K167" s="10"/>
    </row>
    <row r="168" spans="1:11" ht="16" customHeight="1" x14ac:dyDescent="0.4">
      <c r="A168" s="30">
        <v>1</v>
      </c>
      <c r="B168" s="6" t="s">
        <v>653</v>
      </c>
      <c r="C168" s="115"/>
      <c r="D168" s="22" t="s">
        <v>1153</v>
      </c>
      <c r="E168"/>
      <c r="F168" s="3"/>
      <c r="G168" s="114"/>
      <c r="H168" s="10"/>
      <c r="J168" s="114"/>
      <c r="K168" s="10"/>
    </row>
    <row r="169" spans="1:11" ht="16" customHeight="1" x14ac:dyDescent="0.4">
      <c r="A169" s="30">
        <v>2</v>
      </c>
      <c r="B169" s="6" t="s">
        <v>654</v>
      </c>
      <c r="C169" s="115"/>
      <c r="D169" s="22" t="s">
        <v>1154</v>
      </c>
      <c r="E169"/>
      <c r="F169" s="3"/>
      <c r="G169" s="114"/>
      <c r="H169" s="10"/>
      <c r="J169" s="114"/>
      <c r="K169" s="10"/>
    </row>
    <row r="170" spans="1:11" ht="16" customHeight="1" x14ac:dyDescent="0.4">
      <c r="A170" s="30">
        <v>3</v>
      </c>
      <c r="B170" s="6" t="s">
        <v>655</v>
      </c>
      <c r="C170" s="115"/>
      <c r="D170" s="22" t="s">
        <v>1155</v>
      </c>
      <c r="E170"/>
      <c r="F170" s="3"/>
      <c r="G170" s="114"/>
      <c r="H170" s="10"/>
      <c r="J170" s="114"/>
      <c r="K170" s="10"/>
    </row>
    <row r="171" spans="1:11" ht="16" customHeight="1" x14ac:dyDescent="0.4">
      <c r="A171" s="30">
        <v>4</v>
      </c>
      <c r="B171" s="6" t="s">
        <v>656</v>
      </c>
      <c r="C171" s="115"/>
      <c r="D171" s="22" t="s">
        <v>1156</v>
      </c>
      <c r="E171"/>
      <c r="F171" s="3"/>
      <c r="G171" s="114"/>
      <c r="H171" s="10"/>
      <c r="J171" s="114"/>
      <c r="K171" s="10"/>
    </row>
    <row r="172" spans="1:11" ht="16" customHeight="1" x14ac:dyDescent="0.4">
      <c r="A172" s="135">
        <v>5</v>
      </c>
      <c r="B172" s="123" t="s">
        <v>1205</v>
      </c>
      <c r="C172" s="115"/>
      <c r="D172" s="136" t="s">
        <v>1677</v>
      </c>
      <c r="E172" s="122"/>
      <c r="F172" s="3"/>
      <c r="G172" s="114"/>
      <c r="H172" s="10"/>
      <c r="J172" s="114"/>
      <c r="K172" s="10"/>
    </row>
    <row r="173" spans="1:11" ht="16" customHeight="1" x14ac:dyDescent="0.4">
      <c r="A173" s="135">
        <v>6</v>
      </c>
      <c r="B173" s="123" t="s">
        <v>1205</v>
      </c>
      <c r="C173" s="115"/>
      <c r="D173" s="136" t="s">
        <v>1677</v>
      </c>
      <c r="E173" s="122"/>
      <c r="F173" s="3"/>
      <c r="G173" s="114"/>
      <c r="H173" s="10"/>
      <c r="J173" s="114"/>
      <c r="K173" s="10"/>
    </row>
    <row r="174" spans="1:11" ht="16" customHeight="1" x14ac:dyDescent="0.4">
      <c r="A174" s="135">
        <v>7</v>
      </c>
      <c r="B174" s="123" t="s">
        <v>1205</v>
      </c>
      <c r="C174" s="115"/>
      <c r="D174" s="136" t="s">
        <v>1677</v>
      </c>
      <c r="E174" s="122"/>
      <c r="F174" s="3"/>
      <c r="G174" s="117"/>
      <c r="H174" s="10"/>
      <c r="J174" s="117"/>
      <c r="K174" s="10"/>
    </row>
    <row r="175" spans="1:11" ht="16" customHeight="1" x14ac:dyDescent="0.4">
      <c r="A175" s="135">
        <v>8</v>
      </c>
      <c r="B175" s="123" t="s">
        <v>1205</v>
      </c>
      <c r="C175" s="115"/>
      <c r="D175" s="136" t="s">
        <v>1677</v>
      </c>
      <c r="E175" s="122"/>
      <c r="F175" s="3"/>
      <c r="G175" s="117"/>
      <c r="H175" s="10"/>
      <c r="J175" s="117"/>
      <c r="K175" s="10"/>
    </row>
    <row r="176" spans="1:11" ht="16" customHeight="1" x14ac:dyDescent="0.4">
      <c r="A176" s="135">
        <v>9</v>
      </c>
      <c r="B176" s="123" t="s">
        <v>1205</v>
      </c>
      <c r="C176" s="115"/>
      <c r="D176" s="136" t="s">
        <v>1677</v>
      </c>
      <c r="E176" s="122"/>
      <c r="F176" s="3"/>
      <c r="G176" s="114"/>
      <c r="H176" s="10"/>
      <c r="J176" s="114"/>
      <c r="K176" s="10"/>
    </row>
    <row r="177" spans="1:11" ht="16" customHeight="1" x14ac:dyDescent="0.4">
      <c r="A177" s="135">
        <v>10</v>
      </c>
      <c r="B177" s="123" t="s">
        <v>1205</v>
      </c>
      <c r="C177" s="115"/>
      <c r="D177" s="136" t="s">
        <v>1677</v>
      </c>
      <c r="E177" s="122"/>
      <c r="F177" s="3"/>
      <c r="G177" s="114"/>
      <c r="H177" s="10"/>
      <c r="J177" s="114"/>
      <c r="K177" s="10"/>
    </row>
    <row r="178" spans="1:11" x14ac:dyDescent="0.4">
      <c r="A178" s="22" t="s">
        <v>1533</v>
      </c>
      <c r="C178" s="115"/>
      <c r="D178" s="22"/>
      <c r="E178"/>
      <c r="F178" s="3"/>
      <c r="G178" s="114"/>
      <c r="H178" s="10"/>
      <c r="J178" s="114"/>
      <c r="K178" s="10"/>
    </row>
    <row r="179" spans="1:11" x14ac:dyDescent="0.4">
      <c r="A179" s="30">
        <v>1</v>
      </c>
      <c r="B179" s="6" t="s">
        <v>1670</v>
      </c>
      <c r="C179" s="115"/>
      <c r="D179" s="22" t="s">
        <v>1674</v>
      </c>
      <c r="E179"/>
      <c r="F179" s="3"/>
      <c r="G179" s="114"/>
      <c r="H179" s="10"/>
      <c r="J179" s="114"/>
      <c r="K179" s="10"/>
    </row>
    <row r="180" spans="1:11" x14ac:dyDescent="0.4">
      <c r="A180" s="30">
        <v>2</v>
      </c>
      <c r="B180" s="6" t="s">
        <v>1671</v>
      </c>
      <c r="C180" s="115"/>
      <c r="D180" s="22" t="s">
        <v>1675</v>
      </c>
      <c r="E180"/>
      <c r="F180" s="3"/>
      <c r="G180" s="114"/>
      <c r="H180" s="10"/>
      <c r="J180" s="114"/>
      <c r="K180" s="10"/>
    </row>
    <row r="181" spans="1:11" x14ac:dyDescent="0.4">
      <c r="A181" s="30">
        <v>3</v>
      </c>
      <c r="B181" s="6" t="s">
        <v>1672</v>
      </c>
      <c r="C181" s="115"/>
      <c r="D181" s="22" t="s">
        <v>1676</v>
      </c>
      <c r="E181"/>
      <c r="F181" s="3"/>
      <c r="G181" s="114"/>
      <c r="H181" s="10"/>
      <c r="J181" s="114"/>
      <c r="K181" s="10"/>
    </row>
    <row r="182" spans="1:11" x14ac:dyDescent="0.4">
      <c r="A182" s="30">
        <v>4</v>
      </c>
      <c r="B182" s="6" t="s">
        <v>1673</v>
      </c>
      <c r="C182" s="115"/>
      <c r="D182" s="22"/>
      <c r="E182"/>
      <c r="F182" s="3"/>
      <c r="G182" s="114"/>
      <c r="H182" s="10"/>
      <c r="J182" s="114"/>
      <c r="K182" s="10"/>
    </row>
    <row r="183" spans="1:11" x14ac:dyDescent="0.4">
      <c r="A183" s="135">
        <v>5</v>
      </c>
      <c r="B183" s="123" t="s">
        <v>1205</v>
      </c>
      <c r="C183" s="115"/>
      <c r="D183" s="136" t="s">
        <v>1677</v>
      </c>
      <c r="E183" s="122"/>
      <c r="F183" s="3"/>
      <c r="G183" s="114"/>
      <c r="H183" s="10"/>
      <c r="K183" s="10"/>
    </row>
    <row r="184" spans="1:11" x14ac:dyDescent="0.4">
      <c r="A184" s="135">
        <v>6</v>
      </c>
      <c r="B184" s="123" t="s">
        <v>1205</v>
      </c>
      <c r="C184" s="115"/>
      <c r="D184" s="136" t="s">
        <v>1677</v>
      </c>
      <c r="E184" s="122"/>
      <c r="F184" s="3"/>
      <c r="G184" s="114"/>
      <c r="H184" s="10"/>
      <c r="K184" s="10"/>
    </row>
    <row r="185" spans="1:11" x14ac:dyDescent="0.4">
      <c r="A185" s="135">
        <v>7</v>
      </c>
      <c r="B185" s="123" t="s">
        <v>1205</v>
      </c>
      <c r="C185" s="115"/>
      <c r="D185" s="136" t="s">
        <v>1677</v>
      </c>
      <c r="E185" s="122"/>
      <c r="F185" s="3"/>
      <c r="G185" s="114"/>
      <c r="H185" s="10"/>
      <c r="K185" s="10"/>
    </row>
    <row r="186" spans="1:11" x14ac:dyDescent="0.4">
      <c r="A186" s="135">
        <v>8</v>
      </c>
      <c r="B186" s="123" t="s">
        <v>1205</v>
      </c>
      <c r="C186" s="115"/>
      <c r="D186" s="136" t="s">
        <v>1677</v>
      </c>
      <c r="E186" s="122"/>
      <c r="F186" s="3"/>
      <c r="G186" s="114"/>
      <c r="H186" s="10"/>
      <c r="K186" s="10"/>
    </row>
    <row r="187" spans="1:11" x14ac:dyDescent="0.4">
      <c r="A187" s="135">
        <v>9</v>
      </c>
      <c r="B187" s="123" t="s">
        <v>1205</v>
      </c>
      <c r="C187" s="115"/>
      <c r="D187" s="136" t="s">
        <v>1677</v>
      </c>
      <c r="E187" s="122"/>
      <c r="F187" s="3"/>
      <c r="G187" s="114"/>
      <c r="H187" s="10"/>
      <c r="K187" s="10"/>
    </row>
    <row r="188" spans="1:11" x14ac:dyDescent="0.4">
      <c r="A188" s="135">
        <v>10</v>
      </c>
      <c r="B188" s="123" t="s">
        <v>1205</v>
      </c>
      <c r="C188" s="115"/>
      <c r="D188" s="136" t="s">
        <v>1677</v>
      </c>
      <c r="E188" s="122"/>
      <c r="F188" s="3"/>
      <c r="G188" s="114"/>
      <c r="H188" s="10"/>
      <c r="K188" s="10"/>
    </row>
    <row r="189" spans="1:11" x14ac:dyDescent="0.4">
      <c r="A189" s="16"/>
      <c r="B189" s="23"/>
      <c r="C189" s="114"/>
      <c r="D189" s="17"/>
      <c r="F189" s="3"/>
      <c r="G189" s="114"/>
      <c r="H189" s="10"/>
      <c r="K189" s="10"/>
    </row>
    <row r="190" spans="1:11" x14ac:dyDescent="0.4">
      <c r="A190" s="16"/>
      <c r="B190" s="23"/>
      <c r="C190" s="114"/>
      <c r="D190" s="17"/>
      <c r="F190" s="3"/>
      <c r="G190" s="114"/>
      <c r="H190" s="10"/>
      <c r="K190" s="10"/>
    </row>
    <row r="191" spans="1:11" x14ac:dyDescent="0.4">
      <c r="A191" s="16"/>
      <c r="B191" s="23"/>
      <c r="C191" s="114"/>
      <c r="D191" s="17"/>
      <c r="F191" s="3"/>
      <c r="G191" s="114"/>
      <c r="H191" s="10"/>
      <c r="K191" s="10"/>
    </row>
    <row r="192" spans="1:11" x14ac:dyDescent="0.4">
      <c r="A192" s="16"/>
      <c r="B192" s="23"/>
      <c r="C192" s="114"/>
      <c r="D192" s="17"/>
      <c r="F192" s="3"/>
      <c r="G192" s="114"/>
      <c r="H192" s="10"/>
      <c r="K192" s="10"/>
    </row>
    <row r="193" spans="1:11" x14ac:dyDescent="0.4">
      <c r="A193" s="16"/>
      <c r="B193" s="23"/>
      <c r="C193" s="114"/>
      <c r="D193" s="17"/>
      <c r="F193" s="3"/>
      <c r="G193" s="114"/>
      <c r="H193" s="10"/>
      <c r="K193" s="10"/>
    </row>
    <row r="194" spans="1:11" x14ac:dyDescent="0.4">
      <c r="A194" s="16"/>
      <c r="B194" s="23"/>
      <c r="C194" s="114"/>
      <c r="D194" s="17"/>
      <c r="F194" s="3"/>
      <c r="G194" s="114"/>
      <c r="H194" s="10"/>
      <c r="K194" s="10"/>
    </row>
    <row r="195" spans="1:11" x14ac:dyDescent="0.4">
      <c r="A195" s="16"/>
      <c r="B195" s="23"/>
      <c r="C195" s="114"/>
      <c r="D195" s="17"/>
      <c r="F195" s="3"/>
      <c r="G195" s="114"/>
      <c r="H195" s="10"/>
      <c r="K195" s="10"/>
    </row>
    <row r="196" spans="1:11" x14ac:dyDescent="0.4">
      <c r="A196" s="16"/>
      <c r="B196" s="23"/>
      <c r="C196" s="114"/>
      <c r="D196" s="17"/>
      <c r="F196" s="3"/>
      <c r="G196" s="114"/>
      <c r="H196" s="10"/>
      <c r="K196" s="10"/>
    </row>
    <row r="197" spans="1:11" x14ac:dyDescent="0.4">
      <c r="A197" s="16"/>
      <c r="B197" s="23"/>
      <c r="C197" s="114"/>
      <c r="D197" s="17"/>
      <c r="F197" s="3"/>
      <c r="G197" s="114"/>
      <c r="H197" s="10"/>
      <c r="K197" s="10"/>
    </row>
    <row r="198" spans="1:11" x14ac:dyDescent="0.4">
      <c r="A198" s="16"/>
      <c r="B198" s="23"/>
      <c r="C198" s="114"/>
      <c r="D198" s="17"/>
      <c r="F198" s="3"/>
      <c r="G198" s="114"/>
      <c r="H198" s="10"/>
      <c r="K198" s="10"/>
    </row>
    <row r="199" spans="1:11" x14ac:dyDescent="0.4">
      <c r="A199" s="16"/>
      <c r="B199" s="23"/>
      <c r="C199" s="114"/>
      <c r="D199" s="17"/>
      <c r="F199" s="3"/>
      <c r="G199" s="114"/>
      <c r="H199" s="10"/>
      <c r="K199" s="10"/>
    </row>
    <row r="200" spans="1:11" x14ac:dyDescent="0.4">
      <c r="A200" s="16"/>
      <c r="B200" s="23"/>
      <c r="C200" s="114"/>
      <c r="D200" s="17"/>
      <c r="F200" s="3"/>
      <c r="G200" s="114"/>
      <c r="H200" s="10"/>
      <c r="K200" s="10"/>
    </row>
    <row r="201" spans="1:11" x14ac:dyDescent="0.4">
      <c r="A201" s="16"/>
      <c r="B201" s="23"/>
      <c r="C201" s="114"/>
      <c r="D201" s="17"/>
      <c r="F201" s="3"/>
      <c r="G201" s="114"/>
      <c r="H201" s="10"/>
      <c r="K201" s="10"/>
    </row>
    <row r="202" spans="1:11" x14ac:dyDescent="0.4">
      <c r="A202" s="16"/>
      <c r="B202" s="23"/>
      <c r="C202" s="114"/>
      <c r="D202" s="17"/>
      <c r="F202" s="3"/>
      <c r="G202" s="114"/>
      <c r="H202" s="10"/>
      <c r="K202" s="10"/>
    </row>
    <row r="203" spans="1:11" x14ac:dyDescent="0.4">
      <c r="A203" s="16"/>
      <c r="B203" s="23"/>
      <c r="C203" s="114"/>
      <c r="D203" s="17"/>
      <c r="F203" s="3"/>
      <c r="G203" s="114"/>
      <c r="H203" s="10"/>
      <c r="K203" s="10"/>
    </row>
    <row r="204" spans="1:11" x14ac:dyDescent="0.4">
      <c r="A204" s="16"/>
      <c r="B204" s="23"/>
      <c r="C204" s="114"/>
      <c r="D204" s="17"/>
      <c r="F204" s="3"/>
      <c r="G204" s="114"/>
      <c r="H204" s="10"/>
      <c r="K204" s="10"/>
    </row>
    <row r="205" spans="1:11" x14ac:dyDescent="0.4">
      <c r="A205" s="16"/>
      <c r="B205" s="23"/>
      <c r="C205" s="114"/>
      <c r="D205" s="17"/>
      <c r="F205" s="3"/>
      <c r="G205" s="114"/>
      <c r="H205" s="10"/>
      <c r="K205" s="10"/>
    </row>
    <row r="206" spans="1:11" x14ac:dyDescent="0.4">
      <c r="A206" s="16"/>
      <c r="B206" s="23"/>
      <c r="C206" s="114"/>
      <c r="D206" s="17"/>
      <c r="F206" s="3"/>
      <c r="G206" s="114"/>
      <c r="H206" s="10"/>
      <c r="K206" s="10"/>
    </row>
    <row r="207" spans="1:11" x14ac:dyDescent="0.4">
      <c r="A207" s="16"/>
      <c r="B207" s="23"/>
      <c r="C207" s="114"/>
      <c r="D207" s="17"/>
      <c r="F207" s="3"/>
      <c r="G207" s="114"/>
      <c r="H207" s="10"/>
      <c r="K207" s="10"/>
    </row>
    <row r="208" spans="1:11" x14ac:dyDescent="0.4">
      <c r="A208" s="16"/>
      <c r="B208" s="23"/>
      <c r="C208" s="114"/>
      <c r="D208" s="17"/>
      <c r="F208" s="3"/>
      <c r="H208" s="10"/>
      <c r="K208" s="10"/>
    </row>
    <row r="209" spans="1:11" x14ac:dyDescent="0.4">
      <c r="A209" s="16"/>
      <c r="B209" s="23"/>
      <c r="C209" s="114"/>
      <c r="D209" s="17"/>
      <c r="F209" s="3"/>
      <c r="H209" s="10"/>
      <c r="K209" s="10"/>
    </row>
    <row r="210" spans="1:11" x14ac:dyDescent="0.4">
      <c r="A210" s="16"/>
      <c r="B210" s="23"/>
      <c r="C210" s="114"/>
      <c r="D210" s="17"/>
      <c r="F210" s="3"/>
      <c r="H210" s="10"/>
      <c r="K210" s="10"/>
    </row>
    <row r="211" spans="1:11" x14ac:dyDescent="0.4">
      <c r="A211" s="20"/>
      <c r="B211" s="21"/>
      <c r="C211" s="114"/>
      <c r="D211" s="17"/>
      <c r="F211" s="3"/>
      <c r="H211" s="10"/>
      <c r="K211" s="10"/>
    </row>
    <row r="212" spans="1:11" x14ac:dyDescent="0.4">
      <c r="A212" s="16"/>
      <c r="B212" s="23"/>
      <c r="C212" s="114"/>
      <c r="D212" s="17"/>
      <c r="F212" s="3"/>
      <c r="H212" s="10"/>
      <c r="K212" s="10"/>
    </row>
    <row r="213" spans="1:11" x14ac:dyDescent="0.4">
      <c r="A213" s="16"/>
      <c r="B213" s="23"/>
      <c r="C213" s="114"/>
      <c r="D213" s="17"/>
      <c r="F213" s="3"/>
      <c r="H213" s="10"/>
      <c r="K213" s="10"/>
    </row>
    <row r="214" spans="1:11" x14ac:dyDescent="0.4">
      <c r="A214" s="16"/>
      <c r="B214" s="23"/>
      <c r="C214" s="114"/>
      <c r="D214" s="17"/>
      <c r="F214" s="3"/>
      <c r="H214" s="10"/>
      <c r="K214" s="10"/>
    </row>
    <row r="215" spans="1:11" x14ac:dyDescent="0.4">
      <c r="A215" s="16"/>
      <c r="B215" s="23"/>
      <c r="C215" s="114"/>
      <c r="D215" s="17"/>
      <c r="F215" s="3"/>
      <c r="H215" s="10"/>
      <c r="K215" s="10"/>
    </row>
    <row r="216" spans="1:11" x14ac:dyDescent="0.4">
      <c r="A216" s="16"/>
      <c r="B216" s="23"/>
      <c r="C216" s="114"/>
      <c r="D216" s="17"/>
      <c r="F216" s="3"/>
      <c r="H216" s="10"/>
      <c r="K216" s="10"/>
    </row>
    <row r="217" spans="1:11" x14ac:dyDescent="0.4">
      <c r="A217" s="16"/>
      <c r="B217" s="23"/>
      <c r="C217" s="114"/>
      <c r="D217" s="17"/>
      <c r="F217" s="3"/>
      <c r="H217" s="10"/>
      <c r="K217" s="10"/>
    </row>
    <row r="218" spans="1:11" x14ac:dyDescent="0.4">
      <c r="A218" s="16"/>
      <c r="B218" s="23"/>
      <c r="C218" s="114"/>
      <c r="D218" s="17"/>
      <c r="F218" s="3"/>
      <c r="H218" s="10"/>
      <c r="K218" s="10"/>
    </row>
    <row r="219" spans="1:11" x14ac:dyDescent="0.4">
      <c r="A219" s="16"/>
      <c r="B219" s="23"/>
      <c r="C219" s="114"/>
      <c r="D219" s="17"/>
      <c r="F219" s="3"/>
      <c r="H219" s="10"/>
      <c r="K219" s="10"/>
    </row>
    <row r="220" spans="1:11" x14ac:dyDescent="0.4">
      <c r="A220" s="16"/>
      <c r="B220" s="23"/>
      <c r="C220" s="114"/>
      <c r="D220" s="17"/>
      <c r="F220" s="3"/>
      <c r="H220" s="10"/>
      <c r="K220" s="10"/>
    </row>
    <row r="221" spans="1:11" x14ac:dyDescent="0.4">
      <c r="A221" s="20"/>
      <c r="B221" s="21"/>
      <c r="D221" s="17"/>
      <c r="F221" s="3"/>
      <c r="H221" s="10"/>
      <c r="K221" s="10"/>
    </row>
    <row r="222" spans="1:11" x14ac:dyDescent="0.4">
      <c r="A222" s="16"/>
      <c r="B222" s="23"/>
      <c r="D222" s="17"/>
      <c r="F222" s="3"/>
      <c r="H222" s="10"/>
      <c r="K222" s="10"/>
    </row>
    <row r="223" spans="1:11" x14ac:dyDescent="0.4">
      <c r="A223" s="16"/>
      <c r="B223" s="23"/>
      <c r="D223" s="17"/>
      <c r="F223" s="3"/>
      <c r="H223" s="10"/>
      <c r="K223" s="10"/>
    </row>
    <row r="224" spans="1:11" x14ac:dyDescent="0.4">
      <c r="A224" s="16"/>
      <c r="B224" s="23"/>
      <c r="D224" s="17"/>
      <c r="F224" s="3"/>
      <c r="H224" s="10"/>
      <c r="K224" s="10"/>
    </row>
    <row r="225" spans="1:11" x14ac:dyDescent="0.4">
      <c r="A225" s="16"/>
      <c r="B225" s="23"/>
      <c r="D225" s="17"/>
      <c r="F225" s="3"/>
      <c r="H225" s="10"/>
      <c r="K225" s="10"/>
    </row>
    <row r="226" spans="1:11" x14ac:dyDescent="0.4">
      <c r="A226" s="16"/>
      <c r="B226" s="23"/>
      <c r="D226" s="17"/>
      <c r="F226" s="3"/>
      <c r="H226" s="10"/>
      <c r="K226" s="10"/>
    </row>
    <row r="227" spans="1:11" x14ac:dyDescent="0.4">
      <c r="A227" s="16"/>
      <c r="B227" s="23"/>
      <c r="D227" s="17"/>
      <c r="F227" s="3"/>
      <c r="H227" s="10"/>
      <c r="K227" s="10"/>
    </row>
    <row r="228" spans="1:11" x14ac:dyDescent="0.4">
      <c r="A228" s="16"/>
      <c r="B228" s="23"/>
      <c r="D228" s="17"/>
      <c r="F228" s="3"/>
      <c r="H228" s="10"/>
      <c r="K228" s="10"/>
    </row>
    <row r="229" spans="1:11" x14ac:dyDescent="0.4">
      <c r="A229" s="16"/>
      <c r="B229" s="23"/>
      <c r="D229" s="17"/>
      <c r="F229" s="3"/>
      <c r="H229" s="10"/>
      <c r="K229" s="10"/>
    </row>
    <row r="230" spans="1:11" x14ac:dyDescent="0.4">
      <c r="A230" s="16"/>
      <c r="B230" s="23"/>
      <c r="D230" s="17"/>
      <c r="F230" s="3"/>
      <c r="H230" s="10"/>
      <c r="K230" s="10"/>
    </row>
    <row r="231" spans="1:11" x14ac:dyDescent="0.4">
      <c r="A231" s="16"/>
      <c r="B231" s="23"/>
      <c r="D231" s="17"/>
      <c r="F231" s="3"/>
      <c r="H231" s="10"/>
      <c r="K231" s="10"/>
    </row>
    <row r="232" spans="1:11" x14ac:dyDescent="0.4">
      <c r="A232" s="16"/>
      <c r="B232" s="23"/>
      <c r="D232" s="17"/>
      <c r="F232" s="3"/>
      <c r="H232" s="10"/>
      <c r="K232" s="10"/>
    </row>
    <row r="233" spans="1:11" x14ac:dyDescent="0.4">
      <c r="A233" s="16"/>
      <c r="B233" s="23"/>
      <c r="D233" s="17"/>
      <c r="F233" s="3"/>
      <c r="H233" s="10"/>
      <c r="K233" s="10"/>
    </row>
    <row r="234" spans="1:11" x14ac:dyDescent="0.4">
      <c r="A234" s="16"/>
      <c r="B234" s="23"/>
      <c r="D234" s="17"/>
      <c r="F234" s="3"/>
      <c r="H234" s="10"/>
      <c r="K234" s="10"/>
    </row>
    <row r="235" spans="1:11" x14ac:dyDescent="0.4">
      <c r="A235" s="16"/>
      <c r="B235" s="23"/>
      <c r="D235" s="17"/>
      <c r="F235" s="3"/>
      <c r="H235" s="10"/>
      <c r="K235" s="10"/>
    </row>
    <row r="236" spans="1:11" x14ac:dyDescent="0.4">
      <c r="A236" s="16"/>
      <c r="B236" s="23"/>
      <c r="D236" s="17"/>
      <c r="F236" s="3"/>
      <c r="H236" s="10"/>
      <c r="K236" s="10"/>
    </row>
    <row r="237" spans="1:11" x14ac:dyDescent="0.4">
      <c r="A237" s="16"/>
      <c r="B237" s="23"/>
      <c r="D237" s="17"/>
      <c r="F237" s="3"/>
      <c r="H237" s="10"/>
      <c r="K237" s="10"/>
    </row>
    <row r="238" spans="1:11" x14ac:dyDescent="0.4">
      <c r="A238" s="16"/>
      <c r="B238" s="23"/>
      <c r="D238" s="17"/>
      <c r="F238" s="3"/>
      <c r="H238" s="10"/>
      <c r="K238" s="10"/>
    </row>
    <row r="239" spans="1:11" x14ac:dyDescent="0.4">
      <c r="A239" s="20"/>
      <c r="B239" s="21"/>
      <c r="D239" s="17"/>
      <c r="F239" s="3"/>
      <c r="H239" s="10"/>
      <c r="K239" s="10"/>
    </row>
    <row r="240" spans="1:11" x14ac:dyDescent="0.4">
      <c r="A240" s="16"/>
      <c r="B240" s="23"/>
      <c r="D240" s="17"/>
      <c r="F240" s="3"/>
      <c r="H240" s="10"/>
      <c r="K240" s="10"/>
    </row>
    <row r="241" spans="1:11" x14ac:dyDescent="0.4">
      <c r="A241" s="16"/>
      <c r="B241" s="23"/>
      <c r="D241" s="17"/>
      <c r="F241" s="3"/>
      <c r="H241" s="10"/>
      <c r="K241" s="10"/>
    </row>
    <row r="242" spans="1:11" x14ac:dyDescent="0.4">
      <c r="A242" s="16"/>
      <c r="B242" s="23"/>
      <c r="D242" s="17"/>
      <c r="F242" s="3"/>
      <c r="H242" s="10"/>
      <c r="K242" s="10"/>
    </row>
    <row r="243" spans="1:11" x14ac:dyDescent="0.4">
      <c r="A243" s="16"/>
      <c r="B243" s="23"/>
      <c r="D243" s="17"/>
      <c r="F243" s="3"/>
      <c r="H243" s="10"/>
      <c r="K243" s="10"/>
    </row>
    <row r="244" spans="1:11" x14ac:dyDescent="0.4">
      <c r="A244" s="16"/>
      <c r="B244" s="23"/>
      <c r="D244" s="17"/>
      <c r="F244" s="3"/>
      <c r="H244" s="10"/>
      <c r="K244" s="10"/>
    </row>
    <row r="245" spans="1:11" x14ac:dyDescent="0.4">
      <c r="A245" s="16"/>
      <c r="B245" s="23"/>
      <c r="D245" s="17"/>
      <c r="F245" s="3"/>
      <c r="H245" s="10"/>
      <c r="K245" s="10"/>
    </row>
    <row r="246" spans="1:11" x14ac:dyDescent="0.4">
      <c r="A246" s="16"/>
      <c r="F246" s="3"/>
      <c r="H246" s="10"/>
      <c r="K246" s="10"/>
    </row>
    <row r="247" spans="1:11" x14ac:dyDescent="0.4">
      <c r="A247" s="22"/>
      <c r="F247" s="3"/>
      <c r="H247" s="10"/>
      <c r="K247" s="10"/>
    </row>
    <row r="248" spans="1:11" x14ac:dyDescent="0.4">
      <c r="A248" s="16"/>
      <c r="F248" s="3"/>
      <c r="H248" s="10"/>
      <c r="K248" s="10"/>
    </row>
    <row r="249" spans="1:11" x14ac:dyDescent="0.4">
      <c r="A249" s="22"/>
      <c r="F249" s="3"/>
      <c r="H249" s="10"/>
      <c r="K249" s="10"/>
    </row>
    <row r="250" spans="1:11" x14ac:dyDescent="0.4">
      <c r="A250" s="22"/>
      <c r="F250" s="3"/>
      <c r="H250" s="10"/>
      <c r="K250" s="10"/>
    </row>
    <row r="251" spans="1:11" x14ac:dyDescent="0.4">
      <c r="A251" s="22"/>
      <c r="F251" s="3"/>
      <c r="H251" s="10"/>
      <c r="K251" s="10"/>
    </row>
    <row r="252" spans="1:11" x14ac:dyDescent="0.4">
      <c r="A252" s="22"/>
      <c r="F252" s="3"/>
      <c r="H252" s="10"/>
      <c r="K252" s="10"/>
    </row>
    <row r="253" spans="1:11" x14ac:dyDescent="0.4">
      <c r="A253" s="22"/>
      <c r="F253" s="3"/>
      <c r="H253" s="10"/>
      <c r="K253" s="10"/>
    </row>
    <row r="254" spans="1:11" x14ac:dyDescent="0.4">
      <c r="A254" s="22"/>
      <c r="F254" s="3"/>
      <c r="H254" s="10"/>
      <c r="K254" s="10"/>
    </row>
    <row r="255" spans="1:11" x14ac:dyDescent="0.4">
      <c r="A255" s="22"/>
      <c r="F255" s="3"/>
      <c r="H255" s="10"/>
    </row>
    <row r="256" spans="1:11" x14ac:dyDescent="0.4">
      <c r="A256" s="22"/>
      <c r="F256" s="3"/>
      <c r="H256" s="10"/>
    </row>
    <row r="257" spans="1:1" x14ac:dyDescent="0.4">
      <c r="A257" s="22"/>
    </row>
    <row r="258" spans="1:1" x14ac:dyDescent="0.4">
      <c r="A258" s="22"/>
    </row>
    <row r="259" spans="1:1" x14ac:dyDescent="0.4">
      <c r="A259" s="22"/>
    </row>
    <row r="260" spans="1:1" x14ac:dyDescent="0.4">
      <c r="A260" s="22"/>
    </row>
    <row r="261" spans="1:1" x14ac:dyDescent="0.4">
      <c r="A261" s="22"/>
    </row>
    <row r="262" spans="1:1" x14ac:dyDescent="0.4">
      <c r="A262" s="22"/>
    </row>
  </sheetData>
  <pageMargins left="0.7" right="0.7" top="0.75" bottom="0.75" header="0.3" footer="0.3"/>
  <pageSetup orientation="portrait" r:id="rId1"/>
  <drawing r:id="rId2"/>
  <legacyDrawing r:id="rId3"/>
  <controls>
    <mc:AlternateContent xmlns:mc="http://schemas.openxmlformats.org/markup-compatibility/2006">
      <mc:Choice Requires="x14">
        <control shapeId="12294" r:id="rId4" name="cmbGetParm">
          <controlPr defaultSize="0" autoLine="0" r:id="rId5">
            <anchor moveWithCells="1">
              <from>
                <xdr:col>5</xdr:col>
                <xdr:colOff>65314</xdr:colOff>
                <xdr:row>0</xdr:row>
                <xdr:rowOff>228600</xdr:rowOff>
              </from>
              <to>
                <xdr:col>6</xdr:col>
                <xdr:colOff>457200</xdr:colOff>
                <xdr:row>1</xdr:row>
                <xdr:rowOff>234043</xdr:rowOff>
              </to>
            </anchor>
          </controlPr>
        </control>
      </mc:Choice>
      <mc:Fallback>
        <control shapeId="12294" r:id="rId4" name="cmbGetParm"/>
      </mc:Fallback>
    </mc:AlternateContent>
    <mc:AlternateContent xmlns:mc="http://schemas.openxmlformats.org/markup-compatibility/2006">
      <mc:Choice Requires="x14">
        <control shapeId="12293" r:id="rId6" name="cmbBoxParm">
          <controlPr defaultSize="0" autoLine="0" linkedCell="B2" r:id="rId7">
            <anchor moveWithCells="1">
              <from>
                <xdr:col>1</xdr:col>
                <xdr:colOff>21771</xdr:colOff>
                <xdr:row>1</xdr:row>
                <xdr:rowOff>21771</xdr:rowOff>
              </from>
              <to>
                <xdr:col>2</xdr:col>
                <xdr:colOff>680357</xdr:colOff>
                <xdr:row>2</xdr:row>
                <xdr:rowOff>10886</xdr:rowOff>
              </to>
            </anchor>
          </controlPr>
        </control>
      </mc:Choice>
      <mc:Fallback>
        <control shapeId="12293" r:id="rId6" name="cmbBoxParm"/>
      </mc:Fallback>
    </mc:AlternateContent>
    <mc:AlternateContent xmlns:mc="http://schemas.openxmlformats.org/markup-compatibility/2006">
      <mc:Choice Requires="x14">
        <control shapeId="12290" r:id="rId8" name="cmdWriteParm">
          <controlPr defaultSize="0" autoLine="0" r:id="rId9">
            <anchor moveWithCells="1">
              <from>
                <xdr:col>8</xdr:col>
                <xdr:colOff>446314</xdr:colOff>
                <xdr:row>0</xdr:row>
                <xdr:rowOff>228600</xdr:rowOff>
              </from>
              <to>
                <xdr:col>10</xdr:col>
                <xdr:colOff>239486</xdr:colOff>
                <xdr:row>1</xdr:row>
                <xdr:rowOff>234043</xdr:rowOff>
              </to>
            </anchor>
          </controlPr>
        </control>
      </mc:Choice>
      <mc:Fallback>
        <control shapeId="12290" r:id="rId8" name="cmdWriteParm"/>
      </mc:Fallback>
    </mc:AlternateContent>
    <mc:AlternateContent xmlns:mc="http://schemas.openxmlformats.org/markup-compatibility/2006">
      <mc:Choice Requires="x14">
        <control shapeId="12289" r:id="rId10" name="cmdReadParm">
          <controlPr defaultSize="0" autoLine="0" r:id="rId11">
            <anchor moveWithCells="1">
              <from>
                <xdr:col>6</xdr:col>
                <xdr:colOff>555171</xdr:colOff>
                <xdr:row>0</xdr:row>
                <xdr:rowOff>228600</xdr:rowOff>
              </from>
              <to>
                <xdr:col>8</xdr:col>
                <xdr:colOff>359229</xdr:colOff>
                <xdr:row>1</xdr:row>
                <xdr:rowOff>234043</xdr:rowOff>
              </to>
            </anchor>
          </controlPr>
        </control>
      </mc:Choice>
      <mc:Fallback>
        <control shapeId="12289" r:id="rId10" name="cmdReadParm"/>
      </mc:Fallback>
    </mc:AlternateContent>
    <mc:AlternateContent xmlns:mc="http://schemas.openxmlformats.org/markup-compatibility/2006">
      <mc:Choice Requires="x14">
        <control shapeId="12291" r:id="rId12" name="cmdRun">
          <controlPr defaultSize="0" autoLine="0" r:id="rId13">
            <anchor moveWithCells="1">
              <from>
                <xdr:col>10</xdr:col>
                <xdr:colOff>370114</xdr:colOff>
                <xdr:row>0</xdr:row>
                <xdr:rowOff>228600</xdr:rowOff>
              </from>
              <to>
                <xdr:col>12</xdr:col>
                <xdr:colOff>163286</xdr:colOff>
                <xdr:row>1</xdr:row>
                <xdr:rowOff>234043</xdr:rowOff>
              </to>
            </anchor>
          </controlPr>
        </control>
      </mc:Choice>
      <mc:Fallback>
        <control shapeId="12291" r:id="rId12" name="cmdRu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Q87"/>
  <sheetViews>
    <sheetView zoomScale="84" zoomScaleNormal="84" workbookViewId="0">
      <pane ySplit="45" topLeftCell="A46" activePane="bottomLeft" state="frozen"/>
      <selection pane="bottomLeft"/>
    </sheetView>
  </sheetViews>
  <sheetFormatPr defaultRowHeight="15.9" x14ac:dyDescent="0.45"/>
  <cols>
    <col min="1" max="1" width="12.15234375" style="82" customWidth="1"/>
    <col min="2" max="3" width="9.15234375" style="82"/>
    <col min="4" max="4" width="10.3828125" style="82" bestFit="1" customWidth="1"/>
    <col min="5" max="5" width="11.84375" style="82" bestFit="1" customWidth="1"/>
    <col min="6" max="6" width="9.15234375" style="82"/>
    <col min="7" max="7" width="9.15234375" style="83"/>
    <col min="8" max="8" width="9.53515625" style="84" bestFit="1" customWidth="1"/>
    <col min="9" max="14" width="9.15234375" style="84"/>
    <col min="15" max="15" width="29.69140625" bestFit="1" customWidth="1"/>
    <col min="17" max="17" width="9.69140625" bestFit="1" customWidth="1"/>
  </cols>
  <sheetData>
    <row r="1" spans="1:17" ht="20.6" x14ac:dyDescent="0.4">
      <c r="A1" s="94" t="s">
        <v>895</v>
      </c>
      <c r="B1"/>
      <c r="C1"/>
      <c r="D1"/>
      <c r="E1"/>
      <c r="F1"/>
      <c r="G1"/>
      <c r="H1"/>
      <c r="I1"/>
      <c r="J1"/>
      <c r="K1"/>
      <c r="L1"/>
      <c r="M1"/>
      <c r="N1"/>
    </row>
    <row r="2" spans="1:17" ht="14.6" x14ac:dyDescent="0.4">
      <c r="A2"/>
      <c r="B2"/>
      <c r="C2"/>
      <c r="D2"/>
      <c r="E2"/>
      <c r="F2"/>
      <c r="G2"/>
      <c r="H2"/>
      <c r="I2"/>
      <c r="J2"/>
      <c r="K2"/>
      <c r="L2"/>
      <c r="M2"/>
      <c r="N2"/>
    </row>
    <row r="3" spans="1:17" ht="14.6" x14ac:dyDescent="0.4">
      <c r="A3" s="26" t="s">
        <v>662</v>
      </c>
      <c r="B3" t="s">
        <v>1867</v>
      </c>
      <c r="C3"/>
      <c r="D3" s="27" t="s">
        <v>758</v>
      </c>
      <c r="E3" s="8" t="s">
        <v>1866</v>
      </c>
      <c r="F3"/>
      <c r="G3"/>
      <c r="H3"/>
      <c r="I3"/>
      <c r="J3"/>
      <c r="K3"/>
      <c r="L3"/>
      <c r="M3"/>
      <c r="N3"/>
    </row>
    <row r="4" spans="1:17" ht="14.6" x14ac:dyDescent="0.4">
      <c r="A4" s="5" t="s">
        <v>900</v>
      </c>
      <c r="B4"/>
      <c r="C4" s="73" t="s">
        <v>901</v>
      </c>
      <c r="D4"/>
      <c r="E4"/>
      <c r="F4"/>
      <c r="G4"/>
      <c r="H4"/>
      <c r="I4"/>
      <c r="J4"/>
      <c r="K4"/>
      <c r="L4"/>
      <c r="M4"/>
      <c r="N4"/>
    </row>
    <row r="5" spans="1:17" s="10" customFormat="1" ht="18.649999999999999" customHeight="1" x14ac:dyDescent="0.45">
      <c r="A5" s="26"/>
      <c r="B5" s="82"/>
      <c r="C5" s="82"/>
      <c r="D5" s="82"/>
      <c r="E5" s="82"/>
      <c r="F5" s="82"/>
      <c r="G5" s="83"/>
      <c r="H5" s="84"/>
      <c r="I5" s="84"/>
      <c r="J5" s="84"/>
      <c r="K5" s="84"/>
      <c r="L5" s="84"/>
      <c r="M5" s="84"/>
      <c r="N5" s="84"/>
    </row>
    <row r="6" spans="1:17" s="167" customFormat="1" ht="14.6" hidden="1" x14ac:dyDescent="0.4">
      <c r="A6" s="67" t="s">
        <v>671</v>
      </c>
      <c r="B6" s="67" t="s">
        <v>672</v>
      </c>
      <c r="C6" s="67" t="s">
        <v>661</v>
      </c>
      <c r="D6" s="67" t="s">
        <v>1435</v>
      </c>
      <c r="E6" s="67" t="s">
        <v>1436</v>
      </c>
      <c r="F6" s="67" t="s">
        <v>1434</v>
      </c>
      <c r="G6" s="167" t="s">
        <v>1525</v>
      </c>
      <c r="H6" s="1" t="s">
        <v>673</v>
      </c>
      <c r="I6" s="1" t="s">
        <v>674</v>
      </c>
      <c r="J6" s="1" t="s">
        <v>675</v>
      </c>
      <c r="K6" s="1" t="s">
        <v>676</v>
      </c>
      <c r="L6" s="1" t="s">
        <v>677</v>
      </c>
      <c r="M6" s="1" t="s">
        <v>678</v>
      </c>
      <c r="N6" s="1" t="s">
        <v>679</v>
      </c>
      <c r="O6" s="1" t="s">
        <v>1410</v>
      </c>
      <c r="P6"/>
      <c r="Q6"/>
    </row>
    <row r="7" spans="1:17" s="10" customFormat="1" ht="14.6" hidden="1" x14ac:dyDescent="0.4">
      <c r="A7">
        <v>1</v>
      </c>
      <c r="B7">
        <v>1</v>
      </c>
      <c r="C7">
        <v>1</v>
      </c>
      <c r="D7" s="8">
        <v>240</v>
      </c>
      <c r="E7">
        <v>0</v>
      </c>
      <c r="F7">
        <v>2</v>
      </c>
      <c r="G7" s="172">
        <v>0</v>
      </c>
      <c r="H7" s="121">
        <v>0</v>
      </c>
      <c r="I7" s="90">
        <v>0</v>
      </c>
      <c r="J7" s="121">
        <v>0</v>
      </c>
      <c r="K7" s="121">
        <v>0</v>
      </c>
      <c r="L7" s="121">
        <v>0</v>
      </c>
      <c r="M7" s="121">
        <v>0</v>
      </c>
      <c r="N7" s="24">
        <v>0</v>
      </c>
      <c r="O7" s="10" t="s">
        <v>1411</v>
      </c>
      <c r="P7"/>
      <c r="Q7"/>
    </row>
    <row r="8" spans="1:17" s="10" customFormat="1" ht="14.6" hidden="1" x14ac:dyDescent="0.4">
      <c r="A8">
        <v>1</v>
      </c>
      <c r="B8">
        <v>1</v>
      </c>
      <c r="C8">
        <v>1</v>
      </c>
      <c r="D8" s="79">
        <v>451</v>
      </c>
      <c r="E8">
        <v>0</v>
      </c>
      <c r="F8">
        <v>2</v>
      </c>
      <c r="G8" s="172">
        <v>0</v>
      </c>
      <c r="H8" s="121">
        <v>0</v>
      </c>
      <c r="I8" s="90">
        <v>0</v>
      </c>
      <c r="J8" s="121">
        <v>0</v>
      </c>
      <c r="K8" s="121">
        <v>0</v>
      </c>
      <c r="L8" s="121">
        <v>0</v>
      </c>
      <c r="M8" s="121">
        <v>0</v>
      </c>
      <c r="N8" s="24">
        <v>0</v>
      </c>
      <c r="O8" s="10" t="s">
        <v>1440</v>
      </c>
      <c r="P8"/>
      <c r="Q8"/>
    </row>
    <row r="9" spans="1:17" s="10" customFormat="1" ht="14.6" hidden="1" x14ac:dyDescent="0.4">
      <c r="A9">
        <v>1</v>
      </c>
      <c r="B9">
        <v>1</v>
      </c>
      <c r="C9">
        <v>1</v>
      </c>
      <c r="D9" s="8">
        <v>292</v>
      </c>
      <c r="E9">
        <v>0</v>
      </c>
      <c r="F9">
        <v>2</v>
      </c>
      <c r="G9" s="172">
        <v>0</v>
      </c>
      <c r="H9" s="121">
        <v>0</v>
      </c>
      <c r="I9" s="90">
        <v>0</v>
      </c>
      <c r="J9" s="121">
        <v>0</v>
      </c>
      <c r="K9" s="121">
        <v>0</v>
      </c>
      <c r="L9" s="121">
        <v>0</v>
      </c>
      <c r="M9" s="121">
        <v>0</v>
      </c>
      <c r="N9" s="24">
        <v>0</v>
      </c>
      <c r="O9" s="10" t="s">
        <v>1412</v>
      </c>
      <c r="P9"/>
      <c r="Q9"/>
    </row>
    <row r="10" spans="1:17" s="10" customFormat="1" ht="14.6" hidden="1" x14ac:dyDescent="0.4">
      <c r="A10">
        <v>1</v>
      </c>
      <c r="B10">
        <v>1</v>
      </c>
      <c r="C10">
        <v>1</v>
      </c>
      <c r="D10" s="79">
        <v>748</v>
      </c>
      <c r="E10">
        <v>0</v>
      </c>
      <c r="F10">
        <v>2</v>
      </c>
      <c r="G10" s="104">
        <v>2</v>
      </c>
      <c r="H10" s="121">
        <v>0</v>
      </c>
      <c r="I10" s="90">
        <v>0</v>
      </c>
      <c r="J10" s="121">
        <v>0</v>
      </c>
      <c r="K10" s="121">
        <v>0</v>
      </c>
      <c r="L10" s="121">
        <v>0</v>
      </c>
      <c r="M10" s="121">
        <v>0</v>
      </c>
      <c r="N10" s="24">
        <v>0</v>
      </c>
      <c r="O10" s="10" t="s">
        <v>1413</v>
      </c>
      <c r="P10"/>
      <c r="Q10"/>
    </row>
    <row r="11" spans="1:17" s="10" customFormat="1" ht="14.6" hidden="1" x14ac:dyDescent="0.4">
      <c r="A11">
        <v>1</v>
      </c>
      <c r="B11">
        <v>1</v>
      </c>
      <c r="C11">
        <v>1</v>
      </c>
      <c r="D11" s="8">
        <v>141</v>
      </c>
      <c r="E11">
        <v>0</v>
      </c>
      <c r="F11">
        <v>2</v>
      </c>
      <c r="G11" s="172">
        <v>0</v>
      </c>
      <c r="H11" s="90">
        <v>1800</v>
      </c>
      <c r="I11" s="90">
        <v>0</v>
      </c>
      <c r="J11" s="121">
        <v>0</v>
      </c>
      <c r="K11" s="121">
        <v>0</v>
      </c>
      <c r="L11" s="24">
        <v>10</v>
      </c>
      <c r="M11" s="24">
        <v>500</v>
      </c>
      <c r="N11" s="24">
        <v>0</v>
      </c>
      <c r="O11" s="10" t="s">
        <v>1414</v>
      </c>
      <c r="P11"/>
      <c r="Q11"/>
    </row>
    <row r="12" spans="1:17" s="10" customFormat="1" ht="14.6" hidden="1" x14ac:dyDescent="0.4">
      <c r="A12">
        <v>1</v>
      </c>
      <c r="B12">
        <v>1</v>
      </c>
      <c r="C12">
        <v>1</v>
      </c>
      <c r="D12" s="8">
        <v>132</v>
      </c>
      <c r="E12">
        <v>0</v>
      </c>
      <c r="F12">
        <v>10</v>
      </c>
      <c r="G12" s="104">
        <v>12</v>
      </c>
      <c r="H12" s="121">
        <v>0</v>
      </c>
      <c r="I12" s="90">
        <v>0</v>
      </c>
      <c r="J12" s="90">
        <v>1.1000000000000001</v>
      </c>
      <c r="K12" s="121">
        <v>0</v>
      </c>
      <c r="L12" s="24">
        <v>10</v>
      </c>
      <c r="M12" s="24">
        <v>500</v>
      </c>
      <c r="N12" s="24">
        <v>0</v>
      </c>
      <c r="O12" s="10" t="s">
        <v>1415</v>
      </c>
      <c r="P12"/>
      <c r="Q12"/>
    </row>
    <row r="13" spans="1:17" s="10" customFormat="1" ht="14.6" hidden="1" x14ac:dyDescent="0.4">
      <c r="A13">
        <v>1</v>
      </c>
      <c r="B13">
        <v>1</v>
      </c>
      <c r="C13">
        <v>1</v>
      </c>
      <c r="D13" s="8">
        <v>274</v>
      </c>
      <c r="E13">
        <v>0</v>
      </c>
      <c r="F13">
        <v>2</v>
      </c>
      <c r="G13" s="104">
        <v>23</v>
      </c>
      <c r="H13" s="90">
        <v>12</v>
      </c>
      <c r="I13" s="90">
        <v>0.99</v>
      </c>
      <c r="J13" s="121">
        <v>0</v>
      </c>
      <c r="K13" s="121">
        <v>0</v>
      </c>
      <c r="L13" s="121">
        <v>0</v>
      </c>
      <c r="M13" s="121">
        <v>0</v>
      </c>
      <c r="N13" s="24">
        <v>0</v>
      </c>
      <c r="O13" s="10" t="s">
        <v>1437</v>
      </c>
      <c r="P13"/>
      <c r="Q13"/>
    </row>
    <row r="14" spans="1:17" s="10" customFormat="1" ht="14.6" hidden="1" x14ac:dyDescent="0.4">
      <c r="A14">
        <v>1</v>
      </c>
      <c r="B14">
        <v>1</v>
      </c>
      <c r="C14">
        <v>1</v>
      </c>
      <c r="D14" s="8">
        <v>500</v>
      </c>
      <c r="E14">
        <v>0</v>
      </c>
      <c r="F14">
        <v>2</v>
      </c>
      <c r="G14" s="172">
        <v>0</v>
      </c>
      <c r="H14" s="90">
        <v>12</v>
      </c>
      <c r="I14" s="121">
        <v>0</v>
      </c>
      <c r="J14" s="90">
        <v>0.9</v>
      </c>
      <c r="K14" s="24">
        <v>0.1</v>
      </c>
      <c r="L14" s="24">
        <v>1.1000000000000001</v>
      </c>
      <c r="M14" s="121">
        <v>0</v>
      </c>
      <c r="N14" s="24">
        <v>0</v>
      </c>
      <c r="O14" s="10" t="s">
        <v>1458</v>
      </c>
      <c r="P14"/>
      <c r="Q14"/>
    </row>
    <row r="15" spans="1:17" s="10" customFormat="1" ht="14.6" hidden="1" x14ac:dyDescent="0.4">
      <c r="A15">
        <v>1</v>
      </c>
      <c r="B15">
        <v>1</v>
      </c>
      <c r="C15">
        <v>1</v>
      </c>
      <c r="D15" s="8">
        <v>500</v>
      </c>
      <c r="E15">
        <v>0</v>
      </c>
      <c r="F15">
        <v>2</v>
      </c>
      <c r="G15" s="172">
        <v>0</v>
      </c>
      <c r="H15" s="90">
        <v>0</v>
      </c>
      <c r="I15" s="121">
        <v>0</v>
      </c>
      <c r="J15" s="90">
        <v>-999</v>
      </c>
      <c r="K15" s="24">
        <v>0</v>
      </c>
      <c r="L15" s="24">
        <v>0</v>
      </c>
      <c r="M15" s="121">
        <v>0</v>
      </c>
      <c r="N15" s="24">
        <v>0</v>
      </c>
      <c r="O15" s="10" t="s">
        <v>1459</v>
      </c>
      <c r="P15"/>
      <c r="Q15"/>
    </row>
    <row r="16" spans="1:17" s="10" customFormat="1" ht="14.6" hidden="1" x14ac:dyDescent="0.4">
      <c r="A16">
        <v>1</v>
      </c>
      <c r="B16">
        <v>1</v>
      </c>
      <c r="C16">
        <v>1</v>
      </c>
      <c r="D16" s="8">
        <v>261</v>
      </c>
      <c r="E16">
        <v>0</v>
      </c>
      <c r="F16">
        <v>2</v>
      </c>
      <c r="G16" s="104">
        <v>64</v>
      </c>
      <c r="H16" s="90">
        <v>12</v>
      </c>
      <c r="I16" s="90">
        <v>0</v>
      </c>
      <c r="J16" s="121">
        <v>0</v>
      </c>
      <c r="K16" s="121">
        <v>0</v>
      </c>
      <c r="L16" s="121">
        <v>0</v>
      </c>
      <c r="M16" s="121">
        <v>0</v>
      </c>
      <c r="N16" s="24">
        <v>0</v>
      </c>
      <c r="O16" s="10" t="s">
        <v>1439</v>
      </c>
      <c r="P16"/>
      <c r="Q16"/>
    </row>
    <row r="17" spans="1:17" s="10" customFormat="1" ht="14.6" hidden="1" x14ac:dyDescent="0.4">
      <c r="A17">
        <v>1</v>
      </c>
      <c r="B17">
        <v>1</v>
      </c>
      <c r="C17">
        <v>1</v>
      </c>
      <c r="D17" s="79">
        <v>632</v>
      </c>
      <c r="E17">
        <v>0</v>
      </c>
      <c r="F17">
        <v>2</v>
      </c>
      <c r="G17" s="172">
        <v>0</v>
      </c>
      <c r="H17" s="121">
        <v>0</v>
      </c>
      <c r="I17" s="121">
        <v>0</v>
      </c>
      <c r="J17" s="121">
        <v>0</v>
      </c>
      <c r="K17" s="121">
        <v>0</v>
      </c>
      <c r="L17" s="121">
        <v>0</v>
      </c>
      <c r="M17" s="121">
        <v>0</v>
      </c>
      <c r="N17" s="24">
        <v>0</v>
      </c>
      <c r="O17" s="10" t="s">
        <v>1416</v>
      </c>
      <c r="P17"/>
      <c r="Q17"/>
    </row>
    <row r="18" spans="1:17" s="10" customFormat="1" ht="14.6" hidden="1" x14ac:dyDescent="0.4">
      <c r="A18">
        <v>1</v>
      </c>
      <c r="B18">
        <v>1</v>
      </c>
      <c r="C18">
        <v>1</v>
      </c>
      <c r="D18" s="79">
        <v>629</v>
      </c>
      <c r="E18">
        <v>0</v>
      </c>
      <c r="F18">
        <v>2</v>
      </c>
      <c r="G18" s="172">
        <v>0</v>
      </c>
      <c r="H18" s="121">
        <v>0</v>
      </c>
      <c r="I18" s="121">
        <v>0</v>
      </c>
      <c r="J18" s="121">
        <v>0</v>
      </c>
      <c r="K18" s="121">
        <v>0</v>
      </c>
      <c r="L18" s="121">
        <v>0</v>
      </c>
      <c r="M18" s="121">
        <v>0</v>
      </c>
      <c r="N18" s="24">
        <v>0</v>
      </c>
      <c r="O18" s="10" t="s">
        <v>1417</v>
      </c>
      <c r="P18"/>
      <c r="Q18"/>
    </row>
    <row r="19" spans="1:17" s="10" customFormat="1" ht="14.6" hidden="1" x14ac:dyDescent="0.4">
      <c r="A19">
        <v>1</v>
      </c>
      <c r="B19">
        <v>1</v>
      </c>
      <c r="C19">
        <v>1</v>
      </c>
      <c r="D19" s="8">
        <v>311</v>
      </c>
      <c r="E19">
        <v>0</v>
      </c>
      <c r="F19">
        <v>2</v>
      </c>
      <c r="G19" s="172">
        <v>0</v>
      </c>
      <c r="H19" s="121">
        <v>0</v>
      </c>
      <c r="I19" s="121">
        <v>0</v>
      </c>
      <c r="J19" s="121">
        <v>0</v>
      </c>
      <c r="K19" s="121">
        <v>0</v>
      </c>
      <c r="L19" s="121">
        <v>0</v>
      </c>
      <c r="M19" s="121">
        <v>0</v>
      </c>
      <c r="N19" s="24">
        <v>0</v>
      </c>
      <c r="O19" s="10" t="s">
        <v>1418</v>
      </c>
      <c r="P19"/>
      <c r="Q19"/>
    </row>
    <row r="20" spans="1:17" s="10" customFormat="1" ht="14.6" hidden="1" x14ac:dyDescent="0.4">
      <c r="A20">
        <v>1</v>
      </c>
      <c r="B20">
        <v>1</v>
      </c>
      <c r="C20">
        <v>1</v>
      </c>
      <c r="D20" s="79">
        <v>606</v>
      </c>
      <c r="E20">
        <v>0</v>
      </c>
      <c r="F20">
        <v>2</v>
      </c>
      <c r="G20" s="172">
        <v>0</v>
      </c>
      <c r="H20" s="121">
        <v>0</v>
      </c>
      <c r="I20" s="121">
        <v>0</v>
      </c>
      <c r="J20" s="121">
        <v>0</v>
      </c>
      <c r="K20" s="121">
        <v>0</v>
      </c>
      <c r="L20" s="121">
        <v>0</v>
      </c>
      <c r="M20" s="121">
        <v>0</v>
      </c>
      <c r="N20" s="24">
        <v>0</v>
      </c>
      <c r="O20" s="10" t="s">
        <v>1419</v>
      </c>
      <c r="P20"/>
      <c r="Q20"/>
    </row>
    <row r="21" spans="1:17" s="10" customFormat="1" ht="14.6" hidden="1" x14ac:dyDescent="0.4">
      <c r="A21">
        <v>1</v>
      </c>
      <c r="B21">
        <v>1</v>
      </c>
      <c r="C21">
        <v>1</v>
      </c>
      <c r="D21" s="79">
        <v>397</v>
      </c>
      <c r="E21">
        <v>0</v>
      </c>
      <c r="F21">
        <v>2</v>
      </c>
      <c r="G21" s="172">
        <v>0</v>
      </c>
      <c r="H21" s="121">
        <v>0</v>
      </c>
      <c r="I21" s="90">
        <v>0</v>
      </c>
      <c r="J21" s="121">
        <v>0</v>
      </c>
      <c r="K21" s="121">
        <v>0</v>
      </c>
      <c r="L21" s="121">
        <v>0</v>
      </c>
      <c r="M21" s="121">
        <v>0</v>
      </c>
      <c r="N21" s="24">
        <v>0</v>
      </c>
      <c r="O21" s="10" t="s">
        <v>1420</v>
      </c>
      <c r="P21"/>
      <c r="Q21"/>
    </row>
    <row r="22" spans="1:17" s="10" customFormat="1" ht="14.6" hidden="1" x14ac:dyDescent="0.4">
      <c r="A22">
        <v>1</v>
      </c>
      <c r="B22">
        <v>1</v>
      </c>
      <c r="C22">
        <v>1</v>
      </c>
      <c r="D22" s="79">
        <v>424</v>
      </c>
      <c r="E22">
        <v>0</v>
      </c>
      <c r="F22">
        <v>18</v>
      </c>
      <c r="G22" s="172">
        <v>0</v>
      </c>
      <c r="H22" s="90">
        <v>0.6</v>
      </c>
      <c r="I22" s="121">
        <v>0</v>
      </c>
      <c r="J22" s="121">
        <v>0</v>
      </c>
      <c r="K22" s="121">
        <v>0</v>
      </c>
      <c r="L22" s="121">
        <v>0</v>
      </c>
      <c r="M22" s="24">
        <v>0.2</v>
      </c>
      <c r="N22" s="24">
        <v>0</v>
      </c>
      <c r="O22" s="10" t="s">
        <v>1421</v>
      </c>
      <c r="P22"/>
      <c r="Q22"/>
    </row>
    <row r="23" spans="1:17" s="10" customFormat="1" ht="14.6" hidden="1" x14ac:dyDescent="0.4">
      <c r="A23">
        <v>1</v>
      </c>
      <c r="B23">
        <v>1</v>
      </c>
      <c r="C23">
        <v>1</v>
      </c>
      <c r="D23" s="79">
        <v>425</v>
      </c>
      <c r="E23">
        <v>0</v>
      </c>
      <c r="F23">
        <v>18</v>
      </c>
      <c r="G23" s="172">
        <v>0</v>
      </c>
      <c r="H23" s="90">
        <v>0.6</v>
      </c>
      <c r="I23" s="121">
        <v>0</v>
      </c>
      <c r="J23" s="121">
        <v>0</v>
      </c>
      <c r="K23" s="121">
        <v>0</v>
      </c>
      <c r="L23" s="121">
        <v>0</v>
      </c>
      <c r="M23" s="24">
        <v>0.2</v>
      </c>
      <c r="N23" s="24">
        <v>0</v>
      </c>
      <c r="O23" s="10" t="s">
        <v>1422</v>
      </c>
      <c r="P23"/>
      <c r="Q23"/>
    </row>
    <row r="24" spans="1:17" s="10" customFormat="1" ht="14.6" hidden="1" x14ac:dyDescent="0.4">
      <c r="A24">
        <v>1</v>
      </c>
      <c r="B24">
        <v>1</v>
      </c>
      <c r="C24">
        <v>1</v>
      </c>
      <c r="D24" s="79">
        <v>256</v>
      </c>
      <c r="E24">
        <v>0</v>
      </c>
      <c r="F24">
        <v>2</v>
      </c>
      <c r="G24" s="172">
        <v>0</v>
      </c>
      <c r="H24" s="121">
        <v>0</v>
      </c>
      <c r="I24" s="121">
        <v>0</v>
      </c>
      <c r="J24" s="121">
        <v>0</v>
      </c>
      <c r="K24" s="121">
        <v>0</v>
      </c>
      <c r="L24" s="121">
        <v>0</v>
      </c>
      <c r="M24" s="121">
        <v>0</v>
      </c>
      <c r="N24" s="24">
        <v>0</v>
      </c>
      <c r="O24" s="10" t="s">
        <v>1423</v>
      </c>
      <c r="P24"/>
      <c r="Q24"/>
    </row>
    <row r="25" spans="1:17" s="10" customFormat="1" ht="14.6" hidden="1" x14ac:dyDescent="0.4">
      <c r="A25">
        <v>1</v>
      </c>
      <c r="B25">
        <v>1</v>
      </c>
      <c r="C25">
        <v>1</v>
      </c>
      <c r="D25" s="79">
        <v>453</v>
      </c>
      <c r="E25">
        <v>0</v>
      </c>
      <c r="F25">
        <v>2</v>
      </c>
      <c r="G25" s="172">
        <v>0</v>
      </c>
      <c r="H25" s="121">
        <v>0</v>
      </c>
      <c r="I25" s="121">
        <v>0</v>
      </c>
      <c r="J25" s="121">
        <v>0</v>
      </c>
      <c r="K25" s="121">
        <v>0</v>
      </c>
      <c r="L25" s="121">
        <v>0</v>
      </c>
      <c r="M25" s="121">
        <v>0</v>
      </c>
      <c r="N25" s="24">
        <v>0</v>
      </c>
      <c r="O25" s="10" t="s">
        <v>1424</v>
      </c>
      <c r="P25"/>
      <c r="Q25"/>
    </row>
    <row r="26" spans="1:17" s="10" customFormat="1" ht="14.6" hidden="1" x14ac:dyDescent="0.4">
      <c r="A26">
        <v>1</v>
      </c>
      <c r="B26">
        <v>1</v>
      </c>
      <c r="C26">
        <v>1</v>
      </c>
      <c r="D26" s="79">
        <v>426</v>
      </c>
      <c r="E26">
        <v>0</v>
      </c>
      <c r="F26">
        <v>19</v>
      </c>
      <c r="G26" s="104">
        <v>1</v>
      </c>
      <c r="H26" s="90">
        <v>2</v>
      </c>
      <c r="I26" s="90">
        <v>0</v>
      </c>
      <c r="J26" s="121">
        <v>0</v>
      </c>
      <c r="K26" s="121">
        <v>0</v>
      </c>
      <c r="L26" s="121">
        <v>0</v>
      </c>
      <c r="M26" s="121">
        <v>0</v>
      </c>
      <c r="N26" s="24">
        <v>0</v>
      </c>
      <c r="O26" s="10" t="s">
        <v>1425</v>
      </c>
      <c r="P26"/>
      <c r="Q26"/>
    </row>
    <row r="27" spans="1:17" s="10" customFormat="1" ht="14.6" hidden="1" x14ac:dyDescent="0.4">
      <c r="A27">
        <v>1</v>
      </c>
      <c r="B27">
        <v>1</v>
      </c>
      <c r="C27">
        <v>1</v>
      </c>
      <c r="D27" s="79">
        <v>427</v>
      </c>
      <c r="E27">
        <v>0</v>
      </c>
      <c r="F27">
        <v>19</v>
      </c>
      <c r="G27" s="104">
        <v>1</v>
      </c>
      <c r="H27" s="90">
        <v>2</v>
      </c>
      <c r="I27" s="90">
        <v>0</v>
      </c>
      <c r="J27" s="121">
        <v>0</v>
      </c>
      <c r="K27" s="121">
        <v>0</v>
      </c>
      <c r="L27" s="121">
        <v>0</v>
      </c>
      <c r="M27" s="121">
        <v>0</v>
      </c>
      <c r="N27" s="24">
        <v>0</v>
      </c>
      <c r="O27" s="10" t="s">
        <v>1426</v>
      </c>
      <c r="P27"/>
      <c r="Q27"/>
    </row>
    <row r="28" spans="1:17" s="10" customFormat="1" ht="14.6" hidden="1" x14ac:dyDescent="0.4">
      <c r="A28">
        <v>1</v>
      </c>
      <c r="B28">
        <v>1</v>
      </c>
      <c r="C28">
        <v>1</v>
      </c>
      <c r="D28" s="79">
        <v>455</v>
      </c>
      <c r="E28">
        <v>0</v>
      </c>
      <c r="F28">
        <v>2</v>
      </c>
      <c r="G28" s="172">
        <v>0</v>
      </c>
      <c r="H28" s="121">
        <v>0</v>
      </c>
      <c r="I28" s="90">
        <v>0</v>
      </c>
      <c r="J28" s="121">
        <v>0</v>
      </c>
      <c r="K28" s="121">
        <v>0</v>
      </c>
      <c r="L28" s="121">
        <v>0</v>
      </c>
      <c r="M28" s="121">
        <v>0</v>
      </c>
      <c r="N28" s="24">
        <v>0</v>
      </c>
      <c r="O28" s="10" t="s">
        <v>1427</v>
      </c>
      <c r="P28"/>
      <c r="Q28"/>
    </row>
    <row r="29" spans="1:17" s="10" customFormat="1" ht="14.6" hidden="1" x14ac:dyDescent="0.4">
      <c r="A29">
        <v>1</v>
      </c>
      <c r="B29">
        <v>1</v>
      </c>
      <c r="C29">
        <v>1</v>
      </c>
      <c r="D29" s="79">
        <v>350</v>
      </c>
      <c r="E29">
        <v>0</v>
      </c>
      <c r="F29">
        <v>19</v>
      </c>
      <c r="G29" s="172">
        <v>0</v>
      </c>
      <c r="H29" s="121">
        <v>0</v>
      </c>
      <c r="I29" s="90">
        <v>0</v>
      </c>
      <c r="J29" s="121">
        <v>0</v>
      </c>
      <c r="K29" s="121">
        <v>0</v>
      </c>
      <c r="L29" s="121">
        <v>0</v>
      </c>
      <c r="M29" s="121">
        <v>0</v>
      </c>
      <c r="N29" s="24">
        <v>0</v>
      </c>
      <c r="O29" s="10" t="s">
        <v>1428</v>
      </c>
      <c r="P29"/>
      <c r="Q29"/>
    </row>
    <row r="30" spans="1:17" s="10" customFormat="1" ht="14.6" hidden="1" x14ac:dyDescent="0.4">
      <c r="A30">
        <v>1</v>
      </c>
      <c r="B30">
        <v>1</v>
      </c>
      <c r="C30">
        <v>1</v>
      </c>
      <c r="D30" s="79">
        <v>420</v>
      </c>
      <c r="E30">
        <v>0</v>
      </c>
      <c r="F30">
        <v>57</v>
      </c>
      <c r="G30" s="172">
        <v>0</v>
      </c>
      <c r="H30" s="121">
        <v>0</v>
      </c>
      <c r="I30" s="90">
        <v>0</v>
      </c>
      <c r="J30" s="121">
        <v>0</v>
      </c>
      <c r="K30" s="121">
        <v>0</v>
      </c>
      <c r="L30" s="121">
        <v>0</v>
      </c>
      <c r="M30" s="121">
        <v>0</v>
      </c>
      <c r="N30" s="24">
        <v>0</v>
      </c>
      <c r="O30" s="10" t="s">
        <v>1429</v>
      </c>
      <c r="P30"/>
      <c r="Q30"/>
    </row>
    <row r="31" spans="1:17" s="10" customFormat="1" ht="14.6" hidden="1" x14ac:dyDescent="0.4">
      <c r="A31">
        <v>1</v>
      </c>
      <c r="B31">
        <v>1</v>
      </c>
      <c r="C31">
        <v>1</v>
      </c>
      <c r="D31" s="79">
        <v>421</v>
      </c>
      <c r="E31">
        <v>0</v>
      </c>
      <c r="F31">
        <v>57</v>
      </c>
      <c r="G31" s="172">
        <v>0</v>
      </c>
      <c r="H31" s="121">
        <v>0</v>
      </c>
      <c r="I31" s="90">
        <v>0</v>
      </c>
      <c r="J31" s="121">
        <v>0</v>
      </c>
      <c r="K31" s="121">
        <v>0</v>
      </c>
      <c r="L31" s="121">
        <v>0</v>
      </c>
      <c r="M31" s="121">
        <v>0</v>
      </c>
      <c r="N31" s="24">
        <v>0</v>
      </c>
      <c r="O31" s="10" t="s">
        <v>1430</v>
      </c>
      <c r="P31"/>
      <c r="Q31"/>
    </row>
    <row r="32" spans="1:17" s="8" customFormat="1" ht="14.6" hidden="1" x14ac:dyDescent="0.4">
      <c r="A32" s="10">
        <v>1</v>
      </c>
      <c r="B32" s="10">
        <v>1</v>
      </c>
      <c r="C32" s="10">
        <v>1</v>
      </c>
      <c r="D32" s="79">
        <v>451</v>
      </c>
      <c r="E32" s="10">
        <v>0</v>
      </c>
      <c r="F32" s="10">
        <v>57</v>
      </c>
      <c r="G32" s="172">
        <v>0</v>
      </c>
      <c r="H32" s="121">
        <v>0</v>
      </c>
      <c r="I32" s="121">
        <v>0</v>
      </c>
      <c r="J32" s="121">
        <v>0</v>
      </c>
      <c r="K32" s="121">
        <v>0</v>
      </c>
      <c r="L32" s="121">
        <v>0</v>
      </c>
      <c r="M32" s="121">
        <v>0</v>
      </c>
      <c r="N32" s="90">
        <v>0</v>
      </c>
      <c r="O32" s="10" t="s">
        <v>1534</v>
      </c>
    </row>
    <row r="33" spans="1:17" s="10" customFormat="1" ht="14.6" hidden="1" x14ac:dyDescent="0.4">
      <c r="A33">
        <v>1</v>
      </c>
      <c r="B33">
        <v>1</v>
      </c>
      <c r="C33">
        <v>1</v>
      </c>
      <c r="D33" s="79">
        <v>756</v>
      </c>
      <c r="E33">
        <v>0</v>
      </c>
      <c r="F33">
        <v>2</v>
      </c>
      <c r="G33" s="172">
        <v>0</v>
      </c>
      <c r="H33" s="121">
        <v>0</v>
      </c>
      <c r="I33" s="121">
        <v>0</v>
      </c>
      <c r="J33" s="121">
        <v>0</v>
      </c>
      <c r="K33" s="121">
        <v>0</v>
      </c>
      <c r="L33" s="121">
        <v>0</v>
      </c>
      <c r="M33" s="121">
        <v>0</v>
      </c>
      <c r="N33" s="24">
        <v>0</v>
      </c>
      <c r="O33" s="10" t="s">
        <v>1431</v>
      </c>
      <c r="P33"/>
      <c r="Q33"/>
    </row>
    <row r="34" spans="1:17" s="10" customFormat="1" ht="14.6" hidden="1" x14ac:dyDescent="0.4">
      <c r="A34">
        <v>1</v>
      </c>
      <c r="B34">
        <v>1</v>
      </c>
      <c r="C34">
        <v>1</v>
      </c>
      <c r="D34" s="79">
        <v>757</v>
      </c>
      <c r="E34">
        <v>0</v>
      </c>
      <c r="F34">
        <v>2</v>
      </c>
      <c r="G34" s="172">
        <v>0</v>
      </c>
      <c r="H34" s="121">
        <v>0</v>
      </c>
      <c r="I34" s="121">
        <v>0</v>
      </c>
      <c r="J34" s="121">
        <v>0</v>
      </c>
      <c r="K34" s="121">
        <v>0</v>
      </c>
      <c r="L34" s="121">
        <v>0</v>
      </c>
      <c r="M34" s="121">
        <v>0</v>
      </c>
      <c r="N34" s="24">
        <v>0</v>
      </c>
      <c r="O34" s="10" t="s">
        <v>1432</v>
      </c>
      <c r="P34"/>
      <c r="Q34"/>
    </row>
    <row r="35" spans="1:17" s="10" customFormat="1" ht="14.6" hidden="1" x14ac:dyDescent="0.4">
      <c r="A35">
        <v>1</v>
      </c>
      <c r="B35">
        <v>1</v>
      </c>
      <c r="C35">
        <v>1</v>
      </c>
      <c r="D35" s="79">
        <v>734</v>
      </c>
      <c r="E35">
        <v>0</v>
      </c>
      <c r="F35">
        <v>2</v>
      </c>
      <c r="G35" s="172">
        <v>0</v>
      </c>
      <c r="H35" s="90">
        <v>12</v>
      </c>
      <c r="I35" s="121">
        <v>0</v>
      </c>
      <c r="J35" s="121">
        <v>0</v>
      </c>
      <c r="K35" s="121">
        <v>0</v>
      </c>
      <c r="L35" s="121">
        <v>0</v>
      </c>
      <c r="M35" s="121">
        <v>0</v>
      </c>
      <c r="N35" s="24">
        <v>0</v>
      </c>
      <c r="O35" s="10" t="s">
        <v>1433</v>
      </c>
      <c r="P35"/>
      <c r="Q35"/>
    </row>
    <row r="36" spans="1:17" x14ac:dyDescent="0.45">
      <c r="A36" s="26" t="s">
        <v>663</v>
      </c>
      <c r="B36" s="8" t="s">
        <v>1925</v>
      </c>
      <c r="C36"/>
      <c r="D36"/>
      <c r="E36"/>
      <c r="F36"/>
      <c r="G36"/>
      <c r="H36"/>
      <c r="I36"/>
      <c r="J36"/>
      <c r="K36"/>
      <c r="L36"/>
      <c r="M36"/>
      <c r="N36"/>
      <c r="Q36" s="84"/>
    </row>
    <row r="37" spans="1:17" x14ac:dyDescent="0.45">
      <c r="A37" t="s">
        <v>664</v>
      </c>
      <c r="B37" s="4"/>
      <c r="C37" s="25" t="s">
        <v>1837</v>
      </c>
      <c r="D37"/>
      <c r="E37"/>
      <c r="F37"/>
      <c r="G37"/>
      <c r="H37"/>
      <c r="I37"/>
      <c r="J37" s="80" t="s">
        <v>1197</v>
      </c>
      <c r="K37"/>
      <c r="M37"/>
      <c r="N37"/>
      <c r="Q37" s="84"/>
    </row>
    <row r="38" spans="1:17" x14ac:dyDescent="0.45">
      <c r="A38" t="s">
        <v>665</v>
      </c>
      <c r="B38" s="4"/>
      <c r="C38" s="25" t="s">
        <v>1838</v>
      </c>
      <c r="D38"/>
      <c r="E38"/>
      <c r="F38"/>
      <c r="G38"/>
      <c r="H38"/>
      <c r="I38"/>
      <c r="J38" s="80">
        <v>500</v>
      </c>
      <c r="K38"/>
      <c r="M38"/>
      <c r="N38"/>
      <c r="Q38" s="84"/>
    </row>
    <row r="39" spans="1:17" x14ac:dyDescent="0.45">
      <c r="A39" t="s">
        <v>666</v>
      </c>
      <c r="B39" s="4"/>
      <c r="C39" s="25" t="s">
        <v>1839</v>
      </c>
      <c r="D39"/>
      <c r="E39"/>
      <c r="F39"/>
      <c r="G39"/>
      <c r="H39"/>
      <c r="I39"/>
      <c r="J39" s="80">
        <v>261</v>
      </c>
      <c r="K39"/>
      <c r="M39"/>
      <c r="N39"/>
      <c r="Q39" s="84"/>
    </row>
    <row r="40" spans="1:17" x14ac:dyDescent="0.45">
      <c r="A40" t="s">
        <v>667</v>
      </c>
      <c r="B40" s="4"/>
      <c r="C40" s="25" t="s">
        <v>1840</v>
      </c>
      <c r="D40"/>
      <c r="E40"/>
      <c r="F40"/>
      <c r="G40"/>
      <c r="H40"/>
      <c r="I40"/>
      <c r="J40" s="80">
        <v>268</v>
      </c>
      <c r="K40"/>
      <c r="M40"/>
      <c r="N40"/>
      <c r="Q40" s="84"/>
    </row>
    <row r="41" spans="1:17" x14ac:dyDescent="0.45">
      <c r="A41" t="s">
        <v>668</v>
      </c>
      <c r="B41" s="4"/>
      <c r="C41" s="25" t="s">
        <v>1841</v>
      </c>
      <c r="D41"/>
      <c r="E41"/>
      <c r="F41"/>
      <c r="G41"/>
      <c r="H41"/>
      <c r="I41"/>
      <c r="J41" s="80">
        <v>266</v>
      </c>
      <c r="K41"/>
      <c r="M41"/>
      <c r="N41"/>
      <c r="Q41" s="84"/>
    </row>
    <row r="42" spans="1:17" x14ac:dyDescent="0.45">
      <c r="A42" t="s">
        <v>669</v>
      </c>
      <c r="B42" s="4"/>
      <c r="C42" s="25" t="s">
        <v>1842</v>
      </c>
      <c r="D42"/>
      <c r="E42"/>
      <c r="F42"/>
      <c r="G42"/>
      <c r="H42"/>
      <c r="I42"/>
      <c r="J42" s="80">
        <v>265</v>
      </c>
      <c r="K42"/>
      <c r="M42"/>
      <c r="N42"/>
    </row>
    <row r="43" spans="1:17" x14ac:dyDescent="0.45">
      <c r="A43" t="s">
        <v>670</v>
      </c>
      <c r="B43" s="4"/>
      <c r="C43" s="25" t="s">
        <v>1843</v>
      </c>
      <c r="D43"/>
      <c r="E43"/>
      <c r="F43"/>
      <c r="G43"/>
      <c r="H43"/>
      <c r="I43"/>
      <c r="J43" s="80">
        <v>267</v>
      </c>
      <c r="K43"/>
      <c r="M43"/>
      <c r="N43"/>
    </row>
    <row r="44" spans="1:17" s="110" customFormat="1" ht="12" x14ac:dyDescent="0.35">
      <c r="A44" s="110">
        <v>1</v>
      </c>
      <c r="B44" s="110">
        <v>2</v>
      </c>
      <c r="C44" s="110">
        <v>3</v>
      </c>
      <c r="D44" s="110">
        <v>4</v>
      </c>
      <c r="E44" s="110">
        <v>5</v>
      </c>
      <c r="F44" s="110">
        <v>6</v>
      </c>
      <c r="G44" s="110">
        <v>7</v>
      </c>
      <c r="H44" s="110">
        <v>8</v>
      </c>
      <c r="I44" s="110">
        <v>9</v>
      </c>
      <c r="J44" s="110">
        <v>10</v>
      </c>
      <c r="K44" s="110">
        <v>11</v>
      </c>
      <c r="L44" s="110">
        <v>12</v>
      </c>
      <c r="M44" s="110">
        <v>13</v>
      </c>
      <c r="N44" s="110">
        <v>14</v>
      </c>
    </row>
    <row r="45" spans="1:17" s="7" customFormat="1" ht="14.6" x14ac:dyDescent="0.4">
      <c r="A45" s="63" t="s">
        <v>671</v>
      </c>
      <c r="B45" s="63" t="s">
        <v>672</v>
      </c>
      <c r="C45" s="63" t="s">
        <v>661</v>
      </c>
      <c r="D45" s="76" t="s">
        <v>1435</v>
      </c>
      <c r="E45" s="76" t="s">
        <v>1436</v>
      </c>
      <c r="F45" s="76" t="s">
        <v>1434</v>
      </c>
      <c r="G45" s="76" t="s">
        <v>1525</v>
      </c>
      <c r="H45" s="76" t="s">
        <v>673</v>
      </c>
      <c r="I45" s="63" t="s">
        <v>674</v>
      </c>
      <c r="J45" s="63" t="s">
        <v>675</v>
      </c>
      <c r="K45" s="63" t="s">
        <v>676</v>
      </c>
      <c r="L45" s="63" t="s">
        <v>677</v>
      </c>
      <c r="M45" s="63" t="s">
        <v>678</v>
      </c>
      <c r="N45" s="63" t="s">
        <v>679</v>
      </c>
      <c r="O45" s="63" t="s">
        <v>1441</v>
      </c>
    </row>
    <row r="46" spans="1:17" s="10" customFormat="1" ht="14.6" x14ac:dyDescent="0.4">
      <c r="A46" s="168"/>
      <c r="B46" s="168"/>
      <c r="C46" s="168"/>
      <c r="D46" s="168"/>
      <c r="E46" s="168"/>
      <c r="F46" s="168"/>
      <c r="G46" s="214"/>
      <c r="H46" s="215"/>
      <c r="I46" s="215"/>
      <c r="J46" s="215"/>
      <c r="K46" s="215"/>
      <c r="L46" s="215"/>
      <c r="M46" s="215"/>
      <c r="N46" s="215"/>
      <c r="O46" s="168"/>
      <c r="P46"/>
      <c r="Q46"/>
    </row>
    <row r="47" spans="1:17" s="10" customFormat="1" ht="14.6" x14ac:dyDescent="0.4">
      <c r="A47" s="168"/>
      <c r="B47" s="168"/>
      <c r="C47" s="168"/>
      <c r="D47" s="168"/>
      <c r="E47" s="168"/>
      <c r="F47" s="168"/>
      <c r="G47" s="214"/>
      <c r="H47" s="215"/>
      <c r="I47" s="215"/>
      <c r="J47" s="215"/>
      <c r="K47" s="215"/>
      <c r="L47" s="215"/>
      <c r="M47" s="215"/>
      <c r="N47" s="215"/>
      <c r="O47" s="168"/>
      <c r="P47"/>
      <c r="Q47"/>
    </row>
    <row r="48" spans="1:17" s="10" customFormat="1" ht="14.6" x14ac:dyDescent="0.4">
      <c r="A48" s="168"/>
      <c r="B48" s="168"/>
      <c r="C48" s="168"/>
      <c r="D48" s="168"/>
      <c r="E48" s="168"/>
      <c r="F48" s="168"/>
      <c r="G48" s="214"/>
      <c r="H48" s="215"/>
      <c r="I48" s="215"/>
      <c r="J48" s="215"/>
      <c r="K48" s="215"/>
      <c r="L48" s="215"/>
      <c r="M48" s="215"/>
      <c r="N48" s="215"/>
      <c r="O48" s="168"/>
      <c r="P48"/>
      <c r="Q48"/>
    </row>
    <row r="49" spans="1:17" s="10" customFormat="1" ht="14.6" x14ac:dyDescent="0.4">
      <c r="A49" s="168"/>
      <c r="B49" s="168"/>
      <c r="C49" s="168"/>
      <c r="D49" s="168"/>
      <c r="E49" s="168"/>
      <c r="F49" s="168"/>
      <c r="G49" s="214"/>
      <c r="H49" s="215"/>
      <c r="I49" s="215"/>
      <c r="J49" s="215"/>
      <c r="K49" s="215"/>
      <c r="L49" s="215"/>
      <c r="M49" s="215"/>
      <c r="N49" s="215"/>
      <c r="O49" s="168"/>
      <c r="P49"/>
      <c r="Q49"/>
    </row>
    <row r="50" spans="1:17" s="10" customFormat="1" ht="14.6" x14ac:dyDescent="0.4">
      <c r="A50" s="168"/>
      <c r="B50" s="168"/>
      <c r="C50" s="168"/>
      <c r="D50" s="168"/>
      <c r="E50" s="168"/>
      <c r="F50" s="168"/>
      <c r="G50" s="214"/>
      <c r="H50" s="215"/>
      <c r="I50" s="215"/>
      <c r="J50" s="215"/>
      <c r="K50" s="215"/>
      <c r="L50" s="215"/>
      <c r="M50" s="215"/>
      <c r="N50" s="215"/>
      <c r="O50" s="168"/>
      <c r="P50"/>
      <c r="Q50"/>
    </row>
    <row r="51" spans="1:17" s="10" customFormat="1" x14ac:dyDescent="0.45">
      <c r="A51" s="169"/>
      <c r="B51" s="169"/>
      <c r="C51" s="169"/>
      <c r="D51" s="169"/>
      <c r="E51" s="169"/>
      <c r="F51" s="169"/>
      <c r="G51" s="170"/>
      <c r="H51" s="171"/>
      <c r="I51" s="171"/>
      <c r="J51" s="171"/>
      <c r="K51" s="171"/>
      <c r="L51" s="171"/>
      <c r="M51" s="171"/>
      <c r="N51" s="171"/>
      <c r="O51" s="168"/>
    </row>
    <row r="52" spans="1:17" s="10" customFormat="1" ht="14.6" x14ac:dyDescent="0.4">
      <c r="A52" s="168"/>
      <c r="B52" s="168"/>
      <c r="C52" s="168"/>
      <c r="D52" s="168"/>
      <c r="E52" s="168"/>
      <c r="F52" s="168"/>
      <c r="G52" s="214"/>
      <c r="H52" s="215"/>
      <c r="I52" s="215"/>
      <c r="J52" s="215"/>
      <c r="K52" s="215"/>
      <c r="L52" s="215"/>
      <c r="M52" s="215"/>
      <c r="N52" s="215"/>
      <c r="O52" s="168"/>
      <c r="P52"/>
      <c r="Q52"/>
    </row>
    <row r="53" spans="1:17" s="10" customFormat="1" x14ac:dyDescent="0.45">
      <c r="A53" s="169"/>
      <c r="B53" s="169"/>
      <c r="C53" s="169"/>
      <c r="D53" s="169"/>
      <c r="E53" s="169"/>
      <c r="F53" s="169"/>
      <c r="G53" s="170"/>
      <c r="H53" s="171"/>
      <c r="I53" s="171"/>
      <c r="J53" s="171"/>
      <c r="K53" s="171"/>
      <c r="L53" s="171"/>
      <c r="M53" s="171"/>
      <c r="N53" s="171"/>
      <c r="O53" s="168"/>
    </row>
    <row r="54" spans="1:17" s="10" customFormat="1" x14ac:dyDescent="0.45">
      <c r="A54" s="169"/>
      <c r="B54" s="169"/>
      <c r="C54" s="169"/>
      <c r="D54" s="169"/>
      <c r="E54" s="169"/>
      <c r="F54" s="169"/>
      <c r="G54" s="170"/>
      <c r="H54" s="171"/>
      <c r="I54" s="171"/>
      <c r="J54" s="171"/>
      <c r="K54" s="171"/>
      <c r="L54" s="171"/>
      <c r="M54" s="171"/>
      <c r="N54" s="171"/>
      <c r="O54" s="168"/>
    </row>
    <row r="55" spans="1:17" s="10" customFormat="1" x14ac:dyDescent="0.45">
      <c r="A55" s="169"/>
      <c r="B55" s="169"/>
      <c r="C55" s="169"/>
      <c r="D55" s="169"/>
      <c r="E55" s="169"/>
      <c r="F55" s="169"/>
      <c r="G55" s="170"/>
      <c r="H55" s="171"/>
      <c r="I55" s="171"/>
      <c r="J55" s="171"/>
      <c r="K55" s="171"/>
      <c r="L55" s="171"/>
      <c r="M55" s="171"/>
      <c r="N55" s="171"/>
      <c r="O55" s="168"/>
    </row>
    <row r="56" spans="1:17" s="10" customFormat="1" x14ac:dyDescent="0.45">
      <c r="A56" s="169"/>
      <c r="B56" s="169"/>
      <c r="C56" s="169"/>
      <c r="D56" s="169"/>
      <c r="E56" s="169"/>
      <c r="F56" s="169"/>
      <c r="G56" s="170"/>
      <c r="H56" s="171"/>
      <c r="I56" s="171"/>
      <c r="J56" s="171"/>
      <c r="K56" s="171"/>
      <c r="L56" s="171"/>
      <c r="M56" s="171"/>
      <c r="N56" s="171"/>
      <c r="O56" s="168"/>
    </row>
    <row r="57" spans="1:17" s="10" customFormat="1" x14ac:dyDescent="0.45">
      <c r="A57" s="169"/>
      <c r="B57" s="169"/>
      <c r="C57" s="169"/>
      <c r="D57" s="169"/>
      <c r="E57" s="169"/>
      <c r="F57" s="169"/>
      <c r="G57" s="170"/>
      <c r="H57" s="171"/>
      <c r="I57" s="171"/>
      <c r="J57" s="171"/>
      <c r="K57" s="171"/>
      <c r="L57" s="171"/>
      <c r="M57" s="171"/>
      <c r="N57" s="171"/>
      <c r="O57" s="168"/>
    </row>
    <row r="58" spans="1:17" s="10" customFormat="1" x14ac:dyDescent="0.45">
      <c r="A58" s="169"/>
      <c r="B58" s="169"/>
      <c r="C58" s="169"/>
      <c r="D58" s="169"/>
      <c r="E58" s="169"/>
      <c r="F58" s="169"/>
      <c r="G58" s="170"/>
      <c r="H58" s="171"/>
      <c r="I58" s="171"/>
      <c r="J58" s="171"/>
      <c r="K58" s="171"/>
      <c r="L58" s="171"/>
      <c r="M58" s="171"/>
      <c r="N58" s="171"/>
      <c r="O58" s="168"/>
    </row>
    <row r="59" spans="1:17" s="10" customFormat="1" x14ac:dyDescent="0.45">
      <c r="A59" s="169"/>
      <c r="B59" s="169"/>
      <c r="C59" s="169"/>
      <c r="D59" s="169"/>
      <c r="E59" s="169"/>
      <c r="F59" s="169"/>
      <c r="G59" s="170"/>
      <c r="H59" s="171"/>
      <c r="I59" s="171"/>
      <c r="J59" s="171"/>
      <c r="K59" s="171"/>
      <c r="L59" s="171"/>
      <c r="M59" s="171"/>
      <c r="N59" s="171"/>
      <c r="O59" s="168"/>
    </row>
    <row r="60" spans="1:17" s="10" customFormat="1" x14ac:dyDescent="0.45">
      <c r="A60" s="169"/>
      <c r="B60" s="169"/>
      <c r="C60" s="169"/>
      <c r="D60" s="169"/>
      <c r="E60" s="169"/>
      <c r="F60" s="169"/>
      <c r="G60" s="170"/>
      <c r="H60" s="171"/>
      <c r="I60" s="171"/>
      <c r="J60" s="171"/>
      <c r="K60" s="171"/>
      <c r="L60" s="171"/>
      <c r="M60" s="171"/>
      <c r="N60" s="171"/>
      <c r="O60" s="168"/>
    </row>
    <row r="61" spans="1:17" s="10" customFormat="1" x14ac:dyDescent="0.45">
      <c r="A61" s="169"/>
      <c r="B61" s="169"/>
      <c r="C61" s="169"/>
      <c r="D61" s="169"/>
      <c r="E61" s="169"/>
      <c r="F61" s="169"/>
      <c r="G61" s="170"/>
      <c r="H61" s="171"/>
      <c r="I61" s="171"/>
      <c r="J61" s="171"/>
      <c r="K61" s="171"/>
      <c r="L61" s="171"/>
      <c r="M61" s="171"/>
      <c r="N61" s="171"/>
      <c r="O61" s="168"/>
    </row>
    <row r="62" spans="1:17" s="10" customFormat="1" x14ac:dyDescent="0.45">
      <c r="A62" s="169"/>
      <c r="B62" s="169"/>
      <c r="C62" s="169"/>
      <c r="D62" s="169"/>
      <c r="E62" s="169"/>
      <c r="F62" s="169"/>
      <c r="G62" s="170"/>
      <c r="H62" s="171"/>
      <c r="I62" s="171"/>
      <c r="J62" s="171"/>
      <c r="K62" s="171"/>
      <c r="L62" s="171"/>
      <c r="M62" s="171"/>
      <c r="N62" s="171"/>
      <c r="O62" s="168"/>
    </row>
    <row r="63" spans="1:17" s="10" customFormat="1" x14ac:dyDescent="0.45">
      <c r="A63" s="169"/>
      <c r="B63" s="169"/>
      <c r="C63" s="169"/>
      <c r="D63" s="169"/>
      <c r="E63" s="169"/>
      <c r="F63" s="169"/>
      <c r="G63" s="170"/>
      <c r="H63" s="171"/>
      <c r="I63" s="171"/>
      <c r="J63" s="171"/>
      <c r="K63" s="171"/>
      <c r="L63" s="171"/>
      <c r="M63" s="171"/>
      <c r="N63" s="171"/>
      <c r="O63" s="168"/>
    </row>
    <row r="64" spans="1:17" s="10" customFormat="1" x14ac:dyDescent="0.45">
      <c r="A64" s="169"/>
      <c r="B64" s="169"/>
      <c r="C64" s="169"/>
      <c r="D64" s="169"/>
      <c r="E64" s="169"/>
      <c r="F64" s="169"/>
      <c r="G64" s="170"/>
      <c r="H64" s="171"/>
      <c r="I64" s="171"/>
      <c r="J64" s="171"/>
      <c r="K64" s="171"/>
      <c r="L64" s="171"/>
      <c r="M64" s="171"/>
      <c r="N64" s="171"/>
      <c r="O64" s="168"/>
    </row>
    <row r="65" spans="1:15" s="10" customFormat="1" x14ac:dyDescent="0.45">
      <c r="A65" s="169"/>
      <c r="B65" s="169"/>
      <c r="C65" s="169"/>
      <c r="D65" s="169"/>
      <c r="E65" s="169"/>
      <c r="F65" s="169"/>
      <c r="G65" s="170"/>
      <c r="H65" s="171"/>
      <c r="I65" s="171"/>
      <c r="J65" s="171"/>
      <c r="K65" s="171"/>
      <c r="L65" s="171"/>
      <c r="M65" s="171"/>
      <c r="N65" s="171"/>
      <c r="O65" s="168"/>
    </row>
    <row r="66" spans="1:15" s="10" customFormat="1" x14ac:dyDescent="0.45">
      <c r="A66" s="169"/>
      <c r="B66" s="169"/>
      <c r="C66" s="169"/>
      <c r="D66" s="169"/>
      <c r="E66" s="169"/>
      <c r="F66" s="169"/>
      <c r="G66" s="170"/>
      <c r="H66" s="171"/>
      <c r="I66" s="171"/>
      <c r="J66" s="171"/>
      <c r="K66" s="171"/>
      <c r="L66" s="171"/>
      <c r="M66" s="171"/>
      <c r="N66" s="171"/>
      <c r="O66" s="168"/>
    </row>
    <row r="67" spans="1:15" s="10" customFormat="1" x14ac:dyDescent="0.45">
      <c r="A67" s="169"/>
      <c r="B67" s="169"/>
      <c r="C67" s="169"/>
      <c r="D67" s="169"/>
      <c r="E67" s="169"/>
      <c r="F67" s="169"/>
      <c r="G67" s="170"/>
      <c r="H67" s="171"/>
      <c r="I67" s="171"/>
      <c r="J67" s="171"/>
      <c r="K67" s="171"/>
      <c r="L67" s="171"/>
      <c r="M67" s="171"/>
      <c r="N67" s="171"/>
      <c r="O67" s="168"/>
    </row>
    <row r="68" spans="1:15" s="10" customFormat="1" x14ac:dyDescent="0.45">
      <c r="A68" s="169"/>
      <c r="B68" s="169"/>
      <c r="C68" s="169"/>
      <c r="D68" s="169"/>
      <c r="E68" s="169"/>
      <c r="F68" s="169"/>
      <c r="G68" s="170"/>
      <c r="H68" s="171"/>
      <c r="I68" s="171"/>
      <c r="J68" s="171"/>
      <c r="K68" s="171"/>
      <c r="L68" s="171"/>
      <c r="M68" s="171"/>
      <c r="N68" s="171"/>
      <c r="O68" s="168"/>
    </row>
    <row r="69" spans="1:15" s="10" customFormat="1" x14ac:dyDescent="0.45">
      <c r="A69" s="82"/>
      <c r="B69" s="82"/>
      <c r="C69" s="82"/>
      <c r="D69" s="82"/>
      <c r="E69" s="82"/>
      <c r="F69" s="82"/>
      <c r="G69" s="83"/>
      <c r="H69" s="84"/>
      <c r="I69" s="84"/>
      <c r="J69" s="84"/>
      <c r="K69" s="84"/>
      <c r="L69" s="84"/>
      <c r="M69" s="84"/>
      <c r="N69" s="84"/>
    </row>
    <row r="70" spans="1:15" s="10" customFormat="1" x14ac:dyDescent="0.45">
      <c r="A70" s="82"/>
      <c r="B70" s="82"/>
      <c r="C70" s="82"/>
      <c r="D70" s="82"/>
      <c r="E70" s="82"/>
      <c r="F70" s="82"/>
      <c r="G70" s="83"/>
      <c r="H70" s="84"/>
      <c r="I70" s="84"/>
      <c r="J70" s="84"/>
      <c r="K70" s="84"/>
      <c r="L70" s="84"/>
      <c r="M70" s="84"/>
      <c r="N70" s="84"/>
    </row>
    <row r="71" spans="1:15" s="10" customFormat="1" x14ac:dyDescent="0.45">
      <c r="A71" s="82"/>
      <c r="B71" s="82"/>
      <c r="C71" s="82"/>
      <c r="D71" s="82"/>
      <c r="E71" s="82"/>
      <c r="F71" s="82"/>
      <c r="G71" s="83"/>
      <c r="H71" s="84"/>
      <c r="I71" s="84"/>
      <c r="J71" s="84"/>
      <c r="K71" s="84"/>
      <c r="L71" s="84"/>
      <c r="M71" s="84"/>
      <c r="N71" s="84"/>
    </row>
    <row r="72" spans="1:15" s="10" customFormat="1" x14ac:dyDescent="0.45">
      <c r="A72" s="82"/>
      <c r="B72" s="82"/>
      <c r="C72" s="82"/>
      <c r="D72" s="82"/>
      <c r="E72" s="82"/>
      <c r="F72" s="82"/>
      <c r="G72" s="83"/>
      <c r="H72" s="84"/>
      <c r="I72" s="84"/>
      <c r="J72" s="84"/>
      <c r="K72" s="84"/>
      <c r="L72" s="84"/>
      <c r="M72" s="84"/>
      <c r="N72" s="84"/>
    </row>
    <row r="73" spans="1:15" s="10" customFormat="1" x14ac:dyDescent="0.45">
      <c r="A73" s="82"/>
      <c r="B73" s="82"/>
      <c r="C73" s="82"/>
      <c r="D73" s="82"/>
      <c r="E73" s="82"/>
      <c r="F73" s="82"/>
      <c r="G73" s="83"/>
      <c r="H73" s="84"/>
      <c r="I73" s="84"/>
      <c r="J73" s="84"/>
      <c r="K73" s="84"/>
      <c r="L73" s="84"/>
      <c r="M73" s="84"/>
      <c r="N73" s="84"/>
    </row>
    <row r="74" spans="1:15" s="10" customFormat="1" x14ac:dyDescent="0.45">
      <c r="A74" s="82"/>
      <c r="B74" s="82"/>
      <c r="C74" s="82"/>
      <c r="D74" s="82"/>
      <c r="E74" s="82"/>
      <c r="F74" s="82"/>
      <c r="G74" s="83"/>
      <c r="H74" s="84"/>
      <c r="I74" s="84"/>
      <c r="J74" s="84"/>
      <c r="K74" s="84"/>
      <c r="L74" s="84"/>
      <c r="M74" s="84"/>
      <c r="N74" s="84"/>
    </row>
    <row r="75" spans="1:15" s="10" customFormat="1" x14ac:dyDescent="0.45">
      <c r="A75" s="82"/>
      <c r="B75" s="82"/>
      <c r="C75" s="82"/>
      <c r="D75" s="82"/>
      <c r="E75" s="82"/>
      <c r="F75" s="82"/>
      <c r="G75" s="83"/>
      <c r="H75" s="84"/>
      <c r="I75" s="84"/>
      <c r="J75" s="84"/>
      <c r="K75" s="84"/>
      <c r="L75" s="84"/>
      <c r="M75" s="84"/>
      <c r="N75" s="84"/>
    </row>
    <row r="76" spans="1:15" s="10" customFormat="1" x14ac:dyDescent="0.45">
      <c r="A76" s="82"/>
      <c r="B76" s="82"/>
      <c r="C76" s="82"/>
      <c r="D76" s="82"/>
      <c r="E76" s="82"/>
      <c r="F76" s="82"/>
      <c r="G76" s="83"/>
      <c r="H76" s="84"/>
      <c r="I76" s="84"/>
      <c r="J76" s="84"/>
      <c r="K76" s="84"/>
      <c r="L76" s="84"/>
      <c r="M76" s="84"/>
      <c r="N76" s="84"/>
    </row>
    <row r="77" spans="1:15" s="10" customFormat="1" x14ac:dyDescent="0.45">
      <c r="A77" s="82"/>
      <c r="B77" s="82"/>
      <c r="C77" s="82"/>
      <c r="D77" s="82"/>
      <c r="E77" s="82"/>
      <c r="F77" s="82"/>
      <c r="G77" s="83"/>
      <c r="H77" s="84"/>
      <c r="I77" s="84"/>
      <c r="J77" s="84"/>
      <c r="K77" s="84"/>
      <c r="L77" s="84"/>
      <c r="M77" s="84"/>
      <c r="N77" s="84"/>
    </row>
    <row r="78" spans="1:15" s="10" customFormat="1" x14ac:dyDescent="0.45">
      <c r="A78" s="82"/>
      <c r="B78" s="82"/>
      <c r="C78" s="82"/>
      <c r="D78" s="82"/>
      <c r="E78" s="82"/>
      <c r="F78" s="82"/>
      <c r="G78" s="83"/>
      <c r="H78" s="84"/>
      <c r="I78" s="84"/>
      <c r="J78" s="84"/>
      <c r="K78" s="84"/>
      <c r="L78" s="84"/>
      <c r="M78" s="84"/>
      <c r="N78" s="84"/>
    </row>
    <row r="79" spans="1:15" s="10" customFormat="1" x14ac:dyDescent="0.45">
      <c r="A79" s="82"/>
      <c r="B79" s="82"/>
      <c r="C79" s="82"/>
      <c r="D79" s="82"/>
      <c r="E79" s="82"/>
      <c r="F79" s="82"/>
      <c r="G79" s="83"/>
      <c r="H79" s="84"/>
      <c r="I79" s="84"/>
      <c r="J79" s="84"/>
      <c r="K79" s="84"/>
      <c r="L79" s="84"/>
      <c r="M79" s="84"/>
      <c r="N79" s="84"/>
    </row>
    <row r="80" spans="1:15" s="10" customFormat="1" x14ac:dyDescent="0.45">
      <c r="A80" s="82"/>
      <c r="B80" s="82"/>
      <c r="C80" s="82"/>
      <c r="D80" s="82"/>
      <c r="E80" s="82"/>
      <c r="F80" s="82"/>
      <c r="G80" s="83"/>
      <c r="H80" s="84"/>
      <c r="I80" s="84"/>
      <c r="J80" s="84"/>
      <c r="K80" s="84"/>
      <c r="L80" s="84"/>
      <c r="M80" s="84"/>
      <c r="N80" s="84"/>
    </row>
    <row r="81" spans="1:14" s="10" customFormat="1" x14ac:dyDescent="0.45">
      <c r="A81" s="82"/>
      <c r="B81" s="82"/>
      <c r="C81" s="82"/>
      <c r="D81" s="82"/>
      <c r="E81" s="82"/>
      <c r="F81" s="82"/>
      <c r="G81" s="83"/>
      <c r="H81" s="84"/>
      <c r="I81" s="84"/>
      <c r="J81" s="84"/>
      <c r="K81" s="84"/>
      <c r="L81" s="84"/>
      <c r="M81" s="84"/>
      <c r="N81" s="84"/>
    </row>
    <row r="82" spans="1:14" s="10" customFormat="1" x14ac:dyDescent="0.45">
      <c r="A82" s="82"/>
      <c r="B82" s="82"/>
      <c r="C82" s="82"/>
      <c r="D82" s="82"/>
      <c r="E82" s="82"/>
      <c r="F82" s="82"/>
      <c r="G82" s="83"/>
      <c r="H82" s="84"/>
      <c r="I82" s="84"/>
      <c r="J82" s="84"/>
      <c r="K82" s="84"/>
      <c r="L82" s="84"/>
      <c r="M82" s="84"/>
      <c r="N82" s="84"/>
    </row>
    <row r="83" spans="1:14" s="10" customFormat="1" x14ac:dyDescent="0.45">
      <c r="A83" s="82"/>
      <c r="B83" s="82"/>
      <c r="C83" s="82"/>
      <c r="D83" s="82"/>
      <c r="E83" s="82"/>
      <c r="F83" s="82"/>
      <c r="G83" s="83"/>
      <c r="H83" s="84"/>
      <c r="I83" s="84"/>
      <c r="J83" s="84"/>
      <c r="K83" s="84"/>
      <c r="L83" s="84"/>
      <c r="M83" s="84"/>
      <c r="N83" s="84"/>
    </row>
    <row r="84" spans="1:14" s="10" customFormat="1" x14ac:dyDescent="0.45">
      <c r="A84" s="82"/>
      <c r="B84" s="82"/>
      <c r="C84" s="82"/>
      <c r="D84" s="82"/>
      <c r="E84" s="82"/>
      <c r="F84" s="82"/>
      <c r="G84" s="83"/>
      <c r="H84" s="84"/>
      <c r="I84" s="84"/>
      <c r="J84" s="84"/>
      <c r="K84" s="84"/>
      <c r="L84" s="84"/>
      <c r="M84" s="84"/>
      <c r="N84" s="84"/>
    </row>
    <row r="85" spans="1:14" s="10" customFormat="1" x14ac:dyDescent="0.45">
      <c r="A85" s="82"/>
      <c r="B85" s="82"/>
      <c r="C85" s="82"/>
      <c r="D85" s="82"/>
      <c r="E85" s="82"/>
      <c r="F85" s="82"/>
      <c r="G85" s="83"/>
      <c r="H85" s="84"/>
      <c r="I85" s="84"/>
      <c r="J85" s="84"/>
      <c r="K85" s="84"/>
      <c r="L85" s="84"/>
      <c r="M85" s="84"/>
      <c r="N85" s="84"/>
    </row>
    <row r="86" spans="1:14" s="10" customFormat="1" x14ac:dyDescent="0.45">
      <c r="A86" s="82"/>
      <c r="B86" s="82"/>
      <c r="C86" s="82"/>
      <c r="D86" s="82"/>
      <c r="E86" s="82"/>
      <c r="F86" s="82"/>
      <c r="G86" s="83"/>
      <c r="H86" s="84"/>
      <c r="I86" s="84"/>
      <c r="J86" s="84"/>
      <c r="K86" s="84"/>
      <c r="L86" s="84"/>
      <c r="M86" s="84"/>
      <c r="N86" s="84"/>
    </row>
    <row r="87" spans="1:14" s="10" customFormat="1" x14ac:dyDescent="0.45">
      <c r="A87" s="82"/>
      <c r="B87" s="82"/>
      <c r="C87" s="82"/>
      <c r="D87" s="82"/>
      <c r="E87" s="82"/>
      <c r="F87" s="82"/>
      <c r="G87" s="83"/>
      <c r="H87" s="84"/>
      <c r="I87" s="84"/>
      <c r="J87" s="84"/>
      <c r="K87" s="84"/>
      <c r="L87" s="84"/>
      <c r="M87" s="84"/>
      <c r="N87" s="84"/>
    </row>
  </sheetData>
  <pageMargins left="0.7" right="0.7" top="0.75" bottom="0.75" header="0.3" footer="0.3"/>
  <pageSetup orientation="portrait" r:id="rId1"/>
  <drawing r:id="rId2"/>
  <legacyDrawing r:id="rId3"/>
  <controls>
    <mc:AlternateContent xmlns:mc="http://schemas.openxmlformats.org/markup-compatibility/2006">
      <mc:Choice Requires="x14">
        <control shapeId="99564" r:id="rId4" name="chkShowHelp">
          <controlPr defaultSize="0" autoLine="0" r:id="rId5">
            <anchor moveWithCells="1">
              <from>
                <xdr:col>0</xdr:col>
                <xdr:colOff>163286</xdr:colOff>
                <xdr:row>4</xdr:row>
                <xdr:rowOff>10886</xdr:rowOff>
              </from>
              <to>
                <xdr:col>1</xdr:col>
                <xdr:colOff>348343</xdr:colOff>
                <xdr:row>4</xdr:row>
                <xdr:rowOff>228600</xdr:rowOff>
              </to>
            </anchor>
          </controlPr>
        </control>
      </mc:Choice>
      <mc:Fallback>
        <control shapeId="99564" r:id="rId4" name="chkShowHelp"/>
      </mc:Fallback>
    </mc:AlternateContent>
    <mc:AlternateContent xmlns:mc="http://schemas.openxmlformats.org/markup-compatibility/2006">
      <mc:Choice Requires="x14">
        <control shapeId="30739" r:id="rId6" name="cmdGetOpc">
          <controlPr defaultSize="0" autoLine="0" r:id="rId7">
            <anchor moveWithCells="1">
              <from>
                <xdr:col>5</xdr:col>
                <xdr:colOff>48986</xdr:colOff>
                <xdr:row>1</xdr:row>
                <xdr:rowOff>38100</xdr:rowOff>
              </from>
              <to>
                <xdr:col>6</xdr:col>
                <xdr:colOff>419100</xdr:colOff>
                <xdr:row>2</xdr:row>
                <xdr:rowOff>168729</xdr:rowOff>
              </to>
            </anchor>
          </controlPr>
        </control>
      </mc:Choice>
      <mc:Fallback>
        <control shapeId="30739" r:id="rId6" name="cmdGetOpc"/>
      </mc:Fallback>
    </mc:AlternateContent>
    <mc:AlternateContent xmlns:mc="http://schemas.openxmlformats.org/markup-compatibility/2006">
      <mc:Choice Requires="x14">
        <control shapeId="30721" r:id="rId8" name="cmdReadOpc">
          <controlPr defaultSize="0" autoLine="0" r:id="rId9">
            <anchor moveWithCells="1">
              <from>
                <xdr:col>6</xdr:col>
                <xdr:colOff>593271</xdr:colOff>
                <xdr:row>1</xdr:row>
                <xdr:rowOff>38100</xdr:rowOff>
              </from>
              <to>
                <xdr:col>8</xdr:col>
                <xdr:colOff>288471</xdr:colOff>
                <xdr:row>2</xdr:row>
                <xdr:rowOff>168729</xdr:rowOff>
              </to>
            </anchor>
          </controlPr>
        </control>
      </mc:Choice>
      <mc:Fallback>
        <control shapeId="30721" r:id="rId8" name="cmdReadOpc"/>
      </mc:Fallback>
    </mc:AlternateContent>
    <mc:AlternateContent xmlns:mc="http://schemas.openxmlformats.org/markup-compatibility/2006">
      <mc:Choice Requires="x14">
        <control shapeId="30722" r:id="rId10" name="cmdWriteOpc">
          <controlPr defaultSize="0" autoLine="0" r:id="rId11">
            <anchor moveWithCells="1">
              <from>
                <xdr:col>8</xdr:col>
                <xdr:colOff>402771</xdr:colOff>
                <xdr:row>1</xdr:row>
                <xdr:rowOff>38100</xdr:rowOff>
              </from>
              <to>
                <xdr:col>10</xdr:col>
                <xdr:colOff>125186</xdr:colOff>
                <xdr:row>2</xdr:row>
                <xdr:rowOff>168729</xdr:rowOff>
              </to>
            </anchor>
          </controlPr>
        </control>
      </mc:Choice>
      <mc:Fallback>
        <control shapeId="30722" r:id="rId10" name="cmdWriteOpc"/>
      </mc:Fallback>
    </mc:AlternateContent>
    <mc:AlternateContent xmlns:mc="http://schemas.openxmlformats.org/markup-compatibility/2006">
      <mc:Choice Requires="x14">
        <control shapeId="30723" r:id="rId12" name="cmbBoxOpc">
          <controlPr defaultSize="0" autoLine="0" linkedCell="B3" r:id="rId13">
            <anchor moveWithCells="1">
              <from>
                <xdr:col>1</xdr:col>
                <xdr:colOff>0</xdr:colOff>
                <xdr:row>1</xdr:row>
                <xdr:rowOff>136071</xdr:rowOff>
              </from>
              <to>
                <xdr:col>3</xdr:col>
                <xdr:colOff>0</xdr:colOff>
                <xdr:row>3</xdr:row>
                <xdr:rowOff>16329</xdr:rowOff>
              </to>
            </anchor>
          </controlPr>
        </control>
      </mc:Choice>
      <mc:Fallback>
        <control shapeId="30723" r:id="rId12" name="cmbBoxOpc"/>
      </mc:Fallback>
    </mc:AlternateContent>
    <mc:AlternateContent xmlns:mc="http://schemas.openxmlformats.org/markup-compatibility/2006">
      <mc:Choice Requires="x14">
        <control shapeId="30740" r:id="rId14" name="cmdRun">
          <controlPr defaultSize="0" autoLine="0" r:id="rId15">
            <anchor moveWithCells="1">
              <from>
                <xdr:col>10</xdr:col>
                <xdr:colOff>402771</xdr:colOff>
                <xdr:row>1</xdr:row>
                <xdr:rowOff>38100</xdr:rowOff>
              </from>
              <to>
                <xdr:col>12</xdr:col>
                <xdr:colOff>119743</xdr:colOff>
                <xdr:row>2</xdr:row>
                <xdr:rowOff>179614</xdr:rowOff>
              </to>
            </anchor>
          </controlPr>
        </control>
      </mc:Choice>
      <mc:Fallback>
        <control shapeId="30740" r:id="rId14" name="cmdRu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Y61"/>
  <sheetViews>
    <sheetView tabSelected="1" workbookViewId="0">
      <pane ySplit="13" topLeftCell="A14" activePane="bottomLeft" state="frozen"/>
      <selection pane="bottomLeft" activeCell="A23" sqref="A23:XFD23"/>
    </sheetView>
  </sheetViews>
  <sheetFormatPr defaultRowHeight="14.6" x14ac:dyDescent="0.4"/>
  <cols>
    <col min="1" max="1" width="14.4609375" customWidth="1"/>
    <col min="2" max="5" width="9.15234375" style="40"/>
    <col min="6" max="6" width="9.3046875" style="40" bestFit="1" customWidth="1"/>
    <col min="7" max="8" width="9.53515625" style="40" bestFit="1" customWidth="1"/>
    <col min="9" max="11" width="9.15234375" style="40"/>
  </cols>
  <sheetData>
    <row r="1" spans="1:25" ht="20.6" x14ac:dyDescent="0.4">
      <c r="A1" s="94" t="s">
        <v>893</v>
      </c>
      <c r="B1"/>
      <c r="C1"/>
      <c r="D1"/>
      <c r="E1"/>
      <c r="F1"/>
      <c r="G1"/>
      <c r="H1"/>
      <c r="I1"/>
      <c r="J1"/>
      <c r="K1"/>
    </row>
    <row r="2" spans="1:25" x14ac:dyDescent="0.4">
      <c r="A2" s="3"/>
      <c r="B2"/>
      <c r="C2"/>
      <c r="D2"/>
      <c r="E2"/>
      <c r="F2"/>
      <c r="G2"/>
      <c r="H2"/>
      <c r="I2"/>
      <c r="J2"/>
      <c r="K2"/>
    </row>
    <row r="3" spans="1:25" x14ac:dyDescent="0.4">
      <c r="B3"/>
      <c r="C3"/>
      <c r="D3"/>
      <c r="E3"/>
      <c r="F3"/>
      <c r="G3"/>
      <c r="H3"/>
      <c r="I3"/>
      <c r="J3"/>
      <c r="K3"/>
    </row>
    <row r="4" spans="1:25" x14ac:dyDescent="0.4">
      <c r="A4" s="26" t="s">
        <v>662</v>
      </c>
      <c r="B4" t="s">
        <v>1868</v>
      </c>
      <c r="C4"/>
      <c r="D4" s="27" t="s">
        <v>758</v>
      </c>
      <c r="E4" s="8" t="s">
        <v>1536</v>
      </c>
      <c r="F4"/>
      <c r="G4"/>
      <c r="H4"/>
      <c r="I4"/>
      <c r="J4"/>
      <c r="K4"/>
    </row>
    <row r="5" spans="1:25" x14ac:dyDescent="0.4">
      <c r="A5" s="5" t="s">
        <v>900</v>
      </c>
      <c r="B5"/>
      <c r="C5" s="73" t="s">
        <v>914</v>
      </c>
      <c r="D5"/>
      <c r="E5"/>
      <c r="F5"/>
      <c r="G5"/>
      <c r="H5"/>
      <c r="I5"/>
      <c r="J5"/>
      <c r="K5"/>
    </row>
    <row r="6" spans="1:25" x14ac:dyDescent="0.4">
      <c r="B6"/>
      <c r="C6"/>
      <c r="D6"/>
      <c r="E6"/>
      <c r="F6"/>
      <c r="G6"/>
      <c r="H6"/>
      <c r="I6"/>
      <c r="J6"/>
      <c r="K6"/>
    </row>
    <row r="7" spans="1:25" x14ac:dyDescent="0.4">
      <c r="A7" s="26" t="s">
        <v>663</v>
      </c>
      <c r="B7"/>
      <c r="C7"/>
      <c r="D7"/>
      <c r="E7"/>
      <c r="F7"/>
      <c r="G7"/>
      <c r="H7"/>
      <c r="I7"/>
      <c r="J7"/>
      <c r="K7"/>
    </row>
    <row r="8" spans="1:25" x14ac:dyDescent="0.4">
      <c r="A8" s="3" t="s">
        <v>831</v>
      </c>
      <c r="B8"/>
      <c r="C8"/>
      <c r="D8"/>
      <c r="E8"/>
      <c r="F8"/>
      <c r="G8"/>
      <c r="H8"/>
      <c r="I8"/>
      <c r="J8"/>
      <c r="K8"/>
    </row>
    <row r="9" spans="1:25" x14ac:dyDescent="0.4">
      <c r="A9" s="37" t="s">
        <v>771</v>
      </c>
      <c r="C9" s="37" t="s">
        <v>772</v>
      </c>
      <c r="E9" s="37" t="s">
        <v>773</v>
      </c>
      <c r="G9" s="37" t="s">
        <v>780</v>
      </c>
      <c r="I9" s="37" t="s">
        <v>779</v>
      </c>
      <c r="K9" s="37" t="s">
        <v>778</v>
      </c>
      <c r="L9" s="40"/>
      <c r="M9" s="37" t="s">
        <v>777</v>
      </c>
      <c r="N9" s="40"/>
      <c r="O9" s="37" t="s">
        <v>776</v>
      </c>
      <c r="P9" s="40"/>
      <c r="Q9" s="37" t="s">
        <v>775</v>
      </c>
      <c r="R9" s="40"/>
      <c r="S9" s="37" t="s">
        <v>774</v>
      </c>
      <c r="T9" s="40"/>
    </row>
    <row r="10" spans="1:25" x14ac:dyDescent="0.4">
      <c r="A10" s="37" t="s">
        <v>790</v>
      </c>
      <c r="C10" s="37" t="s">
        <v>789</v>
      </c>
      <c r="E10" s="37" t="s">
        <v>788</v>
      </c>
      <c r="G10" s="37" t="s">
        <v>787</v>
      </c>
      <c r="I10" s="37" t="s">
        <v>786</v>
      </c>
      <c r="K10" s="37" t="s">
        <v>785</v>
      </c>
      <c r="L10" s="40"/>
      <c r="M10" s="37" t="s">
        <v>784</v>
      </c>
      <c r="N10" s="40"/>
      <c r="O10" s="37" t="s">
        <v>783</v>
      </c>
      <c r="P10" s="40"/>
      <c r="Q10" s="37" t="s">
        <v>782</v>
      </c>
      <c r="R10" s="40"/>
      <c r="S10" s="37" t="s">
        <v>781</v>
      </c>
      <c r="T10" s="40"/>
    </row>
    <row r="11" spans="1:25" x14ac:dyDescent="0.4">
      <c r="A11" s="37"/>
      <c r="B11" s="8"/>
      <c r="C11" s="37"/>
      <c r="D11" s="39"/>
      <c r="E11" s="37"/>
      <c r="F11" s="8"/>
      <c r="G11" s="37"/>
      <c r="H11" s="8"/>
      <c r="I11" s="37"/>
      <c r="J11" s="8"/>
      <c r="K11" s="37"/>
      <c r="L11" s="8"/>
      <c r="M11" s="37"/>
      <c r="N11" s="8"/>
      <c r="O11" s="37"/>
      <c r="P11" s="8"/>
      <c r="Q11" s="37"/>
      <c r="R11" s="8"/>
      <c r="S11" s="37"/>
      <c r="T11" s="8"/>
    </row>
    <row r="12" spans="1:25" x14ac:dyDescent="0.4">
      <c r="A12" s="3" t="s">
        <v>791</v>
      </c>
      <c r="B12" s="8"/>
      <c r="C12"/>
      <c r="D12"/>
      <c r="E12"/>
      <c r="F12"/>
      <c r="G12"/>
      <c r="H12"/>
      <c r="I12"/>
      <c r="J12"/>
      <c r="K12"/>
    </row>
    <row r="13" spans="1:25" s="1" customFormat="1" x14ac:dyDescent="0.4">
      <c r="A13" s="32" t="s">
        <v>832</v>
      </c>
      <c r="B13" s="67">
        <v>1</v>
      </c>
      <c r="C13" s="67">
        <v>2</v>
      </c>
      <c r="D13" s="67">
        <v>3</v>
      </c>
      <c r="E13" s="67">
        <v>4</v>
      </c>
      <c r="F13" s="67">
        <v>5</v>
      </c>
      <c r="G13" s="67">
        <v>6</v>
      </c>
      <c r="H13" s="67">
        <v>7</v>
      </c>
      <c r="I13" s="67">
        <v>8</v>
      </c>
      <c r="J13" s="67">
        <v>9</v>
      </c>
      <c r="K13" s="67">
        <v>10</v>
      </c>
      <c r="L13" s="235" t="s">
        <v>663</v>
      </c>
      <c r="M13" s="235"/>
      <c r="N13" s="235"/>
      <c r="O13" s="67"/>
      <c r="P13" s="67"/>
      <c r="R13" s="139"/>
      <c r="S13" s="139"/>
    </row>
    <row r="14" spans="1:25" s="8" customFormat="1" x14ac:dyDescent="0.4">
      <c r="A14" s="42" t="s">
        <v>792</v>
      </c>
      <c r="B14" s="40"/>
      <c r="C14" s="40"/>
      <c r="D14" s="40"/>
      <c r="E14" s="40"/>
      <c r="F14" s="40"/>
      <c r="G14" s="40"/>
      <c r="H14" s="40"/>
      <c r="I14" s="40"/>
      <c r="J14" s="40"/>
      <c r="K14" s="40"/>
      <c r="L14" s="10" t="s">
        <v>833</v>
      </c>
      <c r="M14" s="40"/>
      <c r="N14" s="40"/>
      <c r="O14" s="40"/>
      <c r="P14" s="40"/>
    </row>
    <row r="15" spans="1:25" s="8" customFormat="1" x14ac:dyDescent="0.4">
      <c r="A15" s="42" t="s">
        <v>793</v>
      </c>
      <c r="B15" s="40"/>
      <c r="C15" s="40"/>
      <c r="D15" s="40"/>
      <c r="E15" s="40"/>
      <c r="F15" s="40"/>
      <c r="G15" s="40"/>
      <c r="H15" s="40"/>
      <c r="I15" s="40"/>
      <c r="J15" s="40"/>
      <c r="K15" s="40"/>
      <c r="L15" s="10" t="s">
        <v>834</v>
      </c>
      <c r="M15" s="40"/>
      <c r="N15" s="40"/>
      <c r="O15" s="40"/>
      <c r="P15" s="40"/>
      <c r="Y15"/>
    </row>
    <row r="16" spans="1:25" s="8" customFormat="1" x14ac:dyDescent="0.4">
      <c r="A16" s="162" t="s">
        <v>794</v>
      </c>
      <c r="B16" s="40"/>
      <c r="C16" s="40"/>
      <c r="D16" s="40"/>
      <c r="E16" s="40"/>
      <c r="F16" s="40"/>
      <c r="G16" s="40"/>
      <c r="H16" s="40"/>
      <c r="I16" s="40"/>
      <c r="J16" s="40"/>
      <c r="K16" s="40"/>
      <c r="L16" s="10" t="s">
        <v>835</v>
      </c>
      <c r="M16" s="40"/>
      <c r="N16" s="40"/>
      <c r="O16" s="40"/>
      <c r="P16" s="40"/>
      <c r="Y16"/>
    </row>
    <row r="17" spans="1:25" s="8" customFormat="1" x14ac:dyDescent="0.4">
      <c r="A17" s="162" t="s">
        <v>795</v>
      </c>
      <c r="B17" s="40"/>
      <c r="C17" s="40"/>
      <c r="D17" s="40"/>
      <c r="E17" s="40"/>
      <c r="F17" s="40"/>
      <c r="G17" s="40"/>
      <c r="H17" s="40"/>
      <c r="I17" s="40"/>
      <c r="J17" s="40"/>
      <c r="K17" s="40"/>
      <c r="L17" s="10" t="s">
        <v>836</v>
      </c>
      <c r="M17" s="40"/>
      <c r="N17" s="40"/>
      <c r="O17" s="40"/>
      <c r="P17" s="40"/>
      <c r="Y17"/>
    </row>
    <row r="18" spans="1:25" s="8" customFormat="1" x14ac:dyDescent="0.4">
      <c r="A18" s="42" t="s">
        <v>796</v>
      </c>
      <c r="B18" s="40"/>
      <c r="C18" s="40"/>
      <c r="D18" s="40"/>
      <c r="E18" s="40"/>
      <c r="F18" s="40"/>
      <c r="G18" s="40"/>
      <c r="H18" s="40"/>
      <c r="I18" s="40"/>
      <c r="J18" s="40"/>
      <c r="K18" s="40"/>
      <c r="L18" s="10" t="s">
        <v>837</v>
      </c>
      <c r="M18" s="40"/>
      <c r="N18" s="40"/>
      <c r="O18" s="40"/>
      <c r="P18" s="40"/>
      <c r="Y18"/>
    </row>
    <row r="19" spans="1:25" s="8" customFormat="1" x14ac:dyDescent="0.4">
      <c r="A19" s="42" t="s">
        <v>797</v>
      </c>
      <c r="B19" s="40"/>
      <c r="C19" s="40"/>
      <c r="D19" s="40"/>
      <c r="E19" s="40"/>
      <c r="F19" s="40"/>
      <c r="G19" s="40"/>
      <c r="H19" s="40"/>
      <c r="I19" s="40"/>
      <c r="J19" s="40"/>
      <c r="K19" s="40"/>
      <c r="L19" s="10" t="s">
        <v>838</v>
      </c>
      <c r="M19" s="40"/>
      <c r="N19" s="40"/>
      <c r="O19" s="40"/>
      <c r="P19" s="40"/>
      <c r="Y19"/>
    </row>
    <row r="20" spans="1:25" s="8" customFormat="1" x14ac:dyDescent="0.4">
      <c r="A20" s="166" t="s">
        <v>1200</v>
      </c>
      <c r="B20" s="40"/>
      <c r="C20" s="40"/>
      <c r="D20" s="40"/>
      <c r="E20" s="40"/>
      <c r="F20" s="40"/>
      <c r="G20" s="40"/>
      <c r="H20" s="40"/>
      <c r="I20" s="40"/>
      <c r="J20" s="40"/>
      <c r="K20" s="40"/>
      <c r="L20" s="10" t="s">
        <v>839</v>
      </c>
      <c r="M20" s="40"/>
      <c r="N20" s="40"/>
      <c r="O20" s="40"/>
      <c r="P20" s="40"/>
      <c r="Y20"/>
    </row>
    <row r="21" spans="1:25" s="8" customFormat="1" x14ac:dyDescent="0.4">
      <c r="A21" s="42" t="s">
        <v>798</v>
      </c>
      <c r="B21" s="40"/>
      <c r="C21" s="40"/>
      <c r="D21" s="40"/>
      <c r="E21" s="40"/>
      <c r="F21" s="40"/>
      <c r="G21" s="40"/>
      <c r="H21" s="40"/>
      <c r="I21" s="40"/>
      <c r="J21" s="40"/>
      <c r="K21" s="40"/>
      <c r="L21" s="10" t="s">
        <v>840</v>
      </c>
      <c r="M21" s="40"/>
      <c r="N21" s="40"/>
      <c r="O21" s="40"/>
      <c r="P21" s="40"/>
      <c r="Y21"/>
    </row>
    <row r="22" spans="1:25" s="8" customFormat="1" x14ac:dyDescent="0.4">
      <c r="A22" s="162" t="s">
        <v>799</v>
      </c>
      <c r="B22" s="40"/>
      <c r="C22" s="40"/>
      <c r="D22" s="40"/>
      <c r="E22" s="40"/>
      <c r="F22" s="40"/>
      <c r="G22" s="40"/>
      <c r="H22" s="40"/>
      <c r="I22" s="40"/>
      <c r="J22" s="40"/>
      <c r="K22" s="40"/>
      <c r="L22" s="10" t="s">
        <v>841</v>
      </c>
      <c r="M22" s="40"/>
      <c r="N22" s="40"/>
      <c r="O22" s="40"/>
      <c r="P22" s="40"/>
      <c r="Y22"/>
    </row>
    <row r="23" spans="1:25" s="8" customFormat="1" x14ac:dyDescent="0.4">
      <c r="A23" s="42" t="s">
        <v>800</v>
      </c>
      <c r="B23" s="40"/>
      <c r="C23" s="40"/>
      <c r="D23" s="40"/>
      <c r="E23" s="40"/>
      <c r="F23" s="40"/>
      <c r="G23" s="40"/>
      <c r="H23" s="40"/>
      <c r="I23" s="40"/>
      <c r="J23" s="40"/>
      <c r="K23" s="40"/>
      <c r="L23" s="10" t="s">
        <v>842</v>
      </c>
      <c r="M23" s="40"/>
      <c r="N23" s="40"/>
      <c r="O23" s="40"/>
      <c r="P23" s="40"/>
      <c r="Y23"/>
    </row>
    <row r="24" spans="1:25" s="8" customFormat="1" x14ac:dyDescent="0.4">
      <c r="A24" s="162" t="s">
        <v>801</v>
      </c>
      <c r="B24" s="40"/>
      <c r="C24" s="40"/>
      <c r="D24" s="40"/>
      <c r="E24" s="40"/>
      <c r="F24" s="40"/>
      <c r="G24" s="40"/>
      <c r="H24" s="40"/>
      <c r="I24" s="40"/>
      <c r="J24" s="40"/>
      <c r="K24" s="40"/>
      <c r="L24" s="10" t="s">
        <v>843</v>
      </c>
      <c r="M24" s="40"/>
      <c r="N24" s="40"/>
      <c r="O24" s="40"/>
      <c r="P24" s="40"/>
      <c r="Y24"/>
    </row>
    <row r="25" spans="1:25" s="8" customFormat="1" x14ac:dyDescent="0.4">
      <c r="A25" s="162" t="s">
        <v>802</v>
      </c>
      <c r="B25" s="40"/>
      <c r="C25" s="40"/>
      <c r="D25" s="40"/>
      <c r="E25" s="40"/>
      <c r="F25" s="40"/>
      <c r="G25" s="40"/>
      <c r="H25" s="40"/>
      <c r="I25" s="40"/>
      <c r="J25" s="40"/>
      <c r="K25" s="40"/>
      <c r="L25" s="10" t="s">
        <v>844</v>
      </c>
      <c r="M25" s="40"/>
      <c r="N25" s="40"/>
      <c r="O25" s="40"/>
      <c r="P25" s="40"/>
      <c r="Y25"/>
    </row>
    <row r="26" spans="1:25" s="8" customFormat="1" x14ac:dyDescent="0.4">
      <c r="A26" s="162" t="s">
        <v>803</v>
      </c>
      <c r="B26" s="40"/>
      <c r="C26" s="40"/>
      <c r="D26" s="40"/>
      <c r="E26" s="40"/>
      <c r="F26" s="40"/>
      <c r="G26" s="40"/>
      <c r="H26" s="40"/>
      <c r="I26" s="40"/>
      <c r="J26" s="40"/>
      <c r="K26" s="40"/>
      <c r="L26" s="10" t="s">
        <v>845</v>
      </c>
      <c r="M26" s="40"/>
      <c r="N26" s="40"/>
      <c r="O26" s="40"/>
      <c r="P26" s="40"/>
      <c r="Y26"/>
    </row>
    <row r="27" spans="1:25" s="128" customFormat="1" x14ac:dyDescent="0.4">
      <c r="A27" s="165" t="s">
        <v>804</v>
      </c>
      <c r="B27" s="40"/>
      <c r="C27" s="40"/>
      <c r="D27" s="40"/>
      <c r="E27" s="40"/>
      <c r="F27" s="40"/>
      <c r="G27" s="40"/>
      <c r="H27" s="40"/>
      <c r="I27" s="40"/>
      <c r="J27" s="40"/>
      <c r="K27" s="40"/>
      <c r="L27" s="128" t="s">
        <v>846</v>
      </c>
      <c r="M27" s="40"/>
      <c r="N27" s="40"/>
      <c r="O27" s="40"/>
      <c r="P27" s="40"/>
    </row>
    <row r="28" spans="1:25" s="128" customFormat="1" x14ac:dyDescent="0.4">
      <c r="A28" s="165" t="s">
        <v>805</v>
      </c>
      <c r="B28" s="40"/>
      <c r="C28" s="40"/>
      <c r="D28" s="40"/>
      <c r="E28" s="40"/>
      <c r="F28" s="40"/>
      <c r="G28" s="40"/>
      <c r="H28" s="40"/>
      <c r="I28" s="40"/>
      <c r="J28" s="40"/>
      <c r="K28" s="40"/>
      <c r="L28" s="128" t="s">
        <v>847</v>
      </c>
      <c r="M28" s="40"/>
      <c r="N28" s="40"/>
      <c r="O28" s="40"/>
      <c r="P28" s="40"/>
    </row>
    <row r="29" spans="1:25" s="128" customFormat="1" x14ac:dyDescent="0.4">
      <c r="A29" s="165" t="s">
        <v>806</v>
      </c>
      <c r="B29" s="40"/>
      <c r="C29" s="40"/>
      <c r="D29" s="40"/>
      <c r="E29" s="40"/>
      <c r="F29" s="40"/>
      <c r="G29" s="40"/>
      <c r="H29" s="40"/>
      <c r="I29" s="40"/>
      <c r="J29" s="40"/>
      <c r="K29" s="40"/>
      <c r="L29" s="128" t="s">
        <v>848</v>
      </c>
      <c r="M29" s="40"/>
      <c r="N29" s="40"/>
      <c r="O29" s="40"/>
      <c r="P29" s="40"/>
    </row>
    <row r="30" spans="1:25" s="128" customFormat="1" x14ac:dyDescent="0.4">
      <c r="A30" s="165" t="s">
        <v>807</v>
      </c>
      <c r="B30" s="40"/>
      <c r="C30" s="40"/>
      <c r="D30" s="40"/>
      <c r="E30" s="40"/>
      <c r="F30" s="40"/>
      <c r="G30" s="40"/>
      <c r="H30" s="40"/>
      <c r="I30" s="40"/>
      <c r="J30" s="40"/>
      <c r="K30" s="40"/>
      <c r="L30" s="128" t="s">
        <v>849</v>
      </c>
      <c r="M30" s="40"/>
      <c r="N30" s="40"/>
      <c r="O30" s="40"/>
      <c r="P30" s="40"/>
    </row>
    <row r="31" spans="1:25" s="128" customFormat="1" x14ac:dyDescent="0.4">
      <c r="A31" s="165" t="s">
        <v>808</v>
      </c>
      <c r="B31" s="40"/>
      <c r="C31" s="40"/>
      <c r="D31" s="40"/>
      <c r="E31" s="40"/>
      <c r="F31" s="40"/>
      <c r="G31" s="40"/>
      <c r="H31" s="40"/>
      <c r="I31" s="40"/>
      <c r="J31" s="40"/>
      <c r="K31" s="40"/>
      <c r="L31" s="128" t="s">
        <v>850</v>
      </c>
      <c r="M31" s="40"/>
      <c r="N31" s="40"/>
      <c r="O31" s="40"/>
      <c r="P31" s="40"/>
    </row>
    <row r="32" spans="1:25" s="8" customFormat="1" x14ac:dyDescent="0.4">
      <c r="A32" s="162" t="s">
        <v>809</v>
      </c>
      <c r="B32" s="40"/>
      <c r="C32" s="40"/>
      <c r="D32" s="40"/>
      <c r="E32" s="40"/>
      <c r="F32" s="40"/>
      <c r="G32" s="40"/>
      <c r="H32" s="40"/>
      <c r="I32" s="40"/>
      <c r="J32" s="40"/>
      <c r="K32" s="40"/>
      <c r="L32" s="10" t="s">
        <v>851</v>
      </c>
      <c r="M32" s="40"/>
      <c r="N32" s="40"/>
      <c r="O32" s="40"/>
      <c r="P32" s="40"/>
      <c r="Y32"/>
    </row>
    <row r="33" spans="1:25" s="128" customFormat="1" x14ac:dyDescent="0.4">
      <c r="A33" s="165" t="s">
        <v>810</v>
      </c>
      <c r="B33" s="40"/>
      <c r="C33" s="40"/>
      <c r="D33" s="40"/>
      <c r="E33" s="40"/>
      <c r="F33" s="40"/>
      <c r="G33" s="40"/>
      <c r="H33" s="40"/>
      <c r="I33" s="40"/>
      <c r="J33" s="40"/>
      <c r="K33" s="40"/>
      <c r="L33" s="128" t="s">
        <v>852</v>
      </c>
      <c r="M33" s="40"/>
      <c r="N33" s="40"/>
      <c r="O33" s="40"/>
      <c r="P33" s="40"/>
    </row>
    <row r="34" spans="1:25" s="8" customFormat="1" x14ac:dyDescent="0.4">
      <c r="A34" s="166" t="s">
        <v>811</v>
      </c>
      <c r="B34" s="40"/>
      <c r="C34" s="40"/>
      <c r="D34" s="40"/>
      <c r="E34" s="40"/>
      <c r="F34" s="40"/>
      <c r="G34" s="40"/>
      <c r="H34" s="40"/>
      <c r="I34" s="40"/>
      <c r="J34" s="40"/>
      <c r="K34" s="40"/>
      <c r="L34" s="10" t="s">
        <v>853</v>
      </c>
      <c r="M34" s="40"/>
      <c r="N34" s="40"/>
      <c r="O34" s="40"/>
      <c r="P34" s="40"/>
      <c r="Y34"/>
    </row>
    <row r="35" spans="1:25" s="128" customFormat="1" x14ac:dyDescent="0.4">
      <c r="A35" s="165" t="s">
        <v>1202</v>
      </c>
      <c r="B35" s="40"/>
      <c r="C35" s="40"/>
      <c r="D35" s="40"/>
      <c r="E35" s="40"/>
      <c r="F35" s="40"/>
      <c r="G35" s="40"/>
      <c r="H35" s="40"/>
      <c r="I35" s="40"/>
      <c r="J35" s="40"/>
      <c r="K35" s="40"/>
      <c r="L35" s="128" t="s">
        <v>854</v>
      </c>
      <c r="M35" s="40"/>
      <c r="N35" s="40"/>
      <c r="O35" s="40"/>
      <c r="P35" s="40"/>
    </row>
    <row r="36" spans="1:25" s="128" customFormat="1" x14ac:dyDescent="0.4">
      <c r="A36" s="165" t="s">
        <v>812</v>
      </c>
      <c r="B36" s="40"/>
      <c r="C36" s="40"/>
      <c r="D36" s="40"/>
      <c r="E36" s="40"/>
      <c r="F36" s="40"/>
      <c r="G36" s="40"/>
      <c r="H36" s="40"/>
      <c r="I36" s="40"/>
      <c r="J36" s="40"/>
      <c r="K36" s="40"/>
      <c r="L36" s="128" t="s">
        <v>855</v>
      </c>
      <c r="M36" s="40"/>
      <c r="N36" s="40"/>
      <c r="O36" s="40"/>
      <c r="P36" s="40"/>
    </row>
    <row r="37" spans="1:25" s="128" customFormat="1" x14ac:dyDescent="0.4">
      <c r="A37" s="165" t="s">
        <v>813</v>
      </c>
      <c r="B37" s="40"/>
      <c r="C37" s="40"/>
      <c r="D37" s="40"/>
      <c r="E37" s="40"/>
      <c r="F37" s="40"/>
      <c r="G37" s="40"/>
      <c r="H37" s="40"/>
      <c r="I37" s="40"/>
      <c r="J37" s="40"/>
      <c r="K37" s="40"/>
      <c r="L37" s="128" t="s">
        <v>856</v>
      </c>
      <c r="M37" s="40"/>
      <c r="N37" s="40"/>
      <c r="O37" s="40"/>
      <c r="P37" s="40"/>
    </row>
    <row r="38" spans="1:25" s="128" customFormat="1" x14ac:dyDescent="0.4">
      <c r="A38" s="165" t="s">
        <v>1201</v>
      </c>
      <c r="B38" s="40"/>
      <c r="C38" s="40"/>
      <c r="D38" s="40"/>
      <c r="E38" s="40"/>
      <c r="F38" s="40"/>
      <c r="G38" s="40"/>
      <c r="H38" s="40"/>
      <c r="I38" s="40"/>
      <c r="J38" s="40"/>
      <c r="K38" s="40"/>
      <c r="L38" s="128" t="s">
        <v>857</v>
      </c>
      <c r="M38" s="40"/>
      <c r="N38" s="40"/>
      <c r="O38" s="40"/>
      <c r="P38" s="40"/>
    </row>
    <row r="39" spans="1:25" s="128" customFormat="1" x14ac:dyDescent="0.4">
      <c r="A39" s="165" t="s">
        <v>814</v>
      </c>
      <c r="B39" s="40"/>
      <c r="C39" s="40"/>
      <c r="D39" s="40"/>
      <c r="E39" s="40"/>
      <c r="F39" s="40"/>
      <c r="G39" s="40"/>
      <c r="H39" s="40"/>
      <c r="I39" s="40"/>
      <c r="J39" s="40"/>
      <c r="K39" s="40"/>
      <c r="L39" s="128" t="s">
        <v>858</v>
      </c>
      <c r="M39" s="40"/>
      <c r="N39" s="40"/>
      <c r="O39" s="40"/>
      <c r="P39" s="40"/>
    </row>
    <row r="40" spans="1:25" s="128" customFormat="1" x14ac:dyDescent="0.4">
      <c r="A40" s="165" t="s">
        <v>815</v>
      </c>
      <c r="B40" s="40"/>
      <c r="C40" s="40"/>
      <c r="D40" s="40"/>
      <c r="E40" s="40"/>
      <c r="F40" s="40"/>
      <c r="G40" s="40"/>
      <c r="H40" s="40"/>
      <c r="I40" s="40"/>
      <c r="J40" s="40"/>
      <c r="K40" s="40"/>
      <c r="L40" s="128" t="s">
        <v>859</v>
      </c>
      <c r="M40" s="40"/>
      <c r="N40" s="40"/>
      <c r="O40" s="40"/>
      <c r="P40" s="40"/>
    </row>
    <row r="41" spans="1:25" s="128" customFormat="1" x14ac:dyDescent="0.4">
      <c r="A41" s="165" t="s">
        <v>816</v>
      </c>
      <c r="B41" s="40"/>
      <c r="C41" s="40"/>
      <c r="D41" s="40"/>
      <c r="E41" s="40"/>
      <c r="F41" s="40"/>
      <c r="G41" s="40"/>
      <c r="H41" s="40"/>
      <c r="I41" s="40"/>
      <c r="J41" s="40"/>
      <c r="K41" s="40"/>
      <c r="L41" s="128" t="s">
        <v>860</v>
      </c>
      <c r="M41" s="40"/>
      <c r="N41" s="40"/>
      <c r="O41" s="40"/>
      <c r="P41" s="40"/>
    </row>
    <row r="42" spans="1:25" s="128" customFormat="1" x14ac:dyDescent="0.4">
      <c r="A42" s="165" t="s">
        <v>817</v>
      </c>
      <c r="B42" s="40"/>
      <c r="C42" s="40"/>
      <c r="D42" s="40"/>
      <c r="E42" s="40"/>
      <c r="F42" s="40"/>
      <c r="G42" s="40"/>
      <c r="H42" s="40"/>
      <c r="I42" s="40"/>
      <c r="J42" s="40"/>
      <c r="K42" s="40"/>
      <c r="L42" s="128" t="s">
        <v>861</v>
      </c>
      <c r="M42" s="40"/>
      <c r="N42" s="40"/>
      <c r="O42" s="40"/>
      <c r="P42" s="40"/>
    </row>
    <row r="43" spans="1:25" s="128" customFormat="1" x14ac:dyDescent="0.4">
      <c r="A43" s="165" t="s">
        <v>818</v>
      </c>
      <c r="B43" s="40"/>
      <c r="C43" s="40"/>
      <c r="D43" s="40"/>
      <c r="E43" s="40"/>
      <c r="F43" s="40"/>
      <c r="G43" s="40"/>
      <c r="H43" s="40"/>
      <c r="I43" s="40"/>
      <c r="J43" s="40"/>
      <c r="K43" s="40"/>
      <c r="L43" s="128" t="s">
        <v>862</v>
      </c>
      <c r="M43" s="40"/>
      <c r="N43" s="40"/>
      <c r="O43" s="40"/>
      <c r="P43" s="40"/>
    </row>
    <row r="44" spans="1:25" s="128" customFormat="1" x14ac:dyDescent="0.4">
      <c r="A44" s="165" t="s">
        <v>819</v>
      </c>
      <c r="B44" s="40"/>
      <c r="C44" s="40"/>
      <c r="D44" s="40"/>
      <c r="E44" s="40"/>
      <c r="F44" s="40"/>
      <c r="G44" s="40"/>
      <c r="H44" s="40"/>
      <c r="I44" s="40"/>
      <c r="J44" s="40"/>
      <c r="K44" s="40"/>
      <c r="L44" s="128" t="s">
        <v>863</v>
      </c>
      <c r="M44" s="40"/>
      <c r="N44" s="40"/>
      <c r="O44" s="40"/>
      <c r="P44" s="40"/>
    </row>
    <row r="45" spans="1:25" s="128" customFormat="1" x14ac:dyDescent="0.4">
      <c r="A45" s="165" t="s">
        <v>820</v>
      </c>
      <c r="B45" s="40"/>
      <c r="C45" s="40"/>
      <c r="D45" s="40"/>
      <c r="E45" s="40"/>
      <c r="F45" s="40"/>
      <c r="G45" s="40"/>
      <c r="H45" s="40"/>
      <c r="I45" s="40"/>
      <c r="J45" s="40"/>
      <c r="K45" s="40"/>
      <c r="L45" s="128" t="s">
        <v>864</v>
      </c>
      <c r="M45" s="40"/>
      <c r="N45" s="40"/>
      <c r="O45" s="40"/>
      <c r="P45" s="40"/>
    </row>
    <row r="46" spans="1:25" s="128" customFormat="1" x14ac:dyDescent="0.4">
      <c r="A46" s="165" t="s">
        <v>821</v>
      </c>
      <c r="B46" s="40"/>
      <c r="C46" s="40"/>
      <c r="D46" s="40"/>
      <c r="E46" s="40"/>
      <c r="F46" s="40"/>
      <c r="G46" s="40"/>
      <c r="H46" s="40"/>
      <c r="I46" s="40"/>
      <c r="J46" s="40"/>
      <c r="K46" s="40"/>
      <c r="L46" s="128" t="s">
        <v>865</v>
      </c>
      <c r="M46" s="40"/>
      <c r="N46" s="40"/>
      <c r="O46" s="40"/>
      <c r="P46" s="40"/>
    </row>
    <row r="47" spans="1:25" s="128" customFormat="1" x14ac:dyDescent="0.4">
      <c r="A47" s="165" t="s">
        <v>822</v>
      </c>
      <c r="B47" s="40"/>
      <c r="C47" s="40"/>
      <c r="D47" s="40"/>
      <c r="E47" s="40"/>
      <c r="F47" s="40"/>
      <c r="G47" s="40"/>
      <c r="H47" s="40"/>
      <c r="I47" s="40"/>
      <c r="J47" s="40"/>
      <c r="K47" s="40"/>
      <c r="L47" s="128" t="s">
        <v>866</v>
      </c>
      <c r="M47" s="40"/>
      <c r="N47" s="40"/>
      <c r="O47" s="40"/>
      <c r="P47" s="40"/>
    </row>
    <row r="48" spans="1:25" s="128" customFormat="1" x14ac:dyDescent="0.4">
      <c r="A48" s="165" t="s">
        <v>823</v>
      </c>
      <c r="B48" s="40"/>
      <c r="C48" s="40"/>
      <c r="D48" s="40"/>
      <c r="E48" s="40"/>
      <c r="F48" s="40"/>
      <c r="G48" s="40"/>
      <c r="H48" s="40"/>
      <c r="I48" s="40"/>
      <c r="J48" s="40"/>
      <c r="K48" s="40"/>
      <c r="L48" s="128" t="s">
        <v>867</v>
      </c>
      <c r="M48" s="40"/>
      <c r="N48" s="40"/>
      <c r="O48" s="40"/>
      <c r="P48" s="40"/>
    </row>
    <row r="49" spans="1:16" s="128" customFormat="1" x14ac:dyDescent="0.4">
      <c r="A49" s="165" t="s">
        <v>824</v>
      </c>
      <c r="B49" s="40"/>
      <c r="C49" s="40"/>
      <c r="D49" s="40"/>
      <c r="E49" s="40"/>
      <c r="F49" s="40"/>
      <c r="G49" s="40"/>
      <c r="H49" s="40"/>
      <c r="I49" s="40"/>
      <c r="J49" s="40"/>
      <c r="K49" s="40"/>
      <c r="L49" s="128" t="s">
        <v>868</v>
      </c>
      <c r="M49" s="40"/>
      <c r="N49" s="40"/>
      <c r="O49" s="40"/>
      <c r="P49" s="40"/>
    </row>
    <row r="50" spans="1:16" s="128" customFormat="1" x14ac:dyDescent="0.4">
      <c r="A50" s="165" t="s">
        <v>825</v>
      </c>
      <c r="B50" s="40"/>
      <c r="C50" s="40"/>
      <c r="D50" s="40"/>
      <c r="E50" s="40"/>
      <c r="F50" s="40"/>
      <c r="G50" s="40"/>
      <c r="H50" s="40"/>
      <c r="I50" s="40"/>
      <c r="J50" s="40"/>
      <c r="K50" s="40"/>
      <c r="L50" s="128" t="s">
        <v>869</v>
      </c>
      <c r="M50" s="40"/>
      <c r="N50" s="40"/>
      <c r="O50" s="40"/>
      <c r="P50" s="40"/>
    </row>
    <row r="51" spans="1:16" s="128" customFormat="1" x14ac:dyDescent="0.4">
      <c r="A51" s="165" t="s">
        <v>826</v>
      </c>
      <c r="B51" s="40"/>
      <c r="C51" s="40"/>
      <c r="D51" s="40"/>
      <c r="E51" s="40"/>
      <c r="F51" s="40"/>
      <c r="G51" s="40"/>
      <c r="H51" s="40"/>
      <c r="I51" s="40"/>
      <c r="J51" s="40"/>
      <c r="K51" s="40"/>
      <c r="L51" s="128" t="s">
        <v>870</v>
      </c>
      <c r="M51" s="40"/>
      <c r="N51" s="40"/>
      <c r="O51" s="40"/>
      <c r="P51" s="40"/>
    </row>
    <row r="52" spans="1:16" s="128" customFormat="1" x14ac:dyDescent="0.4">
      <c r="A52" s="165" t="s">
        <v>827</v>
      </c>
      <c r="B52" s="40"/>
      <c r="C52" s="40"/>
      <c r="D52" s="40"/>
      <c r="E52" s="40"/>
      <c r="F52" s="40"/>
      <c r="G52" s="40"/>
      <c r="H52" s="40"/>
      <c r="I52" s="40"/>
      <c r="J52" s="40"/>
      <c r="K52" s="40"/>
      <c r="L52" s="128" t="s">
        <v>871</v>
      </c>
      <c r="M52" s="40"/>
      <c r="N52" s="40"/>
      <c r="O52" s="40"/>
      <c r="P52" s="40"/>
    </row>
    <row r="53" spans="1:16" s="128" customFormat="1" x14ac:dyDescent="0.4">
      <c r="A53" s="165" t="s">
        <v>828</v>
      </c>
      <c r="B53" s="40"/>
      <c r="C53" s="40"/>
      <c r="D53" s="40"/>
      <c r="E53" s="40"/>
      <c r="F53" s="40"/>
      <c r="G53" s="40"/>
      <c r="H53" s="40"/>
      <c r="I53" s="40"/>
      <c r="J53" s="40"/>
      <c r="K53" s="40"/>
      <c r="L53" s="128" t="s">
        <v>872</v>
      </c>
      <c r="M53" s="40"/>
      <c r="N53" s="40"/>
      <c r="O53" s="40"/>
      <c r="P53" s="40"/>
    </row>
    <row r="54" spans="1:16" s="128" customFormat="1" x14ac:dyDescent="0.4">
      <c r="A54" s="165" t="s">
        <v>829</v>
      </c>
      <c r="B54" s="40"/>
      <c r="C54" s="40"/>
      <c r="D54" s="40"/>
      <c r="E54" s="40"/>
      <c r="F54" s="40"/>
      <c r="G54" s="40"/>
      <c r="H54" s="40"/>
      <c r="I54" s="40"/>
      <c r="J54" s="40"/>
      <c r="K54" s="40"/>
      <c r="L54" s="128" t="s">
        <v>873</v>
      </c>
      <c r="M54" s="40"/>
      <c r="N54" s="40"/>
      <c r="O54" s="40"/>
      <c r="P54" s="40"/>
    </row>
    <row r="55" spans="1:16" s="128" customFormat="1" x14ac:dyDescent="0.4">
      <c r="A55" s="165" t="s">
        <v>830</v>
      </c>
      <c r="B55" s="40"/>
      <c r="C55" s="40"/>
      <c r="D55" s="40"/>
      <c r="E55" s="40"/>
      <c r="F55" s="40"/>
      <c r="G55" s="40"/>
      <c r="H55" s="40"/>
      <c r="I55" s="40"/>
      <c r="J55" s="40"/>
      <c r="K55" s="40"/>
      <c r="L55" s="128" t="s">
        <v>874</v>
      </c>
      <c r="M55" s="40"/>
      <c r="N55" s="40"/>
      <c r="O55" s="40"/>
      <c r="P55" s="40"/>
    </row>
    <row r="56" spans="1:16" s="128" customFormat="1" x14ac:dyDescent="0.4">
      <c r="A56" s="165" t="s">
        <v>1678</v>
      </c>
      <c r="B56" s="40"/>
      <c r="C56" s="40"/>
      <c r="D56" s="40"/>
      <c r="E56" s="40"/>
      <c r="F56" s="40"/>
      <c r="G56" s="40"/>
      <c r="H56" s="40"/>
      <c r="I56" s="40"/>
      <c r="J56" s="40"/>
      <c r="K56" s="40"/>
      <c r="L56" s="128" t="s">
        <v>1684</v>
      </c>
    </row>
    <row r="57" spans="1:16" s="128" customFormat="1" x14ac:dyDescent="0.4">
      <c r="A57" s="165" t="s">
        <v>1679</v>
      </c>
      <c r="B57" s="40"/>
      <c r="C57" s="40"/>
      <c r="D57" s="40"/>
      <c r="E57" s="40"/>
      <c r="F57" s="40"/>
      <c r="G57" s="40"/>
      <c r="H57" s="40"/>
      <c r="I57" s="40"/>
      <c r="J57" s="40"/>
      <c r="K57" s="40"/>
      <c r="L57" s="128" t="s">
        <v>1685</v>
      </c>
    </row>
    <row r="58" spans="1:16" s="128" customFormat="1" x14ac:dyDescent="0.4">
      <c r="A58" s="165" t="s">
        <v>1680</v>
      </c>
      <c r="B58" s="40"/>
      <c r="C58" s="40"/>
      <c r="D58" s="40"/>
      <c r="E58" s="40"/>
      <c r="F58" s="40"/>
      <c r="G58" s="40"/>
      <c r="H58" s="40"/>
      <c r="I58" s="40"/>
      <c r="J58" s="40"/>
      <c r="K58" s="40"/>
      <c r="L58" s="128" t="s">
        <v>1686</v>
      </c>
    </row>
    <row r="59" spans="1:16" s="128" customFormat="1" x14ac:dyDescent="0.4">
      <c r="A59" s="165" t="s">
        <v>1681</v>
      </c>
      <c r="B59" s="40"/>
      <c r="C59" s="40"/>
      <c r="D59" s="40"/>
      <c r="E59" s="40"/>
      <c r="F59" s="40"/>
      <c r="G59" s="40"/>
      <c r="H59" s="40"/>
      <c r="I59" s="40"/>
      <c r="J59" s="40"/>
      <c r="K59" s="40"/>
      <c r="L59" s="128" t="s">
        <v>1687</v>
      </c>
    </row>
    <row r="60" spans="1:16" s="128" customFormat="1" x14ac:dyDescent="0.4">
      <c r="A60" s="165" t="s">
        <v>1682</v>
      </c>
      <c r="B60" s="40"/>
      <c r="C60" s="40"/>
      <c r="D60" s="40"/>
      <c r="E60" s="40"/>
      <c r="F60" s="40"/>
      <c r="G60" s="40"/>
      <c r="H60" s="40"/>
      <c r="I60" s="40"/>
      <c r="J60" s="40"/>
      <c r="K60" s="40"/>
      <c r="L60" s="128" t="s">
        <v>1688</v>
      </c>
    </row>
    <row r="61" spans="1:16" s="128" customFormat="1" x14ac:dyDescent="0.4">
      <c r="A61" s="165" t="s">
        <v>1683</v>
      </c>
      <c r="B61" s="40"/>
      <c r="C61" s="40"/>
      <c r="D61" s="40"/>
      <c r="E61" s="40"/>
      <c r="F61" s="40"/>
      <c r="G61" s="40"/>
      <c r="H61" s="40"/>
      <c r="I61" s="40"/>
      <c r="J61" s="40"/>
      <c r="K61" s="40"/>
      <c r="L61" s="128" t="s">
        <v>1689</v>
      </c>
    </row>
  </sheetData>
  <mergeCells count="1">
    <mergeCell ref="L13:N13"/>
  </mergeCells>
  <pageMargins left="0.7" right="0.7" top="0.75" bottom="0.75" header="0.3" footer="0.3"/>
  <pageSetup orientation="portrait" r:id="rId1"/>
  <drawing r:id="rId2"/>
  <legacyDrawing r:id="rId3"/>
  <controls>
    <mc:AlternateContent xmlns:mc="http://schemas.openxmlformats.org/markup-compatibility/2006">
      <mc:Choice Requires="x14">
        <control shapeId="72714" r:id="rId4" name="cmdRunSol">
          <controlPr defaultSize="0" autoLine="0" r:id="rId5">
            <anchor moveWithCells="1">
              <from>
                <xdr:col>10</xdr:col>
                <xdr:colOff>402771</xdr:colOff>
                <xdr:row>2</xdr:row>
                <xdr:rowOff>38100</xdr:rowOff>
              </from>
              <to>
                <xdr:col>12</xdr:col>
                <xdr:colOff>114300</xdr:colOff>
                <xdr:row>3</xdr:row>
                <xdr:rowOff>179614</xdr:rowOff>
              </to>
            </anchor>
          </controlPr>
        </control>
      </mc:Choice>
      <mc:Fallback>
        <control shapeId="72714" r:id="rId4" name="cmdRunSol"/>
      </mc:Fallback>
    </mc:AlternateContent>
    <mc:AlternateContent xmlns:mc="http://schemas.openxmlformats.org/markup-compatibility/2006">
      <mc:Choice Requires="x14">
        <control shapeId="72713" r:id="rId6" name="cmdGetSol">
          <controlPr defaultSize="0" autoLine="0" r:id="rId7">
            <anchor moveWithCells="1">
              <from>
                <xdr:col>5</xdr:col>
                <xdr:colOff>48986</xdr:colOff>
                <xdr:row>2</xdr:row>
                <xdr:rowOff>38100</xdr:rowOff>
              </from>
              <to>
                <xdr:col>6</xdr:col>
                <xdr:colOff>408214</xdr:colOff>
                <xdr:row>3</xdr:row>
                <xdr:rowOff>179614</xdr:rowOff>
              </to>
            </anchor>
          </controlPr>
        </control>
      </mc:Choice>
      <mc:Fallback>
        <control shapeId="72713" r:id="rId6" name="cmdGetSol"/>
      </mc:Fallback>
    </mc:AlternateContent>
    <mc:AlternateContent xmlns:mc="http://schemas.openxmlformats.org/markup-compatibility/2006">
      <mc:Choice Requires="x14">
        <control shapeId="72712" r:id="rId8" name="cmbBoxSol">
          <controlPr defaultSize="0" autoLine="0" linkedCell="B4" r:id="rId9">
            <anchor moveWithCells="1">
              <from>
                <xdr:col>1</xdr:col>
                <xdr:colOff>0</xdr:colOff>
                <xdr:row>2</xdr:row>
                <xdr:rowOff>136071</xdr:rowOff>
              </from>
              <to>
                <xdr:col>3</xdr:col>
                <xdr:colOff>0</xdr:colOff>
                <xdr:row>4</xdr:row>
                <xdr:rowOff>10886</xdr:rowOff>
              </to>
            </anchor>
          </controlPr>
        </control>
      </mc:Choice>
      <mc:Fallback>
        <control shapeId="72712" r:id="rId8" name="cmbBoxSol"/>
      </mc:Fallback>
    </mc:AlternateContent>
    <mc:AlternateContent xmlns:mc="http://schemas.openxmlformats.org/markup-compatibility/2006">
      <mc:Choice Requires="x14">
        <control shapeId="72711" r:id="rId10" name="cmdWriteSol">
          <controlPr defaultSize="0" autoLine="0" r:id="rId11">
            <anchor moveWithCells="1">
              <from>
                <xdr:col>8</xdr:col>
                <xdr:colOff>402771</xdr:colOff>
                <xdr:row>2</xdr:row>
                <xdr:rowOff>38100</xdr:rowOff>
              </from>
              <to>
                <xdr:col>10</xdr:col>
                <xdr:colOff>119743</xdr:colOff>
                <xdr:row>3</xdr:row>
                <xdr:rowOff>179614</xdr:rowOff>
              </to>
            </anchor>
          </controlPr>
        </control>
      </mc:Choice>
      <mc:Fallback>
        <control shapeId="72711" r:id="rId10" name="cmdWriteSol"/>
      </mc:Fallback>
    </mc:AlternateContent>
    <mc:AlternateContent xmlns:mc="http://schemas.openxmlformats.org/markup-compatibility/2006">
      <mc:Choice Requires="x14">
        <control shapeId="72710" r:id="rId12" name="cmdReadSol">
          <controlPr defaultSize="0" autoLine="0" r:id="rId13">
            <anchor moveWithCells="1">
              <from>
                <xdr:col>6</xdr:col>
                <xdr:colOff>593271</xdr:colOff>
                <xdr:row>2</xdr:row>
                <xdr:rowOff>38100</xdr:rowOff>
              </from>
              <to>
                <xdr:col>8</xdr:col>
                <xdr:colOff>261257</xdr:colOff>
                <xdr:row>3</xdr:row>
                <xdr:rowOff>179614</xdr:rowOff>
              </to>
            </anchor>
          </controlPr>
        </control>
      </mc:Choice>
      <mc:Fallback>
        <control shapeId="72710" r:id="rId12" name="cmdReadSol"/>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X159"/>
  <sheetViews>
    <sheetView workbookViewId="0">
      <pane ySplit="4" topLeftCell="A5" activePane="bottomLeft" state="frozen"/>
      <selection pane="bottomLeft"/>
    </sheetView>
  </sheetViews>
  <sheetFormatPr defaultColWidth="8.69140625" defaultRowHeight="14.6" x14ac:dyDescent="0.4"/>
  <cols>
    <col min="1" max="1" width="12.69140625" customWidth="1"/>
    <col min="2" max="2" width="69.15234375" bestFit="1" customWidth="1"/>
    <col min="3" max="19" width="15" style="10" customWidth="1"/>
    <col min="20" max="16384" width="8.69140625" style="10"/>
  </cols>
  <sheetData>
    <row r="1" spans="1:24" customFormat="1" ht="25.4" customHeight="1" x14ac:dyDescent="0.4">
      <c r="A1" s="94" t="s">
        <v>979</v>
      </c>
    </row>
    <row r="2" spans="1:24" customFormat="1" ht="19.95" customHeight="1" x14ac:dyDescent="0.4">
      <c r="A2" s="27" t="s">
        <v>918</v>
      </c>
      <c r="B2" s="16" t="s">
        <v>1927</v>
      </c>
      <c r="C2" s="27"/>
      <c r="D2" s="27" t="s">
        <v>758</v>
      </c>
      <c r="E2" s="85" t="s">
        <v>1694</v>
      </c>
      <c r="H2" s="27"/>
      <c r="I2" s="8"/>
    </row>
    <row r="3" spans="1:24" customFormat="1" ht="15.65" customHeight="1" x14ac:dyDescent="0.4">
      <c r="A3" s="26" t="s">
        <v>900</v>
      </c>
      <c r="B3" s="17"/>
      <c r="C3" s="22" t="s">
        <v>928</v>
      </c>
      <c r="E3" s="22"/>
    </row>
    <row r="4" spans="1:24" s="7" customFormat="1" x14ac:dyDescent="0.4">
      <c r="A4" s="63" t="s">
        <v>659</v>
      </c>
      <c r="B4" s="63" t="s">
        <v>15</v>
      </c>
      <c r="C4" s="76"/>
      <c r="D4" s="76"/>
      <c r="E4" s="76"/>
      <c r="F4" s="78"/>
      <c r="G4" s="78"/>
      <c r="H4" s="78"/>
      <c r="I4" s="78"/>
      <c r="J4" s="78"/>
      <c r="K4" s="78"/>
      <c r="L4" s="78"/>
      <c r="M4" s="78"/>
      <c r="N4" s="78"/>
      <c r="O4" s="78"/>
      <c r="P4" s="78"/>
      <c r="Q4" s="78"/>
      <c r="R4" s="78"/>
      <c r="S4" s="78"/>
      <c r="T4" s="78"/>
      <c r="U4" s="78"/>
      <c r="V4" s="78"/>
      <c r="W4" s="78"/>
      <c r="X4" s="78"/>
    </row>
    <row r="5" spans="1:24" customFormat="1" x14ac:dyDescent="0.4">
      <c r="A5" s="30" t="s">
        <v>987</v>
      </c>
      <c r="B5" t="s">
        <v>680</v>
      </c>
      <c r="F5" s="10"/>
      <c r="G5" s="10"/>
    </row>
    <row r="6" spans="1:24" customFormat="1" x14ac:dyDescent="0.4">
      <c r="A6" s="30" t="s">
        <v>988</v>
      </c>
      <c r="B6" t="s">
        <v>681</v>
      </c>
      <c r="F6" s="10"/>
      <c r="G6" s="10"/>
    </row>
    <row r="7" spans="1:24" customFormat="1" x14ac:dyDescent="0.4">
      <c r="A7" s="75" t="s">
        <v>1606</v>
      </c>
      <c r="C7" s="29"/>
      <c r="D7" s="29"/>
      <c r="F7" s="10"/>
      <c r="G7" s="10"/>
    </row>
    <row r="8" spans="1:24" customFormat="1" x14ac:dyDescent="0.4">
      <c r="A8" s="163" t="s">
        <v>990</v>
      </c>
      <c r="B8" s="86" t="s">
        <v>1060</v>
      </c>
      <c r="F8" s="10"/>
      <c r="G8" s="10"/>
    </row>
    <row r="9" spans="1:24" customFormat="1" x14ac:dyDescent="0.4">
      <c r="A9" s="163" t="s">
        <v>991</v>
      </c>
      <c r="B9" s="86" t="s">
        <v>1061</v>
      </c>
      <c r="F9" s="10"/>
      <c r="G9" s="10"/>
    </row>
    <row r="10" spans="1:24" customFormat="1" x14ac:dyDescent="0.4">
      <c r="A10" s="30" t="s">
        <v>992</v>
      </c>
      <c r="B10" t="s">
        <v>876</v>
      </c>
      <c r="F10" s="10"/>
      <c r="G10" s="10"/>
    </row>
    <row r="11" spans="1:24" customFormat="1" x14ac:dyDescent="0.4">
      <c r="A11" s="30" t="s">
        <v>993</v>
      </c>
      <c r="B11" t="s">
        <v>682</v>
      </c>
      <c r="F11" s="10"/>
      <c r="G11" s="10"/>
    </row>
    <row r="12" spans="1:24" customFormat="1" x14ac:dyDescent="0.4">
      <c r="A12" s="30" t="s">
        <v>994</v>
      </c>
      <c r="B12" t="s">
        <v>683</v>
      </c>
      <c r="F12" s="10"/>
      <c r="G12" s="10"/>
    </row>
    <row r="13" spans="1:24" s="134" customFormat="1" x14ac:dyDescent="0.4">
      <c r="A13" s="161" t="s">
        <v>989</v>
      </c>
      <c r="B13" s="134" t="s">
        <v>613</v>
      </c>
    </row>
    <row r="14" spans="1:24" x14ac:dyDescent="0.4">
      <c r="A14" s="109" t="s">
        <v>995</v>
      </c>
      <c r="B14" s="10" t="s">
        <v>684</v>
      </c>
      <c r="E14"/>
    </row>
    <row r="15" spans="1:24" x14ac:dyDescent="0.4">
      <c r="A15" s="163" t="s">
        <v>996</v>
      </c>
      <c r="B15" s="86" t="s">
        <v>685</v>
      </c>
    </row>
    <row r="16" spans="1:24" x14ac:dyDescent="0.4">
      <c r="A16" s="30" t="s">
        <v>997</v>
      </c>
      <c r="B16" t="s">
        <v>686</v>
      </c>
    </row>
    <row r="17" spans="1:4" x14ac:dyDescent="0.4">
      <c r="A17" s="30" t="s">
        <v>998</v>
      </c>
      <c r="B17" t="s">
        <v>687</v>
      </c>
    </row>
    <row r="18" spans="1:4" x14ac:dyDescent="0.4">
      <c r="A18" s="158" t="s">
        <v>999</v>
      </c>
      <c r="B18" s="164" t="s">
        <v>688</v>
      </c>
    </row>
    <row r="19" spans="1:4" x14ac:dyDescent="0.4">
      <c r="A19" s="30" t="s">
        <v>1000</v>
      </c>
      <c r="B19" t="s">
        <v>689</v>
      </c>
    </row>
    <row r="21" spans="1:4" x14ac:dyDescent="0.4">
      <c r="A21" s="1" t="s">
        <v>1605</v>
      </c>
    </row>
    <row r="22" spans="1:4" x14ac:dyDescent="0.4">
      <c r="A22" s="30" t="s">
        <v>1462</v>
      </c>
      <c r="B22" t="s">
        <v>690</v>
      </c>
    </row>
    <row r="23" spans="1:4" x14ac:dyDescent="0.4">
      <c r="A23" s="30" t="s">
        <v>1463</v>
      </c>
      <c r="B23" t="s">
        <v>691</v>
      </c>
    </row>
    <row r="24" spans="1:4" x14ac:dyDescent="0.4">
      <c r="A24" s="30" t="s">
        <v>1464</v>
      </c>
      <c r="B24" t="s">
        <v>756</v>
      </c>
      <c r="C24" s="90"/>
      <c r="D24" s="90"/>
    </row>
    <row r="25" spans="1:4" x14ac:dyDescent="0.4">
      <c r="A25" s="30" t="s">
        <v>1465</v>
      </c>
      <c r="B25" t="s">
        <v>757</v>
      </c>
      <c r="C25" s="90"/>
      <c r="D25" s="90"/>
    </row>
    <row r="26" spans="1:4" x14ac:dyDescent="0.4">
      <c r="A26" s="30" t="s">
        <v>1466</v>
      </c>
      <c r="B26" t="s">
        <v>692</v>
      </c>
      <c r="C26" s="90"/>
      <c r="D26" s="90"/>
    </row>
    <row r="27" spans="1:4" x14ac:dyDescent="0.4">
      <c r="A27" s="30" t="s">
        <v>1727</v>
      </c>
      <c r="B27" t="s">
        <v>1728</v>
      </c>
    </row>
    <row r="28" spans="1:4" x14ac:dyDescent="0.4">
      <c r="A28" s="158" t="s">
        <v>1001</v>
      </c>
      <c r="B28" s="164" t="s">
        <v>755</v>
      </c>
    </row>
    <row r="29" spans="1:4" x14ac:dyDescent="0.4">
      <c r="A29" s="158" t="s">
        <v>1002</v>
      </c>
      <c r="B29" s="164" t="s">
        <v>754</v>
      </c>
    </row>
    <row r="30" spans="1:4" s="134" customFormat="1" x14ac:dyDescent="0.4">
      <c r="A30" s="138" t="s">
        <v>1003</v>
      </c>
      <c r="B30" s="41" t="s">
        <v>753</v>
      </c>
      <c r="C30" s="10"/>
    </row>
    <row r="31" spans="1:4" s="134" customFormat="1" x14ac:dyDescent="0.4">
      <c r="B31" s="134" t="s">
        <v>613</v>
      </c>
    </row>
    <row r="33" spans="1:4" x14ac:dyDescent="0.4">
      <c r="A33" s="1" t="s">
        <v>1604</v>
      </c>
    </row>
    <row r="34" spans="1:4" x14ac:dyDescent="0.4">
      <c r="A34" s="158" t="s">
        <v>1004</v>
      </c>
      <c r="B34" s="164" t="s">
        <v>693</v>
      </c>
    </row>
    <row r="35" spans="1:4" x14ac:dyDescent="0.4">
      <c r="A35" s="158" t="s">
        <v>1159</v>
      </c>
      <c r="B35" s="164" t="s">
        <v>694</v>
      </c>
    </row>
    <row r="36" spans="1:4" x14ac:dyDescent="0.4">
      <c r="A36" s="138" t="s">
        <v>1158</v>
      </c>
      <c r="B36" s="41" t="s">
        <v>695</v>
      </c>
    </row>
    <row r="37" spans="1:4" x14ac:dyDescent="0.4">
      <c r="A37" s="109" t="s">
        <v>1160</v>
      </c>
      <c r="B37" s="10" t="s">
        <v>696</v>
      </c>
    </row>
    <row r="38" spans="1:4" x14ac:dyDescent="0.4">
      <c r="A38" s="138" t="s">
        <v>1161</v>
      </c>
      <c r="B38" s="41" t="s">
        <v>697</v>
      </c>
    </row>
    <row r="39" spans="1:4" x14ac:dyDescent="0.4">
      <c r="A39" s="158" t="s">
        <v>1005</v>
      </c>
      <c r="B39" s="164" t="s">
        <v>1614</v>
      </c>
    </row>
    <row r="40" spans="1:4" x14ac:dyDescent="0.4">
      <c r="A40" s="158" t="s">
        <v>1006</v>
      </c>
      <c r="B40" s="164" t="s">
        <v>1615</v>
      </c>
      <c r="C40" s="189"/>
      <c r="D40" s="189"/>
    </row>
    <row r="41" spans="1:4" x14ac:dyDescent="0.4">
      <c r="A41" s="138" t="s">
        <v>1162</v>
      </c>
      <c r="B41" s="41" t="s">
        <v>698</v>
      </c>
    </row>
    <row r="42" spans="1:4" x14ac:dyDescent="0.4">
      <c r="A42" s="30" t="s">
        <v>1007</v>
      </c>
      <c r="B42" t="s">
        <v>699</v>
      </c>
    </row>
    <row r="43" spans="1:4" x14ac:dyDescent="0.4">
      <c r="A43" s="30" t="s">
        <v>1008</v>
      </c>
      <c r="B43" t="s">
        <v>700</v>
      </c>
    </row>
    <row r="44" spans="1:4" x14ac:dyDescent="0.4">
      <c r="A44" s="10"/>
      <c r="B44" s="10"/>
    </row>
    <row r="45" spans="1:4" x14ac:dyDescent="0.4">
      <c r="A45" s="1" t="s">
        <v>1705</v>
      </c>
    </row>
    <row r="46" spans="1:4" x14ac:dyDescent="0.4">
      <c r="A46" s="158" t="s">
        <v>1009</v>
      </c>
      <c r="B46" s="164" t="s">
        <v>701</v>
      </c>
    </row>
    <row r="47" spans="1:4" x14ac:dyDescent="0.4">
      <c r="A47" s="138" t="s">
        <v>1163</v>
      </c>
      <c r="B47" s="41" t="s">
        <v>702</v>
      </c>
    </row>
    <row r="48" spans="1:4" x14ac:dyDescent="0.4">
      <c r="A48" s="138" t="s">
        <v>1164</v>
      </c>
      <c r="B48" s="41" t="s">
        <v>703</v>
      </c>
    </row>
    <row r="49" spans="1:2" x14ac:dyDescent="0.4">
      <c r="A49" s="138" t="s">
        <v>1165</v>
      </c>
      <c r="B49" s="41" t="s">
        <v>704</v>
      </c>
    </row>
    <row r="50" spans="1:2" x14ac:dyDescent="0.4">
      <c r="A50" s="138" t="s">
        <v>1166</v>
      </c>
      <c r="B50" s="41" t="s">
        <v>705</v>
      </c>
    </row>
    <row r="51" spans="1:2" x14ac:dyDescent="0.4">
      <c r="A51" s="138" t="s">
        <v>1167</v>
      </c>
      <c r="B51" s="41" t="s">
        <v>706</v>
      </c>
    </row>
    <row r="52" spans="1:2" x14ac:dyDescent="0.4">
      <c r="A52" s="30" t="s">
        <v>1010</v>
      </c>
      <c r="B52" t="s">
        <v>707</v>
      </c>
    </row>
    <row r="53" spans="1:2" x14ac:dyDescent="0.4">
      <c r="A53" s="30" t="s">
        <v>1011</v>
      </c>
      <c r="B53" t="s">
        <v>708</v>
      </c>
    </row>
    <row r="54" spans="1:2" x14ac:dyDescent="0.4">
      <c r="A54" s="138" t="s">
        <v>1168</v>
      </c>
      <c r="B54" s="41" t="s">
        <v>752</v>
      </c>
    </row>
    <row r="55" spans="1:2" x14ac:dyDescent="0.4">
      <c r="A55" s="138" t="s">
        <v>1169</v>
      </c>
      <c r="B55" s="41" t="s">
        <v>709</v>
      </c>
    </row>
    <row r="56" spans="1:2" x14ac:dyDescent="0.4">
      <c r="A56" s="138" t="s">
        <v>1707</v>
      </c>
      <c r="B56" s="41" t="s">
        <v>1709</v>
      </c>
    </row>
    <row r="57" spans="1:2" x14ac:dyDescent="0.4">
      <c r="A57" s="138" t="s">
        <v>1708</v>
      </c>
      <c r="B57" s="41" t="s">
        <v>1710</v>
      </c>
    </row>
    <row r="58" spans="1:2" x14ac:dyDescent="0.4">
      <c r="A58" s="138"/>
      <c r="B58" s="41"/>
    </row>
    <row r="59" spans="1:2" x14ac:dyDescent="0.4">
      <c r="A59" s="1" t="s">
        <v>1706</v>
      </c>
      <c r="B59" s="41"/>
    </row>
    <row r="60" spans="1:2" x14ac:dyDescent="0.4">
      <c r="A60" s="109" t="s">
        <v>1467</v>
      </c>
      <c r="B60" s="10" t="s">
        <v>710</v>
      </c>
    </row>
    <row r="61" spans="1:2" x14ac:dyDescent="0.4">
      <c r="A61" s="109" t="s">
        <v>1468</v>
      </c>
      <c r="B61" s="10" t="s">
        <v>711</v>
      </c>
    </row>
    <row r="62" spans="1:2" x14ac:dyDescent="0.4">
      <c r="A62" s="109" t="s">
        <v>1571</v>
      </c>
      <c r="B62" s="10" t="s">
        <v>1572</v>
      </c>
    </row>
    <row r="63" spans="1:2" x14ac:dyDescent="0.4">
      <c r="A63" s="109" t="s">
        <v>1469</v>
      </c>
      <c r="B63" s="10" t="s">
        <v>712</v>
      </c>
    </row>
    <row r="64" spans="1:2" x14ac:dyDescent="0.4">
      <c r="A64" s="109" t="s">
        <v>1470</v>
      </c>
      <c r="B64" s="10" t="s">
        <v>713</v>
      </c>
    </row>
    <row r="65" spans="1:2" x14ac:dyDescent="0.4">
      <c r="A65" s="109" t="s">
        <v>1573</v>
      </c>
      <c r="B65" s="10" t="s">
        <v>714</v>
      </c>
    </row>
    <row r="66" spans="1:2" x14ac:dyDescent="0.4">
      <c r="A66" s="109" t="s">
        <v>1471</v>
      </c>
      <c r="B66" s="10" t="s">
        <v>715</v>
      </c>
    </row>
    <row r="67" spans="1:2" x14ac:dyDescent="0.4">
      <c r="A67" s="109" t="s">
        <v>1472</v>
      </c>
      <c r="B67" s="10" t="s">
        <v>716</v>
      </c>
    </row>
    <row r="68" spans="1:2" x14ac:dyDescent="0.4">
      <c r="A68" s="109" t="s">
        <v>1473</v>
      </c>
      <c r="B68" s="10" t="s">
        <v>717</v>
      </c>
    </row>
    <row r="69" spans="1:2" x14ac:dyDescent="0.4">
      <c r="A69" s="109" t="s">
        <v>1474</v>
      </c>
      <c r="B69" s="10" t="s">
        <v>718</v>
      </c>
    </row>
    <row r="70" spans="1:2" x14ac:dyDescent="0.4">
      <c r="A70" s="10"/>
      <c r="B70" s="10"/>
    </row>
    <row r="71" spans="1:2" x14ac:dyDescent="0.4">
      <c r="A71" s="1" t="s">
        <v>1599</v>
      </c>
    </row>
    <row r="72" spans="1:2" x14ac:dyDescent="0.4">
      <c r="A72" s="30" t="s">
        <v>1574</v>
      </c>
      <c r="B72" t="s">
        <v>719</v>
      </c>
    </row>
    <row r="73" spans="1:2" x14ac:dyDescent="0.4">
      <c r="A73" s="30" t="s">
        <v>1475</v>
      </c>
      <c r="B73" t="s">
        <v>720</v>
      </c>
    </row>
    <row r="74" spans="1:2" x14ac:dyDescent="0.4">
      <c r="A74" s="30" t="s">
        <v>1476</v>
      </c>
      <c r="B74" t="s">
        <v>721</v>
      </c>
    </row>
    <row r="75" spans="1:2" x14ac:dyDescent="0.4">
      <c r="A75" s="30" t="s">
        <v>1477</v>
      </c>
      <c r="B75" t="s">
        <v>722</v>
      </c>
    </row>
    <row r="76" spans="1:2" x14ac:dyDescent="0.4">
      <c r="A76" s="30" t="s">
        <v>1478</v>
      </c>
      <c r="B76" t="s">
        <v>723</v>
      </c>
    </row>
    <row r="77" spans="1:2" x14ac:dyDescent="0.4">
      <c r="A77" s="30" t="s">
        <v>1479</v>
      </c>
      <c r="B77" t="s">
        <v>724</v>
      </c>
    </row>
    <row r="78" spans="1:2" x14ac:dyDescent="0.4">
      <c r="A78" s="109" t="s">
        <v>1711</v>
      </c>
      <c r="B78" s="10" t="s">
        <v>1718</v>
      </c>
    </row>
    <row r="79" spans="1:2" x14ac:dyDescent="0.4">
      <c r="A79" s="109" t="s">
        <v>1712</v>
      </c>
      <c r="B79" s="10" t="s">
        <v>1719</v>
      </c>
    </row>
    <row r="80" spans="1:2" x14ac:dyDescent="0.4">
      <c r="A80" s="109" t="s">
        <v>1713</v>
      </c>
      <c r="B80" s="10" t="s">
        <v>1720</v>
      </c>
    </row>
    <row r="81" spans="1:5" x14ac:dyDescent="0.4">
      <c r="A81" s="109" t="s">
        <v>1714</v>
      </c>
      <c r="B81" s="10" t="s">
        <v>1721</v>
      </c>
    </row>
    <row r="82" spans="1:5" x14ac:dyDescent="0.4">
      <c r="A82" s="109" t="s">
        <v>1715</v>
      </c>
      <c r="B82" s="10" t="s">
        <v>1722</v>
      </c>
    </row>
    <row r="83" spans="1:5" x14ac:dyDescent="0.4">
      <c r="A83" s="109" t="s">
        <v>1716</v>
      </c>
      <c r="B83" s="10" t="s">
        <v>1723</v>
      </c>
    </row>
    <row r="84" spans="1:5" x14ac:dyDescent="0.4">
      <c r="A84" s="109" t="s">
        <v>1717</v>
      </c>
      <c r="B84" s="10" t="s">
        <v>1724</v>
      </c>
    </row>
    <row r="85" spans="1:5" x14ac:dyDescent="0.4">
      <c r="A85" s="10"/>
      <c r="B85" s="10"/>
      <c r="E85"/>
    </row>
    <row r="86" spans="1:5" x14ac:dyDescent="0.4">
      <c r="A86" s="1" t="s">
        <v>1600</v>
      </c>
      <c r="E86"/>
    </row>
    <row r="87" spans="1:5" x14ac:dyDescent="0.4">
      <c r="A87" s="160" t="s">
        <v>1012</v>
      </c>
      <c r="B87" s="79" t="s">
        <v>725</v>
      </c>
    </row>
    <row r="88" spans="1:5" x14ac:dyDescent="0.4">
      <c r="A88" s="160" t="s">
        <v>1013</v>
      </c>
      <c r="B88" s="79" t="s">
        <v>750</v>
      </c>
    </row>
    <row r="89" spans="1:5" x14ac:dyDescent="0.4">
      <c r="A89" s="160" t="s">
        <v>1014</v>
      </c>
      <c r="B89" s="79" t="s">
        <v>726</v>
      </c>
    </row>
    <row r="90" spans="1:5" x14ac:dyDescent="0.4">
      <c r="A90" s="158" t="s">
        <v>1015</v>
      </c>
      <c r="B90" s="164" t="s">
        <v>727</v>
      </c>
    </row>
    <row r="91" spans="1:5" x14ac:dyDescent="0.4">
      <c r="A91" s="30" t="s">
        <v>1016</v>
      </c>
      <c r="B91" t="s">
        <v>728</v>
      </c>
    </row>
    <row r="92" spans="1:5" x14ac:dyDescent="0.4">
      <c r="A92" s="30" t="s">
        <v>1017</v>
      </c>
      <c r="B92" t="s">
        <v>729</v>
      </c>
    </row>
    <row r="93" spans="1:5" x14ac:dyDescent="0.4">
      <c r="A93" s="30" t="s">
        <v>1018</v>
      </c>
      <c r="B93" t="s">
        <v>1170</v>
      </c>
    </row>
    <row r="94" spans="1:5" x14ac:dyDescent="0.4">
      <c r="A94" s="30" t="s">
        <v>1019</v>
      </c>
      <c r="B94" t="s">
        <v>730</v>
      </c>
    </row>
    <row r="95" spans="1:5" x14ac:dyDescent="0.4">
      <c r="A95" s="30" t="s">
        <v>1020</v>
      </c>
      <c r="B95" t="s">
        <v>731</v>
      </c>
    </row>
    <row r="96" spans="1:5" x14ac:dyDescent="0.4">
      <c r="A96" s="158" t="s">
        <v>1021</v>
      </c>
      <c r="B96" s="164" t="s">
        <v>934</v>
      </c>
    </row>
    <row r="97" spans="1:5" x14ac:dyDescent="0.4">
      <c r="A97" s="158" t="s">
        <v>1022</v>
      </c>
      <c r="B97" s="164" t="s">
        <v>935</v>
      </c>
    </row>
    <row r="98" spans="1:5" x14ac:dyDescent="0.4">
      <c r="A98" s="30" t="s">
        <v>1023</v>
      </c>
      <c r="B98" t="s">
        <v>732</v>
      </c>
    </row>
    <row r="99" spans="1:5" x14ac:dyDescent="0.4">
      <c r="A99" s="30" t="s">
        <v>1726</v>
      </c>
      <c r="B99" t="s">
        <v>1729</v>
      </c>
    </row>
    <row r="100" spans="1:5" x14ac:dyDescent="0.4">
      <c r="A100" s="109" t="s">
        <v>1024</v>
      </c>
      <c r="B100" s="77" t="s">
        <v>933</v>
      </c>
    </row>
    <row r="101" spans="1:5" x14ac:dyDescent="0.4">
      <c r="A101" s="109" t="s">
        <v>1725</v>
      </c>
      <c r="B101" s="77" t="s">
        <v>1730</v>
      </c>
    </row>
    <row r="102" spans="1:5" x14ac:dyDescent="0.4">
      <c r="E102"/>
    </row>
    <row r="103" spans="1:5" x14ac:dyDescent="0.4">
      <c r="A103" s="1" t="s">
        <v>1601</v>
      </c>
      <c r="E103"/>
    </row>
    <row r="104" spans="1:5" x14ac:dyDescent="0.4">
      <c r="A104" s="160" t="s">
        <v>1025</v>
      </c>
      <c r="B104" s="79" t="s">
        <v>733</v>
      </c>
    </row>
    <row r="105" spans="1:5" x14ac:dyDescent="0.4">
      <c r="A105" s="30" t="s">
        <v>1026</v>
      </c>
      <c r="B105" t="s">
        <v>734</v>
      </c>
    </row>
    <row r="106" spans="1:5" x14ac:dyDescent="0.4">
      <c r="A106" s="160" t="s">
        <v>1027</v>
      </c>
      <c r="B106" s="79" t="s">
        <v>735</v>
      </c>
    </row>
    <row r="107" spans="1:5" x14ac:dyDescent="0.4">
      <c r="A107" s="160" t="s">
        <v>1028</v>
      </c>
      <c r="B107" s="79" t="s">
        <v>736</v>
      </c>
    </row>
    <row r="108" spans="1:5" x14ac:dyDescent="0.4">
      <c r="A108" s="160" t="s">
        <v>1029</v>
      </c>
      <c r="B108" s="79" t="s">
        <v>916</v>
      </c>
    </row>
    <row r="109" spans="1:5" x14ac:dyDescent="0.4">
      <c r="A109" s="158" t="s">
        <v>1030</v>
      </c>
      <c r="B109" s="164" t="s">
        <v>737</v>
      </c>
    </row>
    <row r="110" spans="1:5" x14ac:dyDescent="0.4">
      <c r="A110" s="158" t="s">
        <v>1031</v>
      </c>
      <c r="B110" s="164" t="s">
        <v>1198</v>
      </c>
    </row>
    <row r="111" spans="1:5" x14ac:dyDescent="0.4">
      <c r="A111" s="158" t="s">
        <v>1032</v>
      </c>
      <c r="B111" s="164" t="s">
        <v>738</v>
      </c>
    </row>
    <row r="112" spans="1:5" x14ac:dyDescent="0.4">
      <c r="A112" s="30" t="s">
        <v>1033</v>
      </c>
      <c r="B112" t="s">
        <v>739</v>
      </c>
    </row>
    <row r="113" spans="1:2" x14ac:dyDescent="0.4">
      <c r="A113" s="30" t="s">
        <v>1034</v>
      </c>
      <c r="B113" t="s">
        <v>740</v>
      </c>
    </row>
    <row r="114" spans="1:2" x14ac:dyDescent="0.4">
      <c r="A114" s="30" t="s">
        <v>1035</v>
      </c>
      <c r="B114" t="s">
        <v>741</v>
      </c>
    </row>
    <row r="115" spans="1:2" x14ac:dyDescent="0.4">
      <c r="A115" s="30" t="s">
        <v>1036</v>
      </c>
      <c r="B115" t="s">
        <v>742</v>
      </c>
    </row>
    <row r="116" spans="1:2" x14ac:dyDescent="0.4">
      <c r="A116" s="30" t="s">
        <v>1037</v>
      </c>
      <c r="B116" t="s">
        <v>743</v>
      </c>
    </row>
    <row r="117" spans="1:2" x14ac:dyDescent="0.4">
      <c r="A117" s="30" t="s">
        <v>1038</v>
      </c>
      <c r="B117" t="s">
        <v>751</v>
      </c>
    </row>
    <row r="118" spans="1:2" x14ac:dyDescent="0.4">
      <c r="A118" s="30" t="s">
        <v>1039</v>
      </c>
      <c r="B118" t="s">
        <v>744</v>
      </c>
    </row>
    <row r="119" spans="1:2" x14ac:dyDescent="0.4">
      <c r="A119" s="30" t="s">
        <v>1040</v>
      </c>
      <c r="B119" t="s">
        <v>745</v>
      </c>
    </row>
    <row r="120" spans="1:2" x14ac:dyDescent="0.4">
      <c r="A120" s="30" t="s">
        <v>1041</v>
      </c>
      <c r="B120" t="s">
        <v>746</v>
      </c>
    </row>
    <row r="121" spans="1:2" x14ac:dyDescent="0.4">
      <c r="A121" s="30" t="s">
        <v>1042</v>
      </c>
      <c r="B121" t="s">
        <v>747</v>
      </c>
    </row>
    <row r="122" spans="1:2" x14ac:dyDescent="0.4">
      <c r="A122" s="30" t="s">
        <v>1043</v>
      </c>
      <c r="B122" t="s">
        <v>748</v>
      </c>
    </row>
    <row r="123" spans="1:2" x14ac:dyDescent="0.4">
      <c r="A123" s="160" t="s">
        <v>1044</v>
      </c>
      <c r="B123" s="79" t="s">
        <v>749</v>
      </c>
    </row>
    <row r="124" spans="1:2" x14ac:dyDescent="0.4">
      <c r="A124" s="10"/>
      <c r="B124" s="10"/>
    </row>
    <row r="125" spans="1:2" x14ac:dyDescent="0.4">
      <c r="A125" s="143" t="s">
        <v>1602</v>
      </c>
      <c r="B125" s="10"/>
    </row>
    <row r="126" spans="1:2" x14ac:dyDescent="0.4">
      <c r="A126" s="109" t="s">
        <v>1171</v>
      </c>
      <c r="B126" t="s">
        <v>1480</v>
      </c>
    </row>
    <row r="127" spans="1:2" x14ac:dyDescent="0.4">
      <c r="A127" s="109" t="s">
        <v>1172</v>
      </c>
      <c r="B127" t="s">
        <v>1480</v>
      </c>
    </row>
    <row r="128" spans="1:2" x14ac:dyDescent="0.4">
      <c r="A128" s="109" t="s">
        <v>1173</v>
      </c>
      <c r="B128" t="s">
        <v>1480</v>
      </c>
    </row>
    <row r="129" spans="1:2" x14ac:dyDescent="0.4">
      <c r="A129" s="109" t="s">
        <v>1174</v>
      </c>
      <c r="B129" t="s">
        <v>1480</v>
      </c>
    </row>
    <row r="130" spans="1:2" x14ac:dyDescent="0.4">
      <c r="A130" s="109" t="s">
        <v>1175</v>
      </c>
      <c r="B130" t="s">
        <v>1480</v>
      </c>
    </row>
    <row r="131" spans="1:2" x14ac:dyDescent="0.4">
      <c r="A131" s="109" t="s">
        <v>1176</v>
      </c>
      <c r="B131" t="s">
        <v>1480</v>
      </c>
    </row>
    <row r="132" spans="1:2" x14ac:dyDescent="0.4">
      <c r="A132" s="109" t="s">
        <v>1177</v>
      </c>
      <c r="B132" t="s">
        <v>1480</v>
      </c>
    </row>
    <row r="133" spans="1:2" x14ac:dyDescent="0.4">
      <c r="A133" s="109" t="s">
        <v>1178</v>
      </c>
      <c r="B133" t="s">
        <v>1480</v>
      </c>
    </row>
    <row r="134" spans="1:2" x14ac:dyDescent="0.4">
      <c r="A134" s="109" t="s">
        <v>1179</v>
      </c>
      <c r="B134" t="s">
        <v>1480</v>
      </c>
    </row>
    <row r="135" spans="1:2" x14ac:dyDescent="0.4">
      <c r="A135" s="109" t="s">
        <v>1180</v>
      </c>
      <c r="B135" t="s">
        <v>1480</v>
      </c>
    </row>
    <row r="136" spans="1:2" x14ac:dyDescent="0.4">
      <c r="A136" s="109"/>
      <c r="B136" s="10"/>
    </row>
    <row r="137" spans="1:2" x14ac:dyDescent="0.4">
      <c r="A137" s="143" t="s">
        <v>1603</v>
      </c>
      <c r="B137" s="10"/>
    </row>
    <row r="138" spans="1:2" x14ac:dyDescent="0.4">
      <c r="A138" s="109" t="s">
        <v>1045</v>
      </c>
      <c r="B138" t="s">
        <v>1481</v>
      </c>
    </row>
    <row r="139" spans="1:2" x14ac:dyDescent="0.4">
      <c r="A139" s="109" t="s">
        <v>1046</v>
      </c>
      <c r="B139" t="s">
        <v>1481</v>
      </c>
    </row>
    <row r="140" spans="1:2" x14ac:dyDescent="0.4">
      <c r="A140" s="109" t="s">
        <v>1047</v>
      </c>
      <c r="B140" t="s">
        <v>1481</v>
      </c>
    </row>
    <row r="141" spans="1:2" x14ac:dyDescent="0.4">
      <c r="A141" s="109" t="s">
        <v>1048</v>
      </c>
      <c r="B141" t="s">
        <v>1481</v>
      </c>
    </row>
    <row r="142" spans="1:2" x14ac:dyDescent="0.4">
      <c r="A142" s="109" t="s">
        <v>1049</v>
      </c>
      <c r="B142" t="s">
        <v>1481</v>
      </c>
    </row>
    <row r="143" spans="1:2" x14ac:dyDescent="0.4">
      <c r="A143" s="109" t="s">
        <v>1050</v>
      </c>
      <c r="B143" t="s">
        <v>1481</v>
      </c>
    </row>
    <row r="144" spans="1:2" x14ac:dyDescent="0.4">
      <c r="A144" s="109" t="s">
        <v>1051</v>
      </c>
      <c r="B144" t="s">
        <v>1481</v>
      </c>
    </row>
    <row r="145" spans="1:18" x14ac:dyDescent="0.4">
      <c r="A145" s="109" t="s">
        <v>1052</v>
      </c>
      <c r="B145" t="s">
        <v>1481</v>
      </c>
    </row>
    <row r="146" spans="1:18" x14ac:dyDescent="0.4">
      <c r="A146" s="109" t="s">
        <v>1053</v>
      </c>
      <c r="B146" t="s">
        <v>1481</v>
      </c>
    </row>
    <row r="147" spans="1:18" x14ac:dyDescent="0.4">
      <c r="A147" s="109" t="s">
        <v>1054</v>
      </c>
      <c r="B147" t="s">
        <v>1481</v>
      </c>
    </row>
    <row r="148" spans="1:18" x14ac:dyDescent="0.4">
      <c r="A148" s="109"/>
      <c r="B148" s="10"/>
    </row>
    <row r="149" spans="1:18" x14ac:dyDescent="0.4">
      <c r="A149" s="109"/>
      <c r="B149" s="10"/>
    </row>
    <row r="150" spans="1:18" x14ac:dyDescent="0.4">
      <c r="A150" s="109"/>
      <c r="B150" s="10"/>
    </row>
    <row r="151" spans="1:18" x14ac:dyDescent="0.4">
      <c r="A151" s="109"/>
      <c r="B151" s="10"/>
    </row>
    <row r="152" spans="1:18" x14ac:dyDescent="0.4">
      <c r="A152" s="109"/>
      <c r="B152" s="10"/>
    </row>
    <row r="153" spans="1:18" x14ac:dyDescent="0.4">
      <c r="A153" s="109"/>
      <c r="B153" s="10"/>
    </row>
    <row r="154" spans="1:18" x14ac:dyDescent="0.4">
      <c r="A154" s="109"/>
      <c r="B154" s="10"/>
    </row>
    <row r="155" spans="1:18" x14ac:dyDescent="0.4">
      <c r="A155" s="30"/>
    </row>
    <row r="159" spans="1:18" x14ac:dyDescent="0.4">
      <c r="R159" s="96"/>
    </row>
  </sheetData>
  <phoneticPr fontId="72" type="noConversion"/>
  <pageMargins left="0.7" right="0.7" top="0.75" bottom="0.75" header="0.3" footer="0.3"/>
  <pageSetup orientation="portrait" r:id="rId1"/>
  <drawing r:id="rId2"/>
  <legacyDrawing r:id="rId3"/>
  <controls>
    <mc:AlternateContent xmlns:mc="http://schemas.openxmlformats.org/markup-compatibility/2006">
      <mc:Choice Requires="x14">
        <control shapeId="47114" r:id="rId4" name="cmdGetSub">
          <controlPr defaultSize="0" autoLine="0" r:id="rId5">
            <anchor moveWithCells="1">
              <from>
                <xdr:col>1</xdr:col>
                <xdr:colOff>1534886</xdr:colOff>
                <xdr:row>0</xdr:row>
                <xdr:rowOff>255814</xdr:rowOff>
              </from>
              <to>
                <xdr:col>1</xdr:col>
                <xdr:colOff>2552700</xdr:colOff>
                <xdr:row>2</xdr:row>
                <xdr:rowOff>0</xdr:rowOff>
              </to>
            </anchor>
          </controlPr>
        </control>
      </mc:Choice>
      <mc:Fallback>
        <control shapeId="47114" r:id="rId4" name="cmdGetSub"/>
      </mc:Fallback>
    </mc:AlternateContent>
    <mc:AlternateContent xmlns:mc="http://schemas.openxmlformats.org/markup-compatibility/2006">
      <mc:Choice Requires="x14">
        <control shapeId="47113" r:id="rId6" name="cmbBoxSub">
          <controlPr defaultSize="0" autoLine="0" autoPict="0" linkedCell="B2" r:id="rId7">
            <anchor moveWithCells="1">
              <from>
                <xdr:col>1</xdr:col>
                <xdr:colOff>21771</xdr:colOff>
                <xdr:row>1</xdr:row>
                <xdr:rowOff>21771</xdr:rowOff>
              </from>
              <to>
                <xdr:col>1</xdr:col>
                <xdr:colOff>1475014</xdr:colOff>
                <xdr:row>1</xdr:row>
                <xdr:rowOff>250371</xdr:rowOff>
              </to>
            </anchor>
          </controlPr>
        </control>
      </mc:Choice>
      <mc:Fallback>
        <control shapeId="47113" r:id="rId6" name="cmbBoxSub"/>
      </mc:Fallback>
    </mc:AlternateContent>
    <mc:AlternateContent xmlns:mc="http://schemas.openxmlformats.org/markup-compatibility/2006">
      <mc:Choice Requires="x14">
        <control shapeId="47105" r:id="rId8" name="cmdReadSub">
          <controlPr defaultSize="0" autoLine="0" r:id="rId9">
            <anchor moveWithCells="1">
              <from>
                <xdr:col>1</xdr:col>
                <xdr:colOff>2656114</xdr:colOff>
                <xdr:row>0</xdr:row>
                <xdr:rowOff>255814</xdr:rowOff>
              </from>
              <to>
                <xdr:col>1</xdr:col>
                <xdr:colOff>3701143</xdr:colOff>
                <xdr:row>2</xdr:row>
                <xdr:rowOff>10886</xdr:rowOff>
              </to>
            </anchor>
          </controlPr>
        </control>
      </mc:Choice>
      <mc:Fallback>
        <control shapeId="47105" r:id="rId8" name="cmdReadSub"/>
      </mc:Fallback>
    </mc:AlternateContent>
    <mc:AlternateContent xmlns:mc="http://schemas.openxmlformats.org/markup-compatibility/2006">
      <mc:Choice Requires="x14">
        <control shapeId="47106" r:id="rId10" name="cmdWriteSub">
          <controlPr defaultSize="0" autoLine="0" r:id="rId11">
            <anchor moveWithCells="1">
              <from>
                <xdr:col>1</xdr:col>
                <xdr:colOff>3744686</xdr:colOff>
                <xdr:row>0</xdr:row>
                <xdr:rowOff>255814</xdr:rowOff>
              </from>
              <to>
                <xdr:col>1</xdr:col>
                <xdr:colOff>4789714</xdr:colOff>
                <xdr:row>2</xdr:row>
                <xdr:rowOff>10886</xdr:rowOff>
              </to>
            </anchor>
          </controlPr>
        </control>
      </mc:Choice>
      <mc:Fallback>
        <control shapeId="47106" r:id="rId10" name="cmdWriteSub"/>
      </mc:Fallback>
    </mc:AlternateContent>
    <mc:AlternateContent xmlns:mc="http://schemas.openxmlformats.org/markup-compatibility/2006">
      <mc:Choice Requires="x14">
        <control shapeId="47107" r:id="rId12" name="cmdRun">
          <controlPr defaultSize="0" autoLine="0" r:id="rId13">
            <anchor moveWithCells="1">
              <from>
                <xdr:col>2</xdr:col>
                <xdr:colOff>190500</xdr:colOff>
                <xdr:row>0</xdr:row>
                <xdr:rowOff>255814</xdr:rowOff>
              </from>
              <to>
                <xdr:col>3</xdr:col>
                <xdr:colOff>174171</xdr:colOff>
                <xdr:row>2</xdr:row>
                <xdr:rowOff>10886</xdr:rowOff>
              </to>
            </anchor>
          </controlPr>
        </control>
      </mc:Choice>
      <mc:Fallback>
        <control shapeId="47107" r:id="rId12" name="cmdRu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A1:O59"/>
  <sheetViews>
    <sheetView zoomScaleNormal="100" workbookViewId="0"/>
  </sheetViews>
  <sheetFormatPr defaultRowHeight="14.6" x14ac:dyDescent="0.4"/>
  <cols>
    <col min="1" max="1" width="11.84375" style="10" customWidth="1"/>
    <col min="2" max="2" width="10.69140625" style="10" customWidth="1"/>
    <col min="3" max="3" width="8.84375" style="8"/>
    <col min="11" max="11" width="8.84375" style="4"/>
    <col min="14" max="14" width="8.84375" style="8"/>
  </cols>
  <sheetData>
    <row r="1" spans="1:15" ht="25.4" customHeight="1" x14ac:dyDescent="0.4">
      <c r="A1" s="94" t="s">
        <v>981</v>
      </c>
      <c r="O1" s="8"/>
    </row>
    <row r="2" spans="1:15" ht="19.95" customHeight="1" x14ac:dyDescent="0.4">
      <c r="A2" s="98" t="s">
        <v>918</v>
      </c>
      <c r="B2" s="95" t="s">
        <v>1869</v>
      </c>
      <c r="C2" s="17"/>
      <c r="D2" s="27" t="s">
        <v>758</v>
      </c>
      <c r="E2" s="85" t="s">
        <v>1535</v>
      </c>
    </row>
    <row r="3" spans="1:15" x14ac:dyDescent="0.4">
      <c r="A3" s="99" t="s">
        <v>900</v>
      </c>
      <c r="B3" s="95"/>
      <c r="C3" s="92"/>
      <c r="D3" s="17"/>
    </row>
    <row r="5" spans="1:15" s="3" customFormat="1" x14ac:dyDescent="0.4">
      <c r="A5" s="97" t="s">
        <v>936</v>
      </c>
      <c r="B5" s="96"/>
      <c r="C5" s="11"/>
      <c r="K5" s="8"/>
      <c r="N5" s="11"/>
    </row>
    <row r="6" spans="1:15" x14ac:dyDescent="0.4">
      <c r="A6" s="10" t="s">
        <v>974</v>
      </c>
      <c r="B6" s="8"/>
      <c r="L6" s="4"/>
    </row>
    <row r="7" spans="1:15" x14ac:dyDescent="0.4">
      <c r="A7" s="10" t="s">
        <v>975</v>
      </c>
      <c r="B7" s="8"/>
      <c r="L7" s="4"/>
    </row>
    <row r="8" spans="1:15" x14ac:dyDescent="0.4">
      <c r="A8" s="10" t="s">
        <v>976</v>
      </c>
      <c r="B8" s="192"/>
      <c r="L8" s="4"/>
    </row>
    <row r="10" spans="1:15" s="69" customFormat="1" ht="12.9" x14ac:dyDescent="0.35">
      <c r="A10" s="97" t="s">
        <v>947</v>
      </c>
      <c r="B10" s="97"/>
      <c r="C10" s="70"/>
      <c r="K10" s="71"/>
      <c r="N10" s="70"/>
    </row>
    <row r="11" spans="1:15" x14ac:dyDescent="0.4">
      <c r="A11" s="10">
        <v>1</v>
      </c>
      <c r="B11" s="10" t="s">
        <v>937</v>
      </c>
      <c r="C11" s="39"/>
      <c r="D11" t="s">
        <v>1181</v>
      </c>
      <c r="L11" s="4"/>
    </row>
    <row r="12" spans="1:15" x14ac:dyDescent="0.4">
      <c r="A12" s="10">
        <v>2</v>
      </c>
      <c r="B12" s="10" t="s">
        <v>938</v>
      </c>
      <c r="C12" s="39"/>
      <c r="D12" t="s">
        <v>1182</v>
      </c>
      <c r="L12" s="4"/>
    </row>
    <row r="13" spans="1:15" x14ac:dyDescent="0.4">
      <c r="A13" s="10">
        <v>3</v>
      </c>
      <c r="B13" s="10" t="s">
        <v>939</v>
      </c>
      <c r="C13" s="39"/>
      <c r="D13" t="s">
        <v>1183</v>
      </c>
      <c r="L13" s="4"/>
    </row>
    <row r="14" spans="1:15" x14ac:dyDescent="0.4">
      <c r="A14" s="79">
        <v>4</v>
      </c>
      <c r="B14" s="79" t="s">
        <v>940</v>
      </c>
      <c r="C14" s="105"/>
      <c r="D14" t="s">
        <v>1184</v>
      </c>
      <c r="L14" s="4"/>
    </row>
    <row r="15" spans="1:15" x14ac:dyDescent="0.4">
      <c r="A15" s="10">
        <v>5</v>
      </c>
      <c r="B15" s="10" t="s">
        <v>941</v>
      </c>
      <c r="C15" s="39"/>
      <c r="D15" t="s">
        <v>1192</v>
      </c>
      <c r="L15" s="4"/>
    </row>
    <row r="16" spans="1:15" x14ac:dyDescent="0.4">
      <c r="A16" s="10">
        <v>6</v>
      </c>
      <c r="B16" s="10" t="s">
        <v>942</v>
      </c>
      <c r="C16" s="39"/>
      <c r="D16" t="s">
        <v>1185</v>
      </c>
      <c r="L16" s="4"/>
    </row>
    <row r="17" spans="1:14" x14ac:dyDescent="0.4">
      <c r="A17" s="10">
        <v>7</v>
      </c>
      <c r="B17" s="10" t="s">
        <v>943</v>
      </c>
      <c r="C17" s="39"/>
      <c r="D17" t="s">
        <v>1186</v>
      </c>
      <c r="L17" s="4"/>
    </row>
    <row r="18" spans="1:14" x14ac:dyDescent="0.4">
      <c r="A18" s="10">
        <v>8</v>
      </c>
      <c r="B18" s="10" t="s">
        <v>944</v>
      </c>
      <c r="C18" s="39"/>
      <c r="D18" t="s">
        <v>1187</v>
      </c>
      <c r="L18" s="4"/>
    </row>
    <row r="19" spans="1:14" x14ac:dyDescent="0.4">
      <c r="A19" s="10">
        <v>9</v>
      </c>
      <c r="B19" s="10" t="s">
        <v>945</v>
      </c>
      <c r="C19" s="39"/>
      <c r="D19" t="s">
        <v>1188</v>
      </c>
      <c r="L19" s="4"/>
    </row>
    <row r="20" spans="1:14" x14ac:dyDescent="0.4">
      <c r="A20" s="10">
        <v>10</v>
      </c>
      <c r="B20" s="10" t="s">
        <v>946</v>
      </c>
      <c r="C20" s="39"/>
      <c r="D20" t="s">
        <v>1189</v>
      </c>
      <c r="L20" s="4"/>
    </row>
    <row r="21" spans="1:14" x14ac:dyDescent="0.4">
      <c r="D21" t="s">
        <v>989</v>
      </c>
    </row>
    <row r="22" spans="1:14" s="69" customFormat="1" x14ac:dyDescent="0.4">
      <c r="A22" s="97" t="s">
        <v>948</v>
      </c>
      <c r="B22" s="97"/>
      <c r="C22" s="70"/>
      <c r="E22"/>
      <c r="K22" s="71"/>
      <c r="N22" s="70"/>
    </row>
    <row r="23" spans="1:14" s="122" customFormat="1" x14ac:dyDescent="0.4">
      <c r="A23" s="122">
        <v>1</v>
      </c>
      <c r="B23" s="122" t="s">
        <v>1205</v>
      </c>
      <c r="C23" s="121"/>
      <c r="D23" s="122" t="s">
        <v>1055</v>
      </c>
      <c r="K23" s="123"/>
      <c r="L23" s="123"/>
    </row>
    <row r="24" spans="1:14" s="122" customFormat="1" x14ac:dyDescent="0.4">
      <c r="A24" s="122">
        <v>2</v>
      </c>
      <c r="B24" s="122" t="s">
        <v>1205</v>
      </c>
      <c r="C24" s="121"/>
      <c r="D24" s="122" t="s">
        <v>1055</v>
      </c>
      <c r="K24" s="123"/>
      <c r="L24" s="123"/>
    </row>
    <row r="25" spans="1:14" s="122" customFormat="1" x14ac:dyDescent="0.4">
      <c r="A25" s="122">
        <v>3</v>
      </c>
      <c r="B25" s="122" t="s">
        <v>1205</v>
      </c>
      <c r="C25" s="121"/>
      <c r="D25" s="122" t="s">
        <v>1055</v>
      </c>
      <c r="K25" s="123"/>
      <c r="L25" s="123"/>
    </row>
    <row r="26" spans="1:14" s="122" customFormat="1" x14ac:dyDescent="0.4">
      <c r="A26" s="122">
        <v>4</v>
      </c>
      <c r="B26" s="122" t="s">
        <v>1205</v>
      </c>
      <c r="C26" s="121"/>
      <c r="D26" s="122" t="s">
        <v>1055</v>
      </c>
      <c r="K26" s="123"/>
      <c r="L26" s="123"/>
    </row>
    <row r="27" spans="1:14" s="122" customFormat="1" x14ac:dyDescent="0.4">
      <c r="A27" s="122">
        <v>5</v>
      </c>
      <c r="B27" s="122" t="s">
        <v>1205</v>
      </c>
      <c r="C27" s="121"/>
      <c r="D27" s="122" t="s">
        <v>1055</v>
      </c>
      <c r="K27" s="123"/>
      <c r="L27" s="123"/>
    </row>
    <row r="28" spans="1:14" x14ac:dyDescent="0.4">
      <c r="A28" s="10">
        <v>6</v>
      </c>
      <c r="B28" s="10" t="s">
        <v>1203</v>
      </c>
      <c r="C28" s="90"/>
      <c r="D28" t="s">
        <v>1204</v>
      </c>
      <c r="L28" s="4"/>
    </row>
    <row r="29" spans="1:14" s="122" customFormat="1" x14ac:dyDescent="0.4">
      <c r="A29" s="122">
        <v>7</v>
      </c>
      <c r="B29" s="122" t="s">
        <v>1205</v>
      </c>
      <c r="C29" s="121"/>
      <c r="D29" s="122" t="s">
        <v>1055</v>
      </c>
      <c r="K29" s="123"/>
      <c r="L29" s="123"/>
    </row>
    <row r="30" spans="1:14" s="122" customFormat="1" x14ac:dyDescent="0.4">
      <c r="A30" s="122">
        <v>8</v>
      </c>
      <c r="B30" s="122" t="s">
        <v>1205</v>
      </c>
      <c r="C30" s="121"/>
      <c r="D30" s="122" t="s">
        <v>1055</v>
      </c>
      <c r="K30" s="123"/>
      <c r="L30" s="123"/>
    </row>
    <row r="31" spans="1:14" x14ac:dyDescent="0.4">
      <c r="A31" s="10">
        <v>9</v>
      </c>
      <c r="B31" s="10" t="s">
        <v>949</v>
      </c>
      <c r="C31" s="90"/>
      <c r="D31" t="s">
        <v>1190</v>
      </c>
      <c r="L31" s="4"/>
    </row>
    <row r="32" spans="1:14" x14ac:dyDescent="0.4">
      <c r="A32" s="10">
        <v>10</v>
      </c>
      <c r="B32" s="10" t="s">
        <v>950</v>
      </c>
      <c r="C32" s="90"/>
      <c r="D32" t="s">
        <v>1191</v>
      </c>
      <c r="L32" s="4"/>
    </row>
    <row r="33" spans="1:14" x14ac:dyDescent="0.4">
      <c r="D33" t="s">
        <v>989</v>
      </c>
    </row>
    <row r="34" spans="1:14" s="69" customFormat="1" x14ac:dyDescent="0.4">
      <c r="A34" s="97" t="s">
        <v>951</v>
      </c>
      <c r="B34" s="97"/>
      <c r="C34" s="70"/>
      <c r="D34" s="69" t="s">
        <v>989</v>
      </c>
      <c r="E34"/>
      <c r="K34" s="71"/>
      <c r="N34" s="70"/>
    </row>
    <row r="35" spans="1:14" x14ac:dyDescent="0.4">
      <c r="A35" s="100">
        <v>42024</v>
      </c>
      <c r="D35" t="s">
        <v>1055</v>
      </c>
      <c r="L35" s="4"/>
    </row>
    <row r="36" spans="1:14" x14ac:dyDescent="0.4">
      <c r="D36" t="s">
        <v>989</v>
      </c>
      <c r="L36" s="4"/>
    </row>
    <row r="37" spans="1:14" x14ac:dyDescent="0.4">
      <c r="A37" s="97" t="s">
        <v>952</v>
      </c>
      <c r="B37" s="97"/>
      <c r="C37" s="70"/>
      <c r="D37" s="69"/>
      <c r="L37" s="4"/>
    </row>
    <row r="38" spans="1:14" x14ac:dyDescent="0.4">
      <c r="A38" s="10">
        <v>1</v>
      </c>
      <c r="B38" s="10" t="s">
        <v>953</v>
      </c>
      <c r="D38" t="s">
        <v>1056</v>
      </c>
      <c r="L38" s="4"/>
    </row>
    <row r="39" spans="1:14" x14ac:dyDescent="0.4">
      <c r="A39" s="10">
        <v>2</v>
      </c>
      <c r="B39" s="10" t="s">
        <v>954</v>
      </c>
      <c r="D39" t="s">
        <v>1056</v>
      </c>
      <c r="L39" s="4"/>
    </row>
    <row r="40" spans="1:14" x14ac:dyDescent="0.4">
      <c r="A40" s="10">
        <v>3</v>
      </c>
      <c r="B40" s="10" t="s">
        <v>955</v>
      </c>
      <c r="D40" t="s">
        <v>1056</v>
      </c>
      <c r="L40" s="4"/>
    </row>
    <row r="41" spans="1:14" x14ac:dyDescent="0.4">
      <c r="A41" s="10">
        <v>4</v>
      </c>
      <c r="B41" s="10" t="s">
        <v>956</v>
      </c>
      <c r="D41" t="s">
        <v>1056</v>
      </c>
      <c r="L41" s="4"/>
    </row>
    <row r="42" spans="1:14" x14ac:dyDescent="0.4">
      <c r="A42" s="10">
        <v>5</v>
      </c>
      <c r="B42" s="10" t="s">
        <v>957</v>
      </c>
      <c r="D42" t="s">
        <v>1056</v>
      </c>
      <c r="L42" s="4"/>
    </row>
    <row r="43" spans="1:14" x14ac:dyDescent="0.4">
      <c r="A43" s="10">
        <v>6</v>
      </c>
      <c r="B43" s="10" t="s">
        <v>958</v>
      </c>
      <c r="D43" t="s">
        <v>1056</v>
      </c>
    </row>
    <row r="44" spans="1:14" x14ac:dyDescent="0.4">
      <c r="A44" s="10">
        <v>7</v>
      </c>
      <c r="B44" s="10" t="s">
        <v>959</v>
      </c>
      <c r="D44" t="s">
        <v>1056</v>
      </c>
    </row>
    <row r="45" spans="1:14" x14ac:dyDescent="0.4">
      <c r="A45" s="10">
        <v>8</v>
      </c>
      <c r="B45" s="10" t="s">
        <v>960</v>
      </c>
      <c r="D45" t="s">
        <v>1056</v>
      </c>
    </row>
    <row r="46" spans="1:14" x14ac:dyDescent="0.4">
      <c r="A46" s="10">
        <v>9</v>
      </c>
      <c r="B46" s="10" t="s">
        <v>961</v>
      </c>
      <c r="D46" t="s">
        <v>1056</v>
      </c>
    </row>
    <row r="47" spans="1:14" x14ac:dyDescent="0.4">
      <c r="A47" s="10">
        <v>10</v>
      </c>
      <c r="B47" s="10" t="s">
        <v>962</v>
      </c>
      <c r="D47" t="s">
        <v>1056</v>
      </c>
    </row>
    <row r="48" spans="1:14" x14ac:dyDescent="0.4">
      <c r="D48" t="s">
        <v>989</v>
      </c>
    </row>
    <row r="49" spans="1:4" x14ac:dyDescent="0.4">
      <c r="A49" s="97" t="s">
        <v>963</v>
      </c>
      <c r="B49" s="97"/>
      <c r="C49" s="70"/>
      <c r="D49" s="69"/>
    </row>
    <row r="50" spans="1:4" x14ac:dyDescent="0.4">
      <c r="A50" s="10">
        <v>1</v>
      </c>
      <c r="B50" s="10" t="s">
        <v>964</v>
      </c>
      <c r="C50" s="39"/>
      <c r="D50" t="s">
        <v>1057</v>
      </c>
    </row>
    <row r="51" spans="1:4" x14ac:dyDescent="0.4">
      <c r="A51" s="10">
        <v>2</v>
      </c>
      <c r="B51" s="10" t="s">
        <v>965</v>
      </c>
      <c r="C51" s="39"/>
      <c r="D51" t="s">
        <v>1057</v>
      </c>
    </row>
    <row r="52" spans="1:4" x14ac:dyDescent="0.4">
      <c r="A52" s="10">
        <v>3</v>
      </c>
      <c r="B52" s="10" t="s">
        <v>966</v>
      </c>
      <c r="C52" s="39"/>
      <c r="D52" t="s">
        <v>1057</v>
      </c>
    </row>
    <row r="53" spans="1:4" x14ac:dyDescent="0.4">
      <c r="A53" s="10">
        <v>4</v>
      </c>
      <c r="B53" s="10" t="s">
        <v>967</v>
      </c>
      <c r="C53" s="39"/>
      <c r="D53" t="s">
        <v>1057</v>
      </c>
    </row>
    <row r="54" spans="1:4" x14ac:dyDescent="0.4">
      <c r="A54" s="10">
        <v>5</v>
      </c>
      <c r="B54" s="10" t="s">
        <v>968</v>
      </c>
      <c r="C54" s="39"/>
      <c r="D54" t="s">
        <v>1057</v>
      </c>
    </row>
    <row r="55" spans="1:4" x14ac:dyDescent="0.4">
      <c r="A55" s="10">
        <v>6</v>
      </c>
      <c r="B55" s="10" t="s">
        <v>969</v>
      </c>
      <c r="C55" s="39"/>
      <c r="D55" t="s">
        <v>1057</v>
      </c>
    </row>
    <row r="56" spans="1:4" x14ac:dyDescent="0.4">
      <c r="A56" s="10">
        <v>7</v>
      </c>
      <c r="B56" s="10" t="s">
        <v>970</v>
      </c>
      <c r="C56" s="39"/>
      <c r="D56" t="s">
        <v>1057</v>
      </c>
    </row>
    <row r="57" spans="1:4" x14ac:dyDescent="0.4">
      <c r="A57" s="10">
        <v>8</v>
      </c>
      <c r="B57" s="10" t="s">
        <v>971</v>
      </c>
      <c r="C57" s="39"/>
      <c r="D57" t="s">
        <v>1057</v>
      </c>
    </row>
    <row r="58" spans="1:4" x14ac:dyDescent="0.4">
      <c r="A58" s="10">
        <v>9</v>
      </c>
      <c r="B58" s="10" t="s">
        <v>972</v>
      </c>
      <c r="C58" s="39"/>
      <c r="D58" t="s">
        <v>1057</v>
      </c>
    </row>
    <row r="59" spans="1:4" x14ac:dyDescent="0.4">
      <c r="A59" s="10">
        <v>10</v>
      </c>
      <c r="B59" s="10" t="s">
        <v>973</v>
      </c>
      <c r="C59" s="39"/>
      <c r="D59" t="s">
        <v>1057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81921" r:id="rId4" name="cmdWrite">
          <controlPr defaultSize="0" autoLine="0" r:id="rId5">
            <anchor moveWithCells="1">
              <from>
                <xdr:col>8</xdr:col>
                <xdr:colOff>506186</xdr:colOff>
                <xdr:row>0</xdr:row>
                <xdr:rowOff>288471</xdr:rowOff>
              </from>
              <to>
                <xdr:col>10</xdr:col>
                <xdr:colOff>217714</xdr:colOff>
                <xdr:row>2</xdr:row>
                <xdr:rowOff>21771</xdr:rowOff>
              </to>
            </anchor>
          </controlPr>
        </control>
      </mc:Choice>
      <mc:Fallback>
        <control shapeId="81921" r:id="rId4" name="cmdWrite"/>
      </mc:Fallback>
    </mc:AlternateContent>
    <mc:AlternateContent xmlns:mc="http://schemas.openxmlformats.org/markup-compatibility/2006">
      <mc:Choice Requires="x14">
        <control shapeId="81922" r:id="rId6" name="cmdRead">
          <controlPr defaultSize="0" autoLine="0" r:id="rId7">
            <anchor moveWithCells="1">
              <from>
                <xdr:col>7</xdr:col>
                <xdr:colOff>38100</xdr:colOff>
                <xdr:row>0</xdr:row>
                <xdr:rowOff>288471</xdr:rowOff>
              </from>
              <to>
                <xdr:col>8</xdr:col>
                <xdr:colOff>402771</xdr:colOff>
                <xdr:row>2</xdr:row>
                <xdr:rowOff>21771</xdr:rowOff>
              </to>
            </anchor>
          </controlPr>
        </control>
      </mc:Choice>
      <mc:Fallback>
        <control shapeId="81922" r:id="rId6" name="cmdRead"/>
      </mc:Fallback>
    </mc:AlternateContent>
    <mc:AlternateContent xmlns:mc="http://schemas.openxmlformats.org/markup-compatibility/2006">
      <mc:Choice Requires="x14">
        <control shapeId="81923" r:id="rId8" name="cmdRun">
          <controlPr defaultSize="0" autoLine="0" r:id="rId9">
            <anchor moveWithCells="1">
              <from>
                <xdr:col>10</xdr:col>
                <xdr:colOff>402771</xdr:colOff>
                <xdr:row>0</xdr:row>
                <xdr:rowOff>288471</xdr:rowOff>
              </from>
              <to>
                <xdr:col>12</xdr:col>
                <xdr:colOff>141514</xdr:colOff>
                <xdr:row>2</xdr:row>
                <xdr:rowOff>21771</xdr:rowOff>
              </to>
            </anchor>
          </controlPr>
        </control>
      </mc:Choice>
      <mc:Fallback>
        <control shapeId="81923" r:id="rId8" name="cmdRun"/>
      </mc:Fallback>
    </mc:AlternateContent>
    <mc:AlternateContent xmlns:mc="http://schemas.openxmlformats.org/markup-compatibility/2006">
      <mc:Choice Requires="x14">
        <control shapeId="81924" r:id="rId10" name="cmbBoxSit">
          <controlPr defaultSize="0" autoLine="0" linkedCell="B2" r:id="rId11">
            <anchor moveWithCells="1">
              <from>
                <xdr:col>1</xdr:col>
                <xdr:colOff>21771</xdr:colOff>
                <xdr:row>1</xdr:row>
                <xdr:rowOff>21771</xdr:rowOff>
              </from>
              <to>
                <xdr:col>2</xdr:col>
                <xdr:colOff>609600</xdr:colOff>
                <xdr:row>2</xdr:row>
                <xdr:rowOff>10886</xdr:rowOff>
              </to>
            </anchor>
          </controlPr>
        </control>
      </mc:Choice>
      <mc:Fallback>
        <control shapeId="81924" r:id="rId10" name="cmbBoxSit"/>
      </mc:Fallback>
    </mc:AlternateContent>
    <mc:AlternateContent xmlns:mc="http://schemas.openxmlformats.org/markup-compatibility/2006">
      <mc:Choice Requires="x14">
        <control shapeId="81925" r:id="rId12" name="cmdGetSit">
          <controlPr defaultSize="0" autoLine="0" r:id="rId13">
            <anchor moveWithCells="1">
              <from>
                <xdr:col>5</xdr:col>
                <xdr:colOff>125186</xdr:colOff>
                <xdr:row>0</xdr:row>
                <xdr:rowOff>288471</xdr:rowOff>
              </from>
              <to>
                <xdr:col>6</xdr:col>
                <xdr:colOff>489857</xdr:colOff>
                <xdr:row>2</xdr:row>
                <xdr:rowOff>21771</xdr:rowOff>
              </to>
            </anchor>
          </controlPr>
        </control>
      </mc:Choice>
      <mc:Fallback>
        <control shapeId="81925" r:id="rId12" name="cmdGetSi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AG607"/>
  <sheetViews>
    <sheetView workbookViewId="0">
      <pane xSplit="13" ySplit="5" topLeftCell="N6" activePane="bottomRight" state="frozen"/>
      <selection pane="topRight" activeCell="N1" sqref="N1"/>
      <selection pane="bottomLeft" activeCell="A6" sqref="A6"/>
      <selection pane="bottomRight" activeCell="A6" sqref="A6"/>
    </sheetView>
  </sheetViews>
  <sheetFormatPr defaultRowHeight="14.6" x14ac:dyDescent="0.4"/>
  <cols>
    <col min="1" max="1" width="12.3828125" customWidth="1"/>
    <col min="2" max="2" width="12.69140625" customWidth="1"/>
    <col min="3" max="3" width="7.3046875" customWidth="1"/>
    <col min="10" max="10" width="9.15234375" style="24"/>
    <col min="11" max="25" width="9.15234375" style="88"/>
    <col min="26" max="26" width="9.15234375" style="107"/>
    <col min="27" max="32" width="9.15234375" style="88"/>
    <col min="33" max="33" width="29.69140625" bestFit="1" customWidth="1"/>
  </cols>
  <sheetData>
    <row r="1" spans="1:33" ht="25.4" customHeight="1" x14ac:dyDescent="0.4">
      <c r="A1" s="94" t="s">
        <v>1833</v>
      </c>
      <c r="J1"/>
      <c r="K1"/>
      <c r="L1"/>
      <c r="M1"/>
      <c r="N1"/>
      <c r="O1"/>
      <c r="P1"/>
      <c r="Q1"/>
      <c r="R1"/>
      <c r="S1"/>
      <c r="T1"/>
      <c r="U1"/>
      <c r="V1"/>
      <c r="W1"/>
      <c r="X1"/>
      <c r="Y1"/>
      <c r="Z1"/>
      <c r="AA1"/>
      <c r="AB1"/>
      <c r="AC1"/>
      <c r="AD1"/>
      <c r="AE1"/>
      <c r="AF1"/>
    </row>
    <row r="2" spans="1:33" ht="19.95" customHeight="1" x14ac:dyDescent="0.4">
      <c r="A2" s="27" t="s">
        <v>918</v>
      </c>
      <c r="B2" s="17" t="s">
        <v>1861</v>
      </c>
      <c r="C2" s="17"/>
      <c r="D2" s="27" t="s">
        <v>758</v>
      </c>
      <c r="E2" s="85" t="s">
        <v>1540</v>
      </c>
      <c r="J2"/>
      <c r="K2"/>
      <c r="L2"/>
      <c r="M2"/>
      <c r="N2"/>
      <c r="O2"/>
      <c r="P2"/>
      <c r="Q2"/>
      <c r="R2"/>
      <c r="S2"/>
      <c r="T2"/>
      <c r="U2"/>
      <c r="V2"/>
      <c r="W2"/>
      <c r="X2"/>
      <c r="Y2"/>
      <c r="Z2"/>
      <c r="AA2"/>
      <c r="AB2"/>
      <c r="AC2"/>
      <c r="AD2"/>
      <c r="AE2"/>
      <c r="AF2"/>
    </row>
    <row r="3" spans="1:33" ht="15.65" customHeight="1" x14ac:dyDescent="0.4">
      <c r="A3" s="26" t="s">
        <v>900</v>
      </c>
      <c r="B3" s="17"/>
      <c r="C3" s="92" t="s">
        <v>901</v>
      </c>
      <c r="D3" s="17"/>
      <c r="J3"/>
      <c r="K3"/>
      <c r="L3"/>
      <c r="M3"/>
      <c r="N3"/>
      <c r="O3"/>
      <c r="P3"/>
      <c r="Q3"/>
      <c r="R3"/>
      <c r="S3"/>
      <c r="T3"/>
      <c r="U3"/>
      <c r="V3"/>
      <c r="W3"/>
      <c r="X3"/>
      <c r="Y3"/>
      <c r="Z3"/>
      <c r="AA3"/>
      <c r="AB3"/>
      <c r="AC3"/>
      <c r="AD3"/>
      <c r="AE3"/>
      <c r="AF3"/>
    </row>
    <row r="4" spans="1:33" s="5" customFormat="1" ht="12" x14ac:dyDescent="0.35">
      <c r="A4" s="238" t="s">
        <v>91</v>
      </c>
      <c r="B4" s="238" t="s">
        <v>929</v>
      </c>
      <c r="C4" s="238"/>
      <c r="D4" s="182">
        <v>1</v>
      </c>
      <c r="E4" s="182">
        <v>2</v>
      </c>
      <c r="F4" s="182">
        <v>3</v>
      </c>
      <c r="G4" s="182">
        <v>4</v>
      </c>
      <c r="H4" s="182">
        <v>5</v>
      </c>
      <c r="I4" s="182">
        <v>6</v>
      </c>
      <c r="J4" s="182">
        <v>7</v>
      </c>
      <c r="K4" s="182">
        <v>8</v>
      </c>
      <c r="L4" s="182">
        <v>9</v>
      </c>
      <c r="M4" s="182">
        <v>10</v>
      </c>
      <c r="N4" s="182">
        <v>11</v>
      </c>
      <c r="O4" s="182">
        <v>12</v>
      </c>
      <c r="P4" s="182">
        <v>13</v>
      </c>
      <c r="Q4" s="182">
        <v>14</v>
      </c>
      <c r="R4" s="182">
        <v>15</v>
      </c>
      <c r="S4" s="182">
        <v>16</v>
      </c>
      <c r="T4" s="182">
        <v>17</v>
      </c>
      <c r="U4" s="182">
        <v>18</v>
      </c>
      <c r="V4" s="182">
        <v>19</v>
      </c>
      <c r="W4" s="182">
        <v>20</v>
      </c>
      <c r="X4" s="182">
        <v>21</v>
      </c>
      <c r="Y4" s="182">
        <v>22</v>
      </c>
      <c r="Z4" s="182">
        <v>23</v>
      </c>
      <c r="AA4" s="182">
        <v>24</v>
      </c>
      <c r="AB4" s="182">
        <v>25</v>
      </c>
      <c r="AC4" s="182">
        <v>26</v>
      </c>
      <c r="AD4" s="182">
        <v>27</v>
      </c>
      <c r="AE4" s="182">
        <v>28</v>
      </c>
      <c r="AF4" s="182">
        <v>29</v>
      </c>
      <c r="AG4" s="182">
        <v>30</v>
      </c>
    </row>
    <row r="5" spans="1:33" s="75" customFormat="1" x14ac:dyDescent="0.4">
      <c r="A5" s="75" t="s">
        <v>92</v>
      </c>
      <c r="B5" s="75" t="s">
        <v>93</v>
      </c>
      <c r="C5" s="75" t="s">
        <v>94</v>
      </c>
      <c r="D5" s="75" t="s">
        <v>95</v>
      </c>
      <c r="E5" s="75" t="s">
        <v>96</v>
      </c>
      <c r="F5" s="75" t="s">
        <v>97</v>
      </c>
      <c r="G5" s="75" t="s">
        <v>98</v>
      </c>
      <c r="H5" s="75" t="s">
        <v>99</v>
      </c>
      <c r="I5" s="75" t="s">
        <v>100</v>
      </c>
      <c r="J5" s="75" t="s">
        <v>101</v>
      </c>
      <c r="K5" s="75" t="s">
        <v>102</v>
      </c>
      <c r="L5" s="75" t="s">
        <v>103</v>
      </c>
      <c r="M5" s="75" t="s">
        <v>104</v>
      </c>
      <c r="N5" s="75" t="s">
        <v>105</v>
      </c>
      <c r="O5" s="75" t="s">
        <v>106</v>
      </c>
      <c r="P5" s="75" t="s">
        <v>107</v>
      </c>
      <c r="Q5" s="75" t="s">
        <v>108</v>
      </c>
      <c r="R5" s="75" t="s">
        <v>109</v>
      </c>
      <c r="S5" s="75" t="s">
        <v>110</v>
      </c>
      <c r="T5" s="75" t="s">
        <v>111</v>
      </c>
      <c r="U5" s="75" t="s">
        <v>112</v>
      </c>
      <c r="V5" s="75" t="s">
        <v>113</v>
      </c>
      <c r="W5" s="75" t="s">
        <v>114</v>
      </c>
      <c r="X5" s="75" t="s">
        <v>115</v>
      </c>
      <c r="Y5" s="75" t="s">
        <v>116</v>
      </c>
      <c r="Z5" s="75" t="s">
        <v>117</v>
      </c>
      <c r="AA5" s="75" t="s">
        <v>118</v>
      </c>
      <c r="AB5" s="75" t="s">
        <v>119</v>
      </c>
      <c r="AC5" s="75" t="s">
        <v>120</v>
      </c>
      <c r="AD5" s="75" t="s">
        <v>121</v>
      </c>
      <c r="AE5" s="75" t="s">
        <v>122</v>
      </c>
      <c r="AF5" s="75" t="s">
        <v>123</v>
      </c>
      <c r="AG5" s="75" t="s">
        <v>124</v>
      </c>
    </row>
    <row r="193" spans="10:32" s="79" customFormat="1" x14ac:dyDescent="0.4">
      <c r="J193" s="105"/>
      <c r="K193" s="106"/>
      <c r="L193" s="106"/>
      <c r="M193" s="106"/>
      <c r="N193" s="106"/>
      <c r="O193" s="106"/>
      <c r="P193" s="106"/>
      <c r="Q193" s="106"/>
      <c r="R193" s="106"/>
      <c r="S193" s="106"/>
      <c r="T193" s="106"/>
      <c r="U193" s="88"/>
      <c r="V193" s="88"/>
      <c r="W193" s="88"/>
      <c r="X193" s="106"/>
      <c r="Y193" s="106"/>
      <c r="Z193" s="108"/>
      <c r="AA193" s="106"/>
      <c r="AB193" s="106"/>
      <c r="AC193" s="106"/>
      <c r="AD193" s="106"/>
      <c r="AE193" s="106"/>
      <c r="AF193" s="88"/>
    </row>
    <row r="607" customFormat="1" x14ac:dyDescent="0.4"/>
  </sheetData>
  <mergeCells count="1">
    <mergeCell ref="A4:C4"/>
  </mergeCells>
  <pageMargins left="0.7" right="0.7" top="0.75" bottom="0.75" header="0.3" footer="0.3"/>
  <drawing r:id="rId1"/>
  <legacyDrawing r:id="rId2"/>
  <controls>
    <mc:AlternateContent xmlns:mc="http://schemas.openxmlformats.org/markup-compatibility/2006">
      <mc:Choice Requires="x14">
        <control shapeId="49192" r:id="rId3" name="cmdGetTil">
          <controlPr defaultSize="0" autoLine="0" r:id="rId4">
            <anchor moveWithCells="1">
              <from>
                <xdr:col>5</xdr:col>
                <xdr:colOff>21771</xdr:colOff>
                <xdr:row>0</xdr:row>
                <xdr:rowOff>250371</xdr:rowOff>
              </from>
              <to>
                <xdr:col>6</xdr:col>
                <xdr:colOff>386443</xdr:colOff>
                <xdr:row>1</xdr:row>
                <xdr:rowOff>244929</xdr:rowOff>
              </to>
            </anchor>
          </controlPr>
        </control>
      </mc:Choice>
      <mc:Fallback>
        <control shapeId="49192" r:id="rId3" name="cmdGetTil"/>
      </mc:Fallback>
    </mc:AlternateContent>
    <mc:AlternateContent xmlns:mc="http://schemas.openxmlformats.org/markup-compatibility/2006">
      <mc:Choice Requires="x14">
        <control shapeId="49191" r:id="rId5" name="cmbBoxTil">
          <controlPr defaultSize="0" autoLine="0" linkedCell="B2" r:id="rId6">
            <anchor moveWithCells="1">
              <from>
                <xdr:col>1</xdr:col>
                <xdr:colOff>21771</xdr:colOff>
                <xdr:row>1</xdr:row>
                <xdr:rowOff>21771</xdr:rowOff>
              </from>
              <to>
                <xdr:col>2</xdr:col>
                <xdr:colOff>468086</xdr:colOff>
                <xdr:row>2</xdr:row>
                <xdr:rowOff>10886</xdr:rowOff>
              </to>
            </anchor>
          </controlPr>
        </control>
      </mc:Choice>
      <mc:Fallback>
        <control shapeId="49191" r:id="rId5" name="cmbBoxTil"/>
      </mc:Fallback>
    </mc:AlternateContent>
    <mc:AlternateContent xmlns:mc="http://schemas.openxmlformats.org/markup-compatibility/2006">
      <mc:Choice Requires="x14">
        <control shapeId="49154" r:id="rId7" name="cmdWriteTil">
          <controlPr defaultSize="0" autoLine="0" r:id="rId8">
            <anchor moveWithCells="1">
              <from>
                <xdr:col>8</xdr:col>
                <xdr:colOff>370114</xdr:colOff>
                <xdr:row>0</xdr:row>
                <xdr:rowOff>250371</xdr:rowOff>
              </from>
              <to>
                <xdr:col>10</xdr:col>
                <xdr:colOff>87086</xdr:colOff>
                <xdr:row>1</xdr:row>
                <xdr:rowOff>239486</xdr:rowOff>
              </to>
            </anchor>
          </controlPr>
        </control>
      </mc:Choice>
      <mc:Fallback>
        <control shapeId="49154" r:id="rId7" name="cmdWriteTil"/>
      </mc:Fallback>
    </mc:AlternateContent>
    <mc:AlternateContent xmlns:mc="http://schemas.openxmlformats.org/markup-compatibility/2006">
      <mc:Choice Requires="x14">
        <control shapeId="49153" r:id="rId9" name="cmdReadTil">
          <controlPr defaultSize="0" autoLine="0" r:id="rId10">
            <anchor moveWithCells="1">
              <from>
                <xdr:col>6</xdr:col>
                <xdr:colOff>533400</xdr:colOff>
                <xdr:row>0</xdr:row>
                <xdr:rowOff>250371</xdr:rowOff>
              </from>
              <to>
                <xdr:col>8</xdr:col>
                <xdr:colOff>244929</xdr:colOff>
                <xdr:row>1</xdr:row>
                <xdr:rowOff>244929</xdr:rowOff>
              </to>
            </anchor>
          </controlPr>
        </control>
      </mc:Choice>
      <mc:Fallback>
        <control shapeId="49153" r:id="rId9" name="cmdReadTil"/>
      </mc:Fallback>
    </mc:AlternateContent>
    <mc:AlternateContent xmlns:mc="http://schemas.openxmlformats.org/markup-compatibility/2006">
      <mc:Choice Requires="x14">
        <control shapeId="49155" r:id="rId11" name="cmdRun">
          <controlPr defaultSize="0" autoLine="0" r:id="rId12">
            <anchor moveWithCells="1">
              <from>
                <xdr:col>10</xdr:col>
                <xdr:colOff>277586</xdr:colOff>
                <xdr:row>0</xdr:row>
                <xdr:rowOff>250371</xdr:rowOff>
              </from>
              <to>
                <xdr:col>12</xdr:col>
                <xdr:colOff>0</xdr:colOff>
                <xdr:row>1</xdr:row>
                <xdr:rowOff>239486</xdr:rowOff>
              </to>
            </anchor>
          </controlPr>
        </control>
      </mc:Choice>
      <mc:Fallback>
        <control shapeId="49155" r:id="rId11" name="cmdRun"/>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BH223"/>
  <sheetViews>
    <sheetView zoomScaleNormal="100" workbookViewId="0">
      <pane xSplit="13" ySplit="5" topLeftCell="N6" activePane="bottomRight" state="frozen"/>
      <selection pane="topRight" activeCell="N1" sqref="N1"/>
      <selection pane="bottomLeft" activeCell="A6" sqref="A6"/>
      <selection pane="bottomRight" activeCell="A6" sqref="A6"/>
    </sheetView>
  </sheetViews>
  <sheetFormatPr defaultColWidth="9.15234375" defaultRowHeight="14.6" x14ac:dyDescent="0.4"/>
  <cols>
    <col min="1" max="1" width="11.69140625" customWidth="1"/>
    <col min="2" max="2" width="10.53515625" customWidth="1"/>
    <col min="3" max="12" width="9" style="24" bestFit="1" customWidth="1"/>
    <col min="13" max="13" width="9" style="103" bestFit="1" customWidth="1"/>
    <col min="14" max="18" width="9" style="24" bestFit="1" customWidth="1"/>
    <col min="19" max="19" width="10.3046875" style="88" bestFit="1" customWidth="1"/>
    <col min="20" max="24" width="9" style="88" bestFit="1" customWidth="1"/>
    <col min="25" max="26" width="11.53515625" style="88" bestFit="1" customWidth="1"/>
    <col min="27" max="27" width="10.3046875" style="88" bestFit="1" customWidth="1"/>
    <col min="28" max="40" width="9" style="88" bestFit="1" customWidth="1"/>
    <col min="41" max="41" width="9.3046875" bestFit="1" customWidth="1"/>
    <col min="42" max="49" width="9" style="24" bestFit="1" customWidth="1"/>
    <col min="50" max="50" width="10.3046875" style="24" bestFit="1" customWidth="1"/>
    <col min="51" max="58" width="9" style="24" bestFit="1" customWidth="1"/>
    <col min="60" max="60" width="27.3046875" customWidth="1"/>
  </cols>
  <sheetData>
    <row r="1" spans="1:60" ht="25.4" customHeight="1" x14ac:dyDescent="0.4">
      <c r="A1" s="94" t="s">
        <v>1834</v>
      </c>
      <c r="C1"/>
      <c r="D1"/>
      <c r="E1"/>
      <c r="F1"/>
      <c r="G1"/>
      <c r="H1"/>
      <c r="I1"/>
      <c r="J1"/>
      <c r="K1"/>
      <c r="L1"/>
      <c r="M1"/>
      <c r="N1"/>
      <c r="O1"/>
      <c r="P1"/>
      <c r="Q1"/>
      <c r="R1"/>
      <c r="S1"/>
      <c r="T1"/>
      <c r="U1"/>
      <c r="V1"/>
      <c r="W1"/>
      <c r="X1"/>
      <c r="Y1"/>
      <c r="Z1"/>
      <c r="AA1"/>
      <c r="AB1"/>
      <c r="AC1"/>
      <c r="AD1"/>
      <c r="AE1"/>
      <c r="AF1"/>
      <c r="AG1"/>
      <c r="AH1"/>
      <c r="AI1"/>
      <c r="AJ1"/>
      <c r="AK1"/>
      <c r="AL1"/>
      <c r="AM1"/>
      <c r="AN1"/>
      <c r="AP1"/>
      <c r="AQ1"/>
      <c r="AR1"/>
      <c r="AS1"/>
      <c r="AT1"/>
      <c r="AU1"/>
      <c r="AV1"/>
      <c r="AW1"/>
      <c r="AX1"/>
      <c r="AY1"/>
      <c r="AZ1"/>
      <c r="BA1"/>
      <c r="BB1"/>
      <c r="BC1"/>
      <c r="BD1"/>
      <c r="BE1"/>
      <c r="BF1"/>
    </row>
    <row r="2" spans="1:60" ht="19.95" customHeight="1" x14ac:dyDescent="0.4">
      <c r="A2" s="27" t="s">
        <v>918</v>
      </c>
      <c r="B2" s="17" t="s">
        <v>917</v>
      </c>
      <c r="C2" s="17"/>
      <c r="D2" s="27" t="s">
        <v>758</v>
      </c>
      <c r="E2" s="85" t="s">
        <v>1540</v>
      </c>
      <c r="F2"/>
      <c r="G2"/>
      <c r="H2"/>
      <c r="I2"/>
      <c r="J2"/>
      <c r="K2"/>
      <c r="L2"/>
      <c r="M2"/>
      <c r="N2"/>
      <c r="O2"/>
      <c r="P2"/>
      <c r="Q2"/>
      <c r="R2"/>
      <c r="S2"/>
      <c r="T2"/>
      <c r="U2"/>
      <c r="V2"/>
      <c r="W2"/>
      <c r="X2"/>
      <c r="Y2"/>
      <c r="Z2"/>
      <c r="AA2"/>
      <c r="AB2"/>
      <c r="AC2"/>
      <c r="AD2"/>
      <c r="AE2"/>
      <c r="AF2"/>
      <c r="AG2"/>
      <c r="AH2"/>
      <c r="AI2"/>
      <c r="AJ2"/>
      <c r="AK2"/>
      <c r="AL2"/>
      <c r="AM2"/>
      <c r="AN2"/>
      <c r="AP2"/>
      <c r="AQ2"/>
      <c r="AR2"/>
      <c r="AS2"/>
      <c r="AT2"/>
      <c r="AU2"/>
      <c r="AV2"/>
      <c r="AW2"/>
      <c r="AX2" s="89"/>
      <c r="AY2" s="89"/>
      <c r="AZ2"/>
      <c r="BA2"/>
      <c r="BB2"/>
      <c r="BC2"/>
      <c r="BD2"/>
      <c r="BE2"/>
      <c r="BF2"/>
    </row>
    <row r="3" spans="1:60" s="86" customFormat="1" ht="15" customHeight="1" x14ac:dyDescent="0.4">
      <c r="A3" s="26" t="s">
        <v>900</v>
      </c>
      <c r="B3" s="17"/>
      <c r="C3" s="92" t="s">
        <v>901</v>
      </c>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row>
    <row r="4" spans="1:60" s="87" customFormat="1" x14ac:dyDescent="0.4">
      <c r="A4" s="37" t="s">
        <v>125</v>
      </c>
      <c r="B4" s="87" t="s">
        <v>1860</v>
      </c>
      <c r="C4" s="182">
        <v>1</v>
      </c>
      <c r="D4" s="182">
        <v>2</v>
      </c>
      <c r="E4" s="182">
        <v>3</v>
      </c>
      <c r="F4" s="182">
        <v>4</v>
      </c>
      <c r="G4" s="182">
        <v>5</v>
      </c>
      <c r="H4" s="182">
        <v>6</v>
      </c>
      <c r="I4" s="182">
        <v>7</v>
      </c>
      <c r="J4" s="182">
        <v>8</v>
      </c>
      <c r="K4" s="182">
        <v>9</v>
      </c>
      <c r="L4" s="182">
        <v>10</v>
      </c>
      <c r="M4" s="182">
        <v>11</v>
      </c>
      <c r="N4" s="182">
        <v>12</v>
      </c>
      <c r="O4" s="182">
        <v>13</v>
      </c>
      <c r="P4" s="182">
        <v>14</v>
      </c>
      <c r="Q4" s="182">
        <v>15</v>
      </c>
      <c r="R4" s="182">
        <v>16</v>
      </c>
      <c r="S4" s="182">
        <v>17</v>
      </c>
      <c r="T4" s="182">
        <v>18</v>
      </c>
      <c r="U4" s="182">
        <v>19</v>
      </c>
      <c r="V4" s="182">
        <v>20</v>
      </c>
      <c r="W4" s="182">
        <v>21</v>
      </c>
      <c r="X4" s="182">
        <v>22</v>
      </c>
      <c r="Y4" s="182">
        <v>23</v>
      </c>
      <c r="Z4" s="182">
        <v>24</v>
      </c>
      <c r="AA4" s="182">
        <v>25</v>
      </c>
      <c r="AB4" s="182">
        <v>26</v>
      </c>
      <c r="AC4" s="182">
        <v>27</v>
      </c>
      <c r="AD4" s="182">
        <v>28</v>
      </c>
      <c r="AE4" s="182">
        <v>29</v>
      </c>
      <c r="AF4" s="182">
        <v>30</v>
      </c>
      <c r="AG4" s="182">
        <v>31</v>
      </c>
      <c r="AH4" s="182">
        <v>32</v>
      </c>
      <c r="AI4" s="182">
        <v>33</v>
      </c>
      <c r="AJ4" s="182">
        <v>34</v>
      </c>
      <c r="AK4" s="182">
        <v>35</v>
      </c>
      <c r="AL4" s="182">
        <v>36</v>
      </c>
      <c r="AM4" s="182">
        <v>37</v>
      </c>
      <c r="AN4" s="182">
        <v>38</v>
      </c>
      <c r="AO4" s="182">
        <v>39</v>
      </c>
      <c r="AP4" s="182">
        <v>40</v>
      </c>
      <c r="AQ4" s="182">
        <v>41</v>
      </c>
      <c r="AR4" s="182">
        <v>42</v>
      </c>
      <c r="AS4" s="182">
        <v>43</v>
      </c>
      <c r="AT4" s="182">
        <v>44</v>
      </c>
      <c r="AU4" s="182">
        <v>45</v>
      </c>
      <c r="AV4" s="182">
        <v>46</v>
      </c>
      <c r="AW4" s="182">
        <v>47</v>
      </c>
      <c r="AX4" s="182">
        <v>48</v>
      </c>
      <c r="AY4" s="182">
        <v>49</v>
      </c>
      <c r="AZ4" s="182">
        <v>50</v>
      </c>
      <c r="BA4" s="182">
        <v>51</v>
      </c>
      <c r="BB4" s="182">
        <v>52</v>
      </c>
      <c r="BC4" s="182">
        <v>53</v>
      </c>
      <c r="BD4" s="182">
        <v>54</v>
      </c>
      <c r="BE4" s="182">
        <v>55</v>
      </c>
      <c r="BF4" s="182">
        <v>56</v>
      </c>
      <c r="BG4" s="182">
        <v>57</v>
      </c>
      <c r="BH4" s="182">
        <v>58</v>
      </c>
    </row>
    <row r="5" spans="1:60" s="75" customFormat="1" x14ac:dyDescent="0.4">
      <c r="A5" s="75" t="s">
        <v>92</v>
      </c>
      <c r="B5" s="75" t="s">
        <v>93</v>
      </c>
      <c r="C5" s="75" t="s">
        <v>126</v>
      </c>
      <c r="D5" s="75" t="s">
        <v>127</v>
      </c>
      <c r="E5" s="75" t="s">
        <v>128</v>
      </c>
      <c r="F5" s="75" t="s">
        <v>129</v>
      </c>
      <c r="G5" s="75" t="s">
        <v>130</v>
      </c>
      <c r="H5" s="75" t="s">
        <v>131</v>
      </c>
      <c r="I5" s="75" t="s">
        <v>132</v>
      </c>
      <c r="J5" s="75" t="s">
        <v>133</v>
      </c>
      <c r="K5" s="75" t="s">
        <v>134</v>
      </c>
      <c r="L5" s="75" t="s">
        <v>135</v>
      </c>
      <c r="M5" s="75" t="s">
        <v>136</v>
      </c>
      <c r="N5" s="75" t="s">
        <v>137</v>
      </c>
      <c r="O5" s="75" t="s">
        <v>138</v>
      </c>
      <c r="P5" s="75" t="s">
        <v>139</v>
      </c>
      <c r="Q5" s="75" t="s">
        <v>140</v>
      </c>
      <c r="R5" s="75" t="s">
        <v>141</v>
      </c>
      <c r="S5" s="75" t="s">
        <v>142</v>
      </c>
      <c r="T5" s="75" t="s">
        <v>143</v>
      </c>
      <c r="U5" s="75" t="s">
        <v>144</v>
      </c>
      <c r="V5" s="75" t="s">
        <v>145</v>
      </c>
      <c r="W5" s="75" t="s">
        <v>146</v>
      </c>
      <c r="X5" s="75" t="s">
        <v>147</v>
      </c>
      <c r="Y5" s="75" t="s">
        <v>1690</v>
      </c>
      <c r="Z5" s="75" t="s">
        <v>148</v>
      </c>
      <c r="AA5" s="75" t="s">
        <v>149</v>
      </c>
      <c r="AB5" s="75" t="s">
        <v>150</v>
      </c>
      <c r="AC5" s="75" t="s">
        <v>151</v>
      </c>
      <c r="AD5" s="75" t="s">
        <v>152</v>
      </c>
      <c r="AE5" s="75" t="s">
        <v>153</v>
      </c>
      <c r="AF5" s="75" t="s">
        <v>154</v>
      </c>
      <c r="AG5" s="75" t="s">
        <v>155</v>
      </c>
      <c r="AH5" s="75" t="s">
        <v>156</v>
      </c>
      <c r="AI5" s="75" t="s">
        <v>157</v>
      </c>
      <c r="AJ5" s="75" t="s">
        <v>158</v>
      </c>
      <c r="AK5" s="75" t="s">
        <v>159</v>
      </c>
      <c r="AL5" s="75" t="s">
        <v>160</v>
      </c>
      <c r="AM5" s="75" t="s">
        <v>161</v>
      </c>
      <c r="AN5" s="75" t="s">
        <v>162</v>
      </c>
      <c r="AO5" s="75" t="s">
        <v>163</v>
      </c>
      <c r="AP5" s="75" t="s">
        <v>164</v>
      </c>
      <c r="AQ5" s="75" t="s">
        <v>165</v>
      </c>
      <c r="AR5" s="75" t="s">
        <v>166</v>
      </c>
      <c r="AS5" s="75" t="s">
        <v>167</v>
      </c>
      <c r="AT5" s="75" t="s">
        <v>168</v>
      </c>
      <c r="AU5" s="75" t="s">
        <v>169</v>
      </c>
      <c r="AV5" s="75" t="s">
        <v>170</v>
      </c>
      <c r="AW5" s="75" t="s">
        <v>171</v>
      </c>
      <c r="AX5" s="75" t="s">
        <v>172</v>
      </c>
      <c r="AY5" s="75" t="s">
        <v>173</v>
      </c>
      <c r="AZ5" s="75" t="s">
        <v>174</v>
      </c>
      <c r="BA5" s="75" t="s">
        <v>175</v>
      </c>
      <c r="BB5" s="75" t="s">
        <v>176</v>
      </c>
      <c r="BC5" s="75" t="s">
        <v>177</v>
      </c>
      <c r="BD5" s="75" t="s">
        <v>178</v>
      </c>
      <c r="BE5" s="75" t="s">
        <v>179</v>
      </c>
      <c r="BF5" s="75" t="s">
        <v>180</v>
      </c>
      <c r="BG5" s="75" t="s">
        <v>1461</v>
      </c>
      <c r="BH5" s="75" t="s">
        <v>892</v>
      </c>
    </row>
    <row r="6" spans="1:60" x14ac:dyDescent="0.4">
      <c r="M6" s="24"/>
      <c r="BG6" s="24"/>
      <c r="BH6" s="24"/>
    </row>
    <row r="7" spans="1:60" x14ac:dyDescent="0.4">
      <c r="M7" s="24"/>
      <c r="BG7" s="24"/>
      <c r="BH7" s="24"/>
    </row>
    <row r="8" spans="1:60" x14ac:dyDescent="0.4">
      <c r="M8" s="24"/>
      <c r="BG8" s="24"/>
      <c r="BH8" s="24"/>
    </row>
    <row r="9" spans="1:60" x14ac:dyDescent="0.4">
      <c r="M9" s="24"/>
      <c r="BG9" s="24"/>
      <c r="BH9" s="24"/>
    </row>
    <row r="10" spans="1:60" x14ac:dyDescent="0.4">
      <c r="M10" s="24"/>
      <c r="BG10" s="24"/>
      <c r="BH10" s="24"/>
    </row>
    <row r="11" spans="1:60" x14ac:dyDescent="0.4">
      <c r="M11" s="24"/>
      <c r="BG11" s="24"/>
      <c r="BH11" s="24"/>
    </row>
    <row r="12" spans="1:60" x14ac:dyDescent="0.4">
      <c r="M12" s="24"/>
      <c r="BG12" s="24"/>
      <c r="BH12" s="24"/>
    </row>
    <row r="13" spans="1:60" x14ac:dyDescent="0.4">
      <c r="M13" s="24"/>
      <c r="BG13" s="24"/>
      <c r="BH13" s="24"/>
    </row>
    <row r="14" spans="1:60" x14ac:dyDescent="0.4">
      <c r="M14" s="24"/>
      <c r="BG14" s="24"/>
      <c r="BH14" s="24"/>
    </row>
    <row r="15" spans="1:60" x14ac:dyDescent="0.4">
      <c r="M15" s="24"/>
      <c r="BG15" s="24"/>
      <c r="BH15" s="24"/>
    </row>
    <row r="16" spans="1:60" x14ac:dyDescent="0.4">
      <c r="M16" s="24"/>
      <c r="BG16" s="24"/>
      <c r="BH16" s="24"/>
    </row>
    <row r="17" spans="13:60" x14ac:dyDescent="0.4">
      <c r="M17" s="24"/>
      <c r="BG17" s="24"/>
      <c r="BH17" s="24"/>
    </row>
    <row r="18" spans="13:60" x14ac:dyDescent="0.4">
      <c r="M18" s="24"/>
      <c r="BG18" s="24"/>
      <c r="BH18" s="24"/>
    </row>
    <row r="19" spans="13:60" x14ac:dyDescent="0.4">
      <c r="M19" s="24"/>
      <c r="BG19" s="24"/>
      <c r="BH19" s="24"/>
    </row>
    <row r="20" spans="13:60" x14ac:dyDescent="0.4">
      <c r="M20" s="24"/>
      <c r="BG20" s="24"/>
      <c r="BH20" s="24"/>
    </row>
    <row r="21" spans="13:60" x14ac:dyDescent="0.4">
      <c r="M21" s="24"/>
      <c r="BG21" s="24"/>
      <c r="BH21" s="24"/>
    </row>
    <row r="22" spans="13:60" x14ac:dyDescent="0.4">
      <c r="M22" s="24"/>
      <c r="BG22" s="24"/>
      <c r="BH22" s="24"/>
    </row>
    <row r="23" spans="13:60" x14ac:dyDescent="0.4">
      <c r="M23" s="24"/>
      <c r="BG23" s="24"/>
      <c r="BH23" s="24"/>
    </row>
    <row r="24" spans="13:60" x14ac:dyDescent="0.4">
      <c r="M24" s="24"/>
      <c r="BG24" s="24"/>
      <c r="BH24" s="24"/>
    </row>
    <row r="25" spans="13:60" x14ac:dyDescent="0.4">
      <c r="M25" s="24"/>
      <c r="BG25" s="24"/>
      <c r="BH25" s="24"/>
    </row>
    <row r="26" spans="13:60" x14ac:dyDescent="0.4">
      <c r="M26" s="24"/>
      <c r="BG26" s="24"/>
      <c r="BH26" s="24"/>
    </row>
    <row r="27" spans="13:60" x14ac:dyDescent="0.4">
      <c r="M27" s="24"/>
      <c r="BG27" s="24"/>
      <c r="BH27" s="24"/>
    </row>
    <row r="28" spans="13:60" x14ac:dyDescent="0.4">
      <c r="M28" s="24"/>
      <c r="BG28" s="24"/>
      <c r="BH28" s="24"/>
    </row>
    <row r="29" spans="13:60" x14ac:dyDescent="0.4">
      <c r="M29" s="24"/>
      <c r="BG29" s="24"/>
      <c r="BH29" s="24"/>
    </row>
    <row r="30" spans="13:60" x14ac:dyDescent="0.4">
      <c r="M30" s="24"/>
      <c r="BG30" s="24"/>
      <c r="BH30" s="24"/>
    </row>
    <row r="31" spans="13:60" x14ac:dyDescent="0.4">
      <c r="M31" s="24"/>
      <c r="BG31" s="24"/>
      <c r="BH31" s="24"/>
    </row>
    <row r="32" spans="13:60" x14ac:dyDescent="0.4">
      <c r="M32" s="24"/>
      <c r="BG32" s="24"/>
      <c r="BH32" s="24"/>
    </row>
    <row r="33" spans="13:60" x14ac:dyDescent="0.4">
      <c r="M33" s="24"/>
      <c r="BG33" s="24"/>
      <c r="BH33" s="24"/>
    </row>
    <row r="34" spans="13:60" x14ac:dyDescent="0.4">
      <c r="M34" s="24"/>
      <c r="BG34" s="24"/>
      <c r="BH34" s="24"/>
    </row>
    <row r="35" spans="13:60" x14ac:dyDescent="0.4">
      <c r="M35" s="24"/>
      <c r="BG35" s="24"/>
      <c r="BH35" s="24"/>
    </row>
    <row r="36" spans="13:60" x14ac:dyDescent="0.4">
      <c r="M36" s="24"/>
      <c r="BG36" s="24"/>
      <c r="BH36" s="24"/>
    </row>
    <row r="37" spans="13:60" x14ac:dyDescent="0.4">
      <c r="M37" s="24"/>
      <c r="BG37" s="24"/>
      <c r="BH37" s="24"/>
    </row>
    <row r="38" spans="13:60" x14ac:dyDescent="0.4">
      <c r="M38" s="24"/>
      <c r="BG38" s="24"/>
      <c r="BH38" s="24"/>
    </row>
    <row r="39" spans="13:60" x14ac:dyDescent="0.4">
      <c r="M39" s="24"/>
      <c r="BG39" s="24"/>
      <c r="BH39" s="24"/>
    </row>
    <row r="40" spans="13:60" x14ac:dyDescent="0.4">
      <c r="M40" s="24"/>
      <c r="BG40" s="24"/>
      <c r="BH40" s="24"/>
    </row>
    <row r="41" spans="13:60" x14ac:dyDescent="0.4">
      <c r="M41" s="24"/>
      <c r="BG41" s="24"/>
      <c r="BH41" s="24"/>
    </row>
    <row r="42" spans="13:60" x14ac:dyDescent="0.4">
      <c r="M42" s="24"/>
      <c r="BG42" s="24"/>
      <c r="BH42" s="24"/>
    </row>
    <row r="43" spans="13:60" x14ac:dyDescent="0.4">
      <c r="M43" s="24"/>
      <c r="BG43" s="24"/>
      <c r="BH43" s="24"/>
    </row>
    <row r="44" spans="13:60" x14ac:dyDescent="0.4">
      <c r="M44" s="24"/>
      <c r="BG44" s="24"/>
      <c r="BH44" s="24"/>
    </row>
    <row r="45" spans="13:60" x14ac:dyDescent="0.4">
      <c r="M45" s="24"/>
      <c r="BG45" s="24"/>
      <c r="BH45" s="24"/>
    </row>
    <row r="46" spans="13:60" x14ac:dyDescent="0.4">
      <c r="M46" s="24"/>
      <c r="BG46" s="24"/>
      <c r="BH46" s="24"/>
    </row>
    <row r="47" spans="13:60" x14ac:dyDescent="0.4">
      <c r="M47" s="24"/>
      <c r="BG47" s="24"/>
      <c r="BH47" s="24"/>
    </row>
    <row r="48" spans="13:60" x14ac:dyDescent="0.4">
      <c r="M48" s="24"/>
      <c r="BG48" s="24"/>
      <c r="BH48" s="24"/>
    </row>
    <row r="49" spans="13:60" x14ac:dyDescent="0.4">
      <c r="M49" s="24"/>
      <c r="BG49" s="24"/>
      <c r="BH49" s="24"/>
    </row>
    <row r="50" spans="13:60" x14ac:dyDescent="0.4">
      <c r="M50" s="24"/>
      <c r="BG50" s="24"/>
      <c r="BH50" s="24"/>
    </row>
    <row r="51" spans="13:60" x14ac:dyDescent="0.4">
      <c r="M51" s="24"/>
      <c r="BG51" s="24"/>
      <c r="BH51" s="24"/>
    </row>
    <row r="52" spans="13:60" x14ac:dyDescent="0.4">
      <c r="M52" s="24"/>
      <c r="BG52" s="24"/>
      <c r="BH52" s="24"/>
    </row>
    <row r="53" spans="13:60" x14ac:dyDescent="0.4">
      <c r="M53" s="24"/>
      <c r="BG53" s="24"/>
      <c r="BH53" s="24"/>
    </row>
    <row r="54" spans="13:60" x14ac:dyDescent="0.4">
      <c r="M54" s="24"/>
      <c r="BG54" s="24"/>
      <c r="BH54" s="24"/>
    </row>
    <row r="55" spans="13:60" x14ac:dyDescent="0.4">
      <c r="M55" s="24"/>
      <c r="BG55" s="24"/>
      <c r="BH55" s="24"/>
    </row>
    <row r="56" spans="13:60" x14ac:dyDescent="0.4">
      <c r="M56" s="24"/>
      <c r="BG56" s="24"/>
      <c r="BH56" s="24"/>
    </row>
    <row r="57" spans="13:60" x14ac:dyDescent="0.4">
      <c r="M57" s="24"/>
      <c r="BG57" s="24"/>
      <c r="BH57" s="24"/>
    </row>
    <row r="58" spans="13:60" x14ac:dyDescent="0.4">
      <c r="M58" s="24"/>
      <c r="BG58" s="24"/>
      <c r="BH58" s="24"/>
    </row>
    <row r="59" spans="13:60" x14ac:dyDescent="0.4">
      <c r="M59" s="24"/>
      <c r="BG59" s="24"/>
      <c r="BH59" s="24"/>
    </row>
    <row r="60" spans="13:60" x14ac:dyDescent="0.4">
      <c r="M60" s="24"/>
      <c r="BG60" s="24"/>
      <c r="BH60" s="24"/>
    </row>
    <row r="61" spans="13:60" x14ac:dyDescent="0.4">
      <c r="M61" s="24"/>
      <c r="BG61" s="24"/>
      <c r="BH61" s="24"/>
    </row>
    <row r="62" spans="13:60" x14ac:dyDescent="0.4">
      <c r="M62" s="24"/>
      <c r="BG62" s="24"/>
      <c r="BH62" s="24"/>
    </row>
    <row r="63" spans="13:60" x14ac:dyDescent="0.4">
      <c r="M63" s="24"/>
      <c r="BG63" s="24"/>
      <c r="BH63" s="24"/>
    </row>
    <row r="64" spans="13:60" x14ac:dyDescent="0.4">
      <c r="M64" s="24"/>
      <c r="BG64" s="24"/>
      <c r="BH64" s="24"/>
    </row>
    <row r="65" spans="13:60" x14ac:dyDescent="0.4">
      <c r="M65" s="24"/>
      <c r="BG65" s="24"/>
      <c r="BH65" s="24"/>
    </row>
    <row r="66" spans="13:60" x14ac:dyDescent="0.4">
      <c r="M66" s="24"/>
      <c r="BG66" s="24"/>
      <c r="BH66" s="24"/>
    </row>
    <row r="67" spans="13:60" x14ac:dyDescent="0.4">
      <c r="M67" s="24"/>
      <c r="BG67" s="24"/>
      <c r="BH67" s="24"/>
    </row>
    <row r="68" spans="13:60" x14ac:dyDescent="0.4">
      <c r="M68" s="24"/>
      <c r="BG68" s="24"/>
      <c r="BH68" s="24"/>
    </row>
    <row r="69" spans="13:60" x14ac:dyDescent="0.4">
      <c r="M69" s="24"/>
      <c r="BG69" s="24"/>
      <c r="BH69" s="24"/>
    </row>
    <row r="70" spans="13:60" x14ac:dyDescent="0.4">
      <c r="M70" s="24"/>
      <c r="BG70" s="24"/>
      <c r="BH70" s="24"/>
    </row>
    <row r="71" spans="13:60" x14ac:dyDescent="0.4">
      <c r="M71" s="24"/>
      <c r="BG71" s="24"/>
      <c r="BH71" s="24"/>
    </row>
    <row r="72" spans="13:60" x14ac:dyDescent="0.4">
      <c r="M72" s="24"/>
      <c r="BG72" s="24"/>
      <c r="BH72" s="24"/>
    </row>
    <row r="73" spans="13:60" x14ac:dyDescent="0.4">
      <c r="M73" s="24"/>
      <c r="BG73" s="24"/>
      <c r="BH73" s="24"/>
    </row>
    <row r="74" spans="13:60" x14ac:dyDescent="0.4">
      <c r="M74" s="24"/>
      <c r="BG74" s="24"/>
      <c r="BH74" s="24"/>
    </row>
    <row r="75" spans="13:60" x14ac:dyDescent="0.4">
      <c r="M75" s="24"/>
      <c r="BG75" s="24"/>
      <c r="BH75" s="24"/>
    </row>
    <row r="76" spans="13:60" x14ac:dyDescent="0.4">
      <c r="M76" s="24"/>
      <c r="BG76" s="24"/>
      <c r="BH76" s="24"/>
    </row>
    <row r="77" spans="13:60" x14ac:dyDescent="0.4">
      <c r="M77" s="24"/>
      <c r="BG77" s="24"/>
      <c r="BH77" s="24"/>
    </row>
    <row r="78" spans="13:60" x14ac:dyDescent="0.4">
      <c r="M78" s="24"/>
      <c r="BG78" s="24"/>
      <c r="BH78" s="24"/>
    </row>
    <row r="79" spans="13:60" x14ac:dyDescent="0.4">
      <c r="M79" s="24"/>
      <c r="BG79" s="24"/>
      <c r="BH79" s="24"/>
    </row>
    <row r="80" spans="13:60" x14ac:dyDescent="0.4">
      <c r="M80" s="24"/>
      <c r="BG80" s="24"/>
      <c r="BH80" s="24"/>
    </row>
    <row r="81" spans="13:60" x14ac:dyDescent="0.4">
      <c r="M81" s="24"/>
      <c r="BG81" s="24"/>
      <c r="BH81" s="24"/>
    </row>
    <row r="82" spans="13:60" x14ac:dyDescent="0.4">
      <c r="M82" s="24"/>
      <c r="BG82" s="24"/>
      <c r="BH82" s="24"/>
    </row>
    <row r="83" spans="13:60" x14ac:dyDescent="0.4">
      <c r="M83" s="24"/>
      <c r="BG83" s="24"/>
      <c r="BH83" s="24"/>
    </row>
    <row r="84" spans="13:60" x14ac:dyDescent="0.4">
      <c r="M84" s="24"/>
      <c r="BG84" s="24"/>
      <c r="BH84" s="24"/>
    </row>
    <row r="85" spans="13:60" x14ac:dyDescent="0.4">
      <c r="M85" s="24"/>
      <c r="BG85" s="24"/>
      <c r="BH85" s="24"/>
    </row>
    <row r="86" spans="13:60" x14ac:dyDescent="0.4">
      <c r="M86" s="24"/>
      <c r="BG86" s="24"/>
      <c r="BH86" s="24"/>
    </row>
    <row r="87" spans="13:60" x14ac:dyDescent="0.4">
      <c r="M87" s="24"/>
      <c r="BG87" s="24"/>
      <c r="BH87" s="24"/>
    </row>
    <row r="88" spans="13:60" x14ac:dyDescent="0.4">
      <c r="M88" s="24"/>
      <c r="BG88" s="24"/>
      <c r="BH88" s="24"/>
    </row>
    <row r="89" spans="13:60" x14ac:dyDescent="0.4">
      <c r="M89" s="24"/>
      <c r="BG89" s="24"/>
      <c r="BH89" s="24"/>
    </row>
    <row r="90" spans="13:60" x14ac:dyDescent="0.4">
      <c r="M90" s="24"/>
      <c r="BG90" s="24"/>
      <c r="BH90" s="24"/>
    </row>
    <row r="91" spans="13:60" x14ac:dyDescent="0.4">
      <c r="M91" s="24"/>
      <c r="BG91" s="24"/>
      <c r="BH91" s="24"/>
    </row>
    <row r="92" spans="13:60" x14ac:dyDescent="0.4">
      <c r="M92" s="24"/>
      <c r="BG92" s="24"/>
      <c r="BH92" s="24"/>
    </row>
    <row r="93" spans="13:60" x14ac:dyDescent="0.4">
      <c r="M93" s="24"/>
      <c r="BG93" s="24"/>
      <c r="BH93" s="24"/>
    </row>
    <row r="94" spans="13:60" x14ac:dyDescent="0.4">
      <c r="M94" s="24"/>
      <c r="BG94" s="24"/>
      <c r="BH94" s="24"/>
    </row>
    <row r="95" spans="13:60" x14ac:dyDescent="0.4">
      <c r="M95" s="24"/>
      <c r="BG95" s="24"/>
      <c r="BH95" s="24"/>
    </row>
    <row r="96" spans="13:60" x14ac:dyDescent="0.4">
      <c r="M96" s="24"/>
      <c r="BG96" s="24"/>
      <c r="BH96" s="24"/>
    </row>
    <row r="97" spans="13:60" x14ac:dyDescent="0.4">
      <c r="M97" s="24"/>
      <c r="BG97" s="24"/>
      <c r="BH97" s="24"/>
    </row>
    <row r="98" spans="13:60" x14ac:dyDescent="0.4">
      <c r="M98" s="24"/>
      <c r="BG98" s="24"/>
      <c r="BH98" s="24"/>
    </row>
    <row r="99" spans="13:60" x14ac:dyDescent="0.4">
      <c r="M99" s="24"/>
      <c r="BG99" s="24"/>
      <c r="BH99" s="24"/>
    </row>
    <row r="100" spans="13:60" x14ac:dyDescent="0.4">
      <c r="M100" s="24"/>
      <c r="BG100" s="24"/>
      <c r="BH100" s="24"/>
    </row>
    <row r="101" spans="13:60" x14ac:dyDescent="0.4">
      <c r="M101" s="24"/>
      <c r="BG101" s="24"/>
      <c r="BH101" s="24"/>
    </row>
    <row r="102" spans="13:60" x14ac:dyDescent="0.4">
      <c r="M102" s="24"/>
      <c r="BG102" s="24"/>
      <c r="BH102" s="24"/>
    </row>
    <row r="103" spans="13:60" x14ac:dyDescent="0.4">
      <c r="M103" s="24"/>
      <c r="BG103" s="24"/>
      <c r="BH103" s="24"/>
    </row>
    <row r="104" spans="13:60" x14ac:dyDescent="0.4">
      <c r="M104" s="24"/>
      <c r="BG104" s="24"/>
      <c r="BH104" s="24"/>
    </row>
    <row r="105" spans="13:60" x14ac:dyDescent="0.4">
      <c r="M105" s="24"/>
      <c r="BG105" s="24"/>
      <c r="BH105" s="24"/>
    </row>
    <row r="106" spans="13:60" x14ac:dyDescent="0.4">
      <c r="M106" s="24"/>
      <c r="BG106" s="24"/>
      <c r="BH106" s="24"/>
    </row>
    <row r="107" spans="13:60" x14ac:dyDescent="0.4">
      <c r="M107" s="24"/>
      <c r="BG107" s="24"/>
      <c r="BH107" s="24"/>
    </row>
    <row r="108" spans="13:60" x14ac:dyDescent="0.4">
      <c r="M108" s="24"/>
      <c r="BG108" s="24"/>
      <c r="BH108" s="24"/>
    </row>
    <row r="109" spans="13:60" x14ac:dyDescent="0.4">
      <c r="M109" s="24"/>
      <c r="BG109" s="24"/>
      <c r="BH109" s="24"/>
    </row>
    <row r="110" spans="13:60" x14ac:dyDescent="0.4">
      <c r="M110" s="24"/>
      <c r="BG110" s="24"/>
      <c r="BH110" s="24"/>
    </row>
    <row r="111" spans="13:60" x14ac:dyDescent="0.4">
      <c r="M111" s="24"/>
      <c r="BG111" s="24"/>
      <c r="BH111" s="24"/>
    </row>
    <row r="112" spans="13:60" x14ac:dyDescent="0.4">
      <c r="M112" s="24"/>
      <c r="BG112" s="24"/>
      <c r="BH112" s="24"/>
    </row>
    <row r="113" spans="13:60" x14ac:dyDescent="0.4">
      <c r="M113" s="24"/>
      <c r="BG113" s="24"/>
      <c r="BH113" s="24"/>
    </row>
    <row r="114" spans="13:60" x14ac:dyDescent="0.4">
      <c r="M114" s="24"/>
      <c r="BG114" s="24"/>
      <c r="BH114" s="24"/>
    </row>
    <row r="115" spans="13:60" x14ac:dyDescent="0.4">
      <c r="M115" s="24"/>
      <c r="BG115" s="24"/>
      <c r="BH115" s="24"/>
    </row>
    <row r="116" spans="13:60" x14ac:dyDescent="0.4">
      <c r="M116" s="24"/>
      <c r="BG116" s="24"/>
      <c r="BH116" s="24"/>
    </row>
    <row r="117" spans="13:60" x14ac:dyDescent="0.4">
      <c r="M117" s="24"/>
      <c r="BG117" s="24"/>
      <c r="BH117" s="24"/>
    </row>
    <row r="118" spans="13:60" x14ac:dyDescent="0.4">
      <c r="M118" s="24"/>
      <c r="BG118" s="24"/>
    </row>
    <row r="119" spans="13:60" x14ac:dyDescent="0.4">
      <c r="M119" s="24"/>
      <c r="BG119" s="24"/>
    </row>
    <row r="120" spans="13:60" x14ac:dyDescent="0.4">
      <c r="M120" s="24"/>
      <c r="BG120" s="24"/>
    </row>
    <row r="121" spans="13:60" x14ac:dyDescent="0.4">
      <c r="M121" s="24"/>
      <c r="BG121" s="24"/>
    </row>
    <row r="122" spans="13:60" x14ac:dyDescent="0.4">
      <c r="M122" s="24"/>
      <c r="BG122" s="24"/>
    </row>
    <row r="123" spans="13:60" x14ac:dyDescent="0.4">
      <c r="M123" s="24"/>
      <c r="BG123" s="24"/>
    </row>
    <row r="124" spans="13:60" x14ac:dyDescent="0.4">
      <c r="M124" s="24"/>
      <c r="BG124" s="24"/>
    </row>
    <row r="125" spans="13:60" x14ac:dyDescent="0.4">
      <c r="M125" s="24"/>
      <c r="BG125" s="24"/>
    </row>
    <row r="126" spans="13:60" x14ac:dyDescent="0.4">
      <c r="M126" s="24"/>
      <c r="BG126" s="24"/>
    </row>
    <row r="127" spans="13:60" x14ac:dyDescent="0.4">
      <c r="M127" s="24"/>
      <c r="BG127" s="24"/>
    </row>
    <row r="128" spans="13:60" x14ac:dyDescent="0.4">
      <c r="M128" s="24"/>
      <c r="BG128" s="24"/>
    </row>
    <row r="129" spans="13:59" x14ac:dyDescent="0.4">
      <c r="M129" s="24"/>
      <c r="BG129" s="24"/>
    </row>
    <row r="130" spans="13:59" x14ac:dyDescent="0.4">
      <c r="M130" s="24"/>
      <c r="BG130" s="24"/>
    </row>
    <row r="131" spans="13:59" x14ac:dyDescent="0.4">
      <c r="M131" s="24"/>
      <c r="BG131" s="24"/>
    </row>
    <row r="132" spans="13:59" x14ac:dyDescent="0.4">
      <c r="M132" s="24"/>
      <c r="BG132" s="24"/>
    </row>
    <row r="133" spans="13:59" x14ac:dyDescent="0.4">
      <c r="M133" s="24"/>
      <c r="BG133" s="24"/>
    </row>
    <row r="134" spans="13:59" x14ac:dyDescent="0.4">
      <c r="M134" s="24"/>
      <c r="BG134" s="24"/>
    </row>
    <row r="135" spans="13:59" x14ac:dyDescent="0.4">
      <c r="M135" s="24"/>
      <c r="BG135" s="24"/>
    </row>
    <row r="136" spans="13:59" x14ac:dyDescent="0.4">
      <c r="M136" s="24"/>
      <c r="BG136" s="24"/>
    </row>
    <row r="137" spans="13:59" x14ac:dyDescent="0.4">
      <c r="M137" s="24"/>
      <c r="BG137" s="24"/>
    </row>
    <row r="138" spans="13:59" x14ac:dyDescent="0.4">
      <c r="M138" s="24"/>
      <c r="BG138" s="24"/>
    </row>
    <row r="139" spans="13:59" x14ac:dyDescent="0.4">
      <c r="M139" s="24"/>
      <c r="BG139" s="24"/>
    </row>
    <row r="140" spans="13:59" x14ac:dyDescent="0.4">
      <c r="M140" s="24"/>
      <c r="BG140" s="24"/>
    </row>
    <row r="141" spans="13:59" x14ac:dyDescent="0.4">
      <c r="M141" s="24"/>
      <c r="BG141" s="24"/>
    </row>
    <row r="142" spans="13:59" x14ac:dyDescent="0.4">
      <c r="M142" s="24"/>
      <c r="BG142" s="24"/>
    </row>
    <row r="143" spans="13:59" x14ac:dyDescent="0.4">
      <c r="M143" s="24"/>
      <c r="BG143" s="24"/>
    </row>
    <row r="144" spans="13:59" x14ac:dyDescent="0.4">
      <c r="M144" s="24"/>
      <c r="BG144" s="24"/>
    </row>
    <row r="145" spans="13:59" x14ac:dyDescent="0.4">
      <c r="M145" s="24"/>
      <c r="BG145" s="24"/>
    </row>
    <row r="146" spans="13:59" x14ac:dyDescent="0.4">
      <c r="M146" s="24"/>
      <c r="BG146" s="24"/>
    </row>
    <row r="147" spans="13:59" x14ac:dyDescent="0.4">
      <c r="M147" s="24"/>
      <c r="BG147" s="24"/>
    </row>
    <row r="148" spans="13:59" x14ac:dyDescent="0.4">
      <c r="M148" s="24"/>
      <c r="BG148" s="24"/>
    </row>
    <row r="149" spans="13:59" x14ac:dyDescent="0.4">
      <c r="M149" s="24"/>
      <c r="BG149" s="24"/>
    </row>
    <row r="150" spans="13:59" x14ac:dyDescent="0.4">
      <c r="M150" s="24"/>
      <c r="BG150" s="24"/>
    </row>
    <row r="151" spans="13:59" x14ac:dyDescent="0.4">
      <c r="M151" s="24"/>
      <c r="BG151" s="24"/>
    </row>
    <row r="152" spans="13:59" x14ac:dyDescent="0.4">
      <c r="M152" s="24"/>
      <c r="BG152" s="24"/>
    </row>
    <row r="153" spans="13:59" x14ac:dyDescent="0.4">
      <c r="M153" s="24"/>
      <c r="BG153" s="24"/>
    </row>
    <row r="154" spans="13:59" x14ac:dyDescent="0.4">
      <c r="M154" s="24"/>
      <c r="BG154" s="24"/>
    </row>
    <row r="155" spans="13:59" x14ac:dyDescent="0.4">
      <c r="M155" s="24"/>
      <c r="BG155" s="24"/>
    </row>
    <row r="156" spans="13:59" x14ac:dyDescent="0.4">
      <c r="M156" s="24"/>
      <c r="BG156" s="24"/>
    </row>
    <row r="157" spans="13:59" x14ac:dyDescent="0.4">
      <c r="M157" s="24"/>
      <c r="BG157" s="24"/>
    </row>
    <row r="158" spans="13:59" x14ac:dyDescent="0.4">
      <c r="M158" s="24"/>
      <c r="BG158" s="24"/>
    </row>
    <row r="159" spans="13:59" x14ac:dyDescent="0.4">
      <c r="M159" s="24"/>
      <c r="BG159" s="24"/>
    </row>
    <row r="160" spans="13:59" x14ac:dyDescent="0.4">
      <c r="M160" s="24"/>
      <c r="BG160" s="24"/>
    </row>
    <row r="161" spans="3:59" x14ac:dyDescent="0.4">
      <c r="M161" s="24"/>
      <c r="BG161" s="24"/>
    </row>
    <row r="162" spans="3:59" x14ac:dyDescent="0.4">
      <c r="M162" s="24"/>
      <c r="BG162" s="24"/>
    </row>
    <row r="163" spans="3:59" x14ac:dyDescent="0.4">
      <c r="M163" s="24"/>
      <c r="BG163" s="24"/>
    </row>
    <row r="164" spans="3:59" x14ac:dyDescent="0.4">
      <c r="M164" s="24"/>
      <c r="BG164" s="24"/>
    </row>
    <row r="165" spans="3:59" x14ac:dyDescent="0.4">
      <c r="M165" s="24"/>
      <c r="BG165" s="24"/>
    </row>
    <row r="166" spans="3:59" x14ac:dyDescent="0.4">
      <c r="M166" s="24"/>
      <c r="BG166" s="24"/>
    </row>
    <row r="167" spans="3:59" x14ac:dyDescent="0.4">
      <c r="M167" s="24"/>
      <c r="BG167" s="24"/>
    </row>
    <row r="168" spans="3:59" x14ac:dyDescent="0.4">
      <c r="M168" s="24"/>
      <c r="BG168" s="24"/>
    </row>
    <row r="169" spans="3:59" x14ac:dyDescent="0.4">
      <c r="M169" s="24"/>
      <c r="BG169" s="24"/>
    </row>
    <row r="170" spans="3:59" s="10" customFormat="1" x14ac:dyDescent="0.4">
      <c r="C170" s="90"/>
      <c r="D170" s="90"/>
      <c r="E170" s="90"/>
      <c r="F170" s="90"/>
      <c r="G170" s="90"/>
      <c r="H170" s="90"/>
      <c r="I170" s="90"/>
      <c r="J170" s="90"/>
      <c r="K170" s="90"/>
      <c r="L170" s="90"/>
      <c r="M170" s="24"/>
      <c r="N170" s="90"/>
      <c r="O170" s="90"/>
      <c r="P170" s="90"/>
      <c r="Q170" s="90"/>
      <c r="R170" s="90"/>
      <c r="S170" s="91"/>
      <c r="T170" s="91"/>
      <c r="U170" s="91"/>
      <c r="V170" s="91"/>
      <c r="W170" s="91"/>
      <c r="X170" s="91"/>
      <c r="Y170" s="91"/>
      <c r="Z170" s="91"/>
      <c r="AA170" s="91"/>
      <c r="AB170" s="91"/>
      <c r="AC170" s="91"/>
      <c r="AD170" s="91"/>
      <c r="AE170" s="91"/>
      <c r="AF170" s="91"/>
      <c r="AG170" s="91"/>
      <c r="AH170" s="91"/>
      <c r="AI170" s="91"/>
      <c r="AJ170" s="91"/>
      <c r="AK170" s="91"/>
      <c r="AL170" s="91"/>
      <c r="AM170" s="91"/>
      <c r="AN170" s="91"/>
      <c r="AP170" s="90"/>
      <c r="AQ170" s="90"/>
      <c r="AR170" s="90"/>
      <c r="AS170" s="90"/>
      <c r="AT170" s="90"/>
      <c r="AU170" s="90"/>
      <c r="AV170" s="90"/>
      <c r="AW170" s="90"/>
      <c r="AX170" s="90"/>
      <c r="AY170" s="90"/>
      <c r="AZ170" s="90"/>
      <c r="BA170" s="90"/>
      <c r="BB170" s="90"/>
      <c r="BC170" s="90"/>
      <c r="BD170" s="90"/>
      <c r="BE170" s="90"/>
      <c r="BF170" s="90"/>
      <c r="BG170" s="24"/>
    </row>
    <row r="171" spans="3:59" s="10" customFormat="1" x14ac:dyDescent="0.4">
      <c r="C171" s="90"/>
      <c r="D171" s="90"/>
      <c r="E171" s="90"/>
      <c r="F171" s="90"/>
      <c r="G171" s="90"/>
      <c r="H171" s="90"/>
      <c r="I171" s="90"/>
      <c r="J171" s="90"/>
      <c r="K171" s="90"/>
      <c r="L171" s="90"/>
      <c r="M171" s="24"/>
      <c r="N171" s="90"/>
      <c r="O171" s="90"/>
      <c r="P171" s="90"/>
      <c r="Q171" s="90"/>
      <c r="R171" s="90"/>
      <c r="S171" s="91"/>
      <c r="T171" s="91"/>
      <c r="U171" s="91"/>
      <c r="V171" s="91"/>
      <c r="W171" s="91"/>
      <c r="X171" s="91"/>
      <c r="Y171" s="91"/>
      <c r="Z171" s="91"/>
      <c r="AA171" s="91"/>
      <c r="AB171" s="91"/>
      <c r="AC171" s="91"/>
      <c r="AD171" s="91"/>
      <c r="AE171" s="91"/>
      <c r="AF171" s="91"/>
      <c r="AG171" s="91"/>
      <c r="AH171" s="91"/>
      <c r="AI171" s="91"/>
      <c r="AJ171" s="91"/>
      <c r="AK171" s="91"/>
      <c r="AL171" s="91"/>
      <c r="AM171" s="91"/>
      <c r="AN171" s="91"/>
      <c r="AP171" s="90"/>
      <c r="AQ171" s="90"/>
      <c r="AR171" s="90"/>
      <c r="AS171" s="90"/>
      <c r="AT171" s="90"/>
      <c r="AU171" s="90"/>
      <c r="AV171" s="90"/>
      <c r="AW171" s="90"/>
      <c r="AX171" s="90"/>
      <c r="AY171" s="90"/>
      <c r="AZ171" s="90"/>
      <c r="BA171" s="90"/>
      <c r="BB171" s="90"/>
      <c r="BC171" s="90"/>
      <c r="BD171" s="90"/>
      <c r="BE171" s="90"/>
      <c r="BF171" s="90"/>
      <c r="BG171" s="24"/>
    </row>
    <row r="172" spans="3:59" s="10" customFormat="1" x14ac:dyDescent="0.4">
      <c r="C172" s="90"/>
      <c r="D172" s="90"/>
      <c r="E172" s="90"/>
      <c r="F172" s="90"/>
      <c r="G172" s="90"/>
      <c r="H172" s="90"/>
      <c r="I172" s="90"/>
      <c r="J172" s="90"/>
      <c r="K172" s="90"/>
      <c r="L172" s="90"/>
      <c r="M172" s="24"/>
      <c r="N172" s="90"/>
      <c r="O172" s="90"/>
      <c r="P172" s="90"/>
      <c r="Q172" s="90"/>
      <c r="R172" s="90"/>
      <c r="S172" s="91"/>
      <c r="T172" s="91"/>
      <c r="U172" s="91"/>
      <c r="V172" s="91"/>
      <c r="W172" s="91"/>
      <c r="X172" s="91"/>
      <c r="Y172" s="91"/>
      <c r="Z172" s="91"/>
      <c r="AA172" s="91"/>
      <c r="AB172" s="91"/>
      <c r="AC172" s="91"/>
      <c r="AD172" s="91"/>
      <c r="AE172" s="91"/>
      <c r="AF172" s="91"/>
      <c r="AG172" s="91"/>
      <c r="AH172" s="91"/>
      <c r="AI172" s="91"/>
      <c r="AJ172" s="91"/>
      <c r="AK172" s="91"/>
      <c r="AL172" s="91"/>
      <c r="AM172" s="91"/>
      <c r="AN172" s="91"/>
      <c r="AP172" s="90"/>
      <c r="AQ172" s="90"/>
      <c r="AR172" s="90"/>
      <c r="AS172" s="90"/>
      <c r="AT172" s="90"/>
      <c r="AU172" s="90"/>
      <c r="AV172" s="90"/>
      <c r="AW172" s="90"/>
      <c r="AX172" s="90"/>
      <c r="AY172" s="90"/>
      <c r="AZ172" s="90"/>
      <c r="BA172" s="90"/>
      <c r="BB172" s="90"/>
      <c r="BC172" s="90"/>
      <c r="BD172" s="90"/>
      <c r="BE172" s="90"/>
      <c r="BF172" s="90"/>
      <c r="BG172" s="24"/>
    </row>
    <row r="173" spans="3:59" s="10" customFormat="1" x14ac:dyDescent="0.4">
      <c r="C173" s="90"/>
      <c r="D173" s="90"/>
      <c r="E173" s="90"/>
      <c r="F173" s="90"/>
      <c r="G173" s="90"/>
      <c r="H173" s="90"/>
      <c r="I173" s="90"/>
      <c r="J173" s="90"/>
      <c r="K173" s="90"/>
      <c r="L173" s="90"/>
      <c r="M173" s="24"/>
      <c r="N173" s="90"/>
      <c r="O173" s="90"/>
      <c r="P173" s="90"/>
      <c r="Q173" s="90"/>
      <c r="R173" s="90"/>
      <c r="S173" s="91"/>
      <c r="T173" s="91"/>
      <c r="U173" s="91"/>
      <c r="V173" s="91"/>
      <c r="W173" s="91"/>
      <c r="X173" s="91"/>
      <c r="Y173" s="91"/>
      <c r="Z173" s="91"/>
      <c r="AA173" s="91"/>
      <c r="AB173" s="91"/>
      <c r="AC173" s="91"/>
      <c r="AD173" s="91"/>
      <c r="AE173" s="91"/>
      <c r="AF173" s="91"/>
      <c r="AG173" s="91"/>
      <c r="AH173" s="91"/>
      <c r="AI173" s="91"/>
      <c r="AJ173" s="91"/>
      <c r="AK173" s="91"/>
      <c r="AL173" s="91"/>
      <c r="AM173" s="91"/>
      <c r="AN173" s="91"/>
      <c r="AP173" s="90"/>
      <c r="AQ173" s="90"/>
      <c r="AR173" s="90"/>
      <c r="AS173" s="90"/>
      <c r="AT173" s="90"/>
      <c r="AU173" s="90"/>
      <c r="AV173" s="90"/>
      <c r="AW173" s="90"/>
      <c r="AX173" s="90"/>
      <c r="AY173" s="90"/>
      <c r="AZ173" s="90"/>
      <c r="BA173" s="90"/>
      <c r="BB173" s="90"/>
      <c r="BC173" s="90"/>
      <c r="BD173" s="90"/>
      <c r="BE173" s="90"/>
      <c r="BF173" s="90"/>
      <c r="BG173" s="24"/>
    </row>
    <row r="174" spans="3:59" s="10" customFormat="1" x14ac:dyDescent="0.4">
      <c r="C174" s="90"/>
      <c r="D174" s="90"/>
      <c r="E174" s="90"/>
      <c r="F174" s="90"/>
      <c r="G174" s="90"/>
      <c r="H174" s="90"/>
      <c r="I174" s="90"/>
      <c r="J174" s="90"/>
      <c r="K174" s="90"/>
      <c r="L174" s="90"/>
      <c r="M174" s="24"/>
      <c r="N174" s="90"/>
      <c r="O174" s="90"/>
      <c r="P174" s="90"/>
      <c r="Q174" s="90"/>
      <c r="R174" s="90"/>
      <c r="S174" s="91"/>
      <c r="T174" s="91"/>
      <c r="U174" s="91"/>
      <c r="V174" s="91"/>
      <c r="W174" s="91"/>
      <c r="X174" s="91"/>
      <c r="Y174" s="91"/>
      <c r="Z174" s="91"/>
      <c r="AA174" s="91"/>
      <c r="AB174" s="91"/>
      <c r="AC174" s="91"/>
      <c r="AD174" s="91"/>
      <c r="AE174" s="91"/>
      <c r="AF174" s="91"/>
      <c r="AG174" s="91"/>
      <c r="AH174" s="91"/>
      <c r="AI174" s="91"/>
      <c r="AJ174" s="91"/>
      <c r="AK174" s="91"/>
      <c r="AL174" s="91"/>
      <c r="AM174" s="91"/>
      <c r="AN174" s="91"/>
      <c r="AP174" s="90"/>
      <c r="AQ174" s="90"/>
      <c r="AR174" s="90"/>
      <c r="AS174" s="90"/>
      <c r="AT174" s="90"/>
      <c r="AU174" s="90"/>
      <c r="AV174" s="90"/>
      <c r="AW174" s="90"/>
      <c r="AX174" s="90"/>
      <c r="AY174" s="90"/>
      <c r="AZ174" s="90"/>
      <c r="BA174" s="90"/>
      <c r="BB174" s="90"/>
      <c r="BC174" s="90"/>
      <c r="BD174" s="90"/>
      <c r="BE174" s="90"/>
      <c r="BF174" s="90"/>
      <c r="BG174" s="24"/>
    </row>
    <row r="175" spans="3:59" s="10" customFormat="1" x14ac:dyDescent="0.4">
      <c r="C175" s="90"/>
      <c r="D175" s="90"/>
      <c r="E175" s="90"/>
      <c r="F175" s="90"/>
      <c r="G175" s="90"/>
      <c r="H175" s="90"/>
      <c r="I175" s="90"/>
      <c r="J175" s="90"/>
      <c r="K175" s="90"/>
      <c r="L175" s="90"/>
      <c r="M175" s="24"/>
      <c r="N175" s="90"/>
      <c r="O175" s="90"/>
      <c r="P175" s="90"/>
      <c r="Q175" s="90"/>
      <c r="R175" s="90"/>
      <c r="S175" s="91"/>
      <c r="T175" s="91"/>
      <c r="U175" s="91"/>
      <c r="V175" s="91"/>
      <c r="W175" s="91"/>
      <c r="X175" s="91"/>
      <c r="Y175" s="91"/>
      <c r="Z175" s="91"/>
      <c r="AA175" s="91"/>
      <c r="AB175" s="91"/>
      <c r="AC175" s="91"/>
      <c r="AD175" s="91"/>
      <c r="AE175" s="91"/>
      <c r="AF175" s="91"/>
      <c r="AG175" s="91"/>
      <c r="AH175" s="91"/>
      <c r="AI175" s="91"/>
      <c r="AJ175" s="91"/>
      <c r="AK175" s="91"/>
      <c r="AL175" s="91"/>
      <c r="AM175" s="91"/>
      <c r="AN175" s="91"/>
      <c r="AP175" s="90"/>
      <c r="AQ175" s="90"/>
      <c r="AR175" s="90"/>
      <c r="AS175" s="90"/>
      <c r="AT175" s="90"/>
      <c r="AU175" s="90"/>
      <c r="AV175" s="90"/>
      <c r="AW175" s="90"/>
      <c r="AX175" s="90"/>
      <c r="AY175" s="90"/>
      <c r="AZ175" s="90"/>
      <c r="BA175" s="90"/>
      <c r="BB175" s="90"/>
      <c r="BC175" s="90"/>
      <c r="BD175" s="90"/>
      <c r="BE175" s="90"/>
      <c r="BF175" s="90"/>
      <c r="BG175" s="24"/>
    </row>
    <row r="176" spans="3:59" s="10" customFormat="1" x14ac:dyDescent="0.4">
      <c r="C176" s="90"/>
      <c r="D176" s="90"/>
      <c r="E176" s="90"/>
      <c r="F176" s="90"/>
      <c r="G176" s="90"/>
      <c r="H176" s="90"/>
      <c r="I176" s="90"/>
      <c r="J176" s="90"/>
      <c r="K176" s="90"/>
      <c r="L176" s="90"/>
      <c r="M176" s="24"/>
      <c r="N176" s="90"/>
      <c r="O176" s="90"/>
      <c r="P176" s="90"/>
      <c r="Q176" s="90"/>
      <c r="R176" s="90"/>
      <c r="S176" s="91"/>
      <c r="T176" s="91"/>
      <c r="U176" s="91"/>
      <c r="V176" s="91"/>
      <c r="W176" s="91"/>
      <c r="X176" s="91"/>
      <c r="Y176" s="91"/>
      <c r="Z176" s="91"/>
      <c r="AA176" s="91"/>
      <c r="AB176" s="91"/>
      <c r="AC176" s="91"/>
      <c r="AD176" s="91"/>
      <c r="AE176" s="91"/>
      <c r="AF176" s="91"/>
      <c r="AG176" s="91"/>
      <c r="AH176" s="91"/>
      <c r="AI176" s="91"/>
      <c r="AJ176" s="91"/>
      <c r="AK176" s="91"/>
      <c r="AL176" s="91"/>
      <c r="AM176" s="91"/>
      <c r="AN176" s="91"/>
      <c r="AP176" s="90"/>
      <c r="AQ176" s="90"/>
      <c r="AR176" s="90"/>
      <c r="AS176" s="90"/>
      <c r="AT176" s="90"/>
      <c r="AU176" s="90"/>
      <c r="AV176" s="90"/>
      <c r="AW176" s="90"/>
      <c r="AX176" s="90"/>
      <c r="AY176" s="90"/>
      <c r="AZ176" s="90"/>
      <c r="BA176" s="90"/>
      <c r="BB176" s="90"/>
      <c r="BC176" s="90"/>
      <c r="BD176" s="90"/>
      <c r="BE176" s="90"/>
      <c r="BF176" s="90"/>
      <c r="BG176" s="24"/>
    </row>
    <row r="177" spans="3:59" s="10" customFormat="1" x14ac:dyDescent="0.4">
      <c r="C177" s="90"/>
      <c r="D177" s="90"/>
      <c r="E177" s="90"/>
      <c r="F177" s="90"/>
      <c r="G177" s="90"/>
      <c r="H177" s="90"/>
      <c r="I177" s="90"/>
      <c r="J177" s="90"/>
      <c r="K177" s="90"/>
      <c r="L177" s="90"/>
      <c r="M177" s="24"/>
      <c r="N177" s="90"/>
      <c r="O177" s="90"/>
      <c r="P177" s="90"/>
      <c r="Q177" s="90"/>
      <c r="R177" s="90"/>
      <c r="S177" s="91"/>
      <c r="T177" s="91"/>
      <c r="U177" s="91"/>
      <c r="V177" s="91"/>
      <c r="W177" s="91"/>
      <c r="X177" s="91"/>
      <c r="Y177" s="91"/>
      <c r="Z177" s="91"/>
      <c r="AA177" s="91"/>
      <c r="AB177" s="91"/>
      <c r="AC177" s="91"/>
      <c r="AD177" s="91"/>
      <c r="AE177" s="91"/>
      <c r="AF177" s="91"/>
      <c r="AG177" s="91"/>
      <c r="AH177" s="91"/>
      <c r="AI177" s="91"/>
      <c r="AJ177" s="91"/>
      <c r="AK177" s="91"/>
      <c r="AL177" s="91"/>
      <c r="AM177" s="91"/>
      <c r="AN177" s="91"/>
      <c r="AP177" s="90"/>
      <c r="AQ177" s="90"/>
      <c r="AR177" s="90"/>
      <c r="AS177" s="90"/>
      <c r="AT177" s="90"/>
      <c r="AU177" s="90"/>
      <c r="AV177" s="90"/>
      <c r="AW177" s="90"/>
      <c r="AX177" s="90"/>
      <c r="AY177" s="90"/>
      <c r="AZ177" s="90"/>
      <c r="BA177" s="90"/>
      <c r="BB177" s="90"/>
      <c r="BC177" s="90"/>
      <c r="BD177" s="90"/>
      <c r="BE177" s="90"/>
      <c r="BF177" s="90"/>
      <c r="BG177" s="24"/>
    </row>
    <row r="178" spans="3:59" s="10" customFormat="1" x14ac:dyDescent="0.4">
      <c r="C178" s="90"/>
      <c r="D178" s="90"/>
      <c r="E178" s="90"/>
      <c r="F178" s="90"/>
      <c r="G178" s="90"/>
      <c r="H178" s="90"/>
      <c r="I178" s="90"/>
      <c r="J178" s="90"/>
      <c r="K178" s="90"/>
      <c r="L178" s="90"/>
      <c r="M178" s="24"/>
      <c r="N178" s="90"/>
      <c r="O178" s="90"/>
      <c r="P178" s="90"/>
      <c r="Q178" s="90"/>
      <c r="R178" s="90"/>
      <c r="S178" s="91"/>
      <c r="T178" s="91"/>
      <c r="U178" s="91"/>
      <c r="V178" s="91"/>
      <c r="W178" s="91"/>
      <c r="X178" s="91"/>
      <c r="Y178" s="91"/>
      <c r="Z178" s="91"/>
      <c r="AA178" s="91"/>
      <c r="AB178" s="91"/>
      <c r="AC178" s="91"/>
      <c r="AD178" s="91"/>
      <c r="AE178" s="91"/>
      <c r="AF178" s="91"/>
      <c r="AG178" s="91"/>
      <c r="AH178" s="91"/>
      <c r="AI178" s="91"/>
      <c r="AJ178" s="91"/>
      <c r="AK178" s="91"/>
      <c r="AL178" s="91"/>
      <c r="AM178" s="91"/>
      <c r="AN178" s="91"/>
      <c r="AP178" s="90"/>
      <c r="AQ178" s="90"/>
      <c r="AR178" s="90"/>
      <c r="AS178" s="90"/>
      <c r="AT178" s="90"/>
      <c r="AU178" s="90"/>
      <c r="AV178" s="90"/>
      <c r="AW178" s="90"/>
      <c r="AX178" s="90"/>
      <c r="AY178" s="90"/>
      <c r="AZ178" s="90"/>
      <c r="BA178" s="90"/>
      <c r="BB178" s="90"/>
      <c r="BC178" s="90"/>
      <c r="BD178" s="90"/>
      <c r="BE178" s="90"/>
      <c r="BF178" s="90"/>
      <c r="BG178" s="24"/>
    </row>
    <row r="179" spans="3:59" s="10" customFormat="1" x14ac:dyDescent="0.4">
      <c r="C179" s="90"/>
      <c r="D179" s="90"/>
      <c r="E179" s="90"/>
      <c r="F179" s="90"/>
      <c r="G179" s="90"/>
      <c r="H179" s="90"/>
      <c r="I179" s="90"/>
      <c r="J179" s="90"/>
      <c r="K179" s="90"/>
      <c r="L179" s="90"/>
      <c r="M179" s="24"/>
      <c r="N179" s="90"/>
      <c r="O179" s="90"/>
      <c r="P179" s="90"/>
      <c r="Q179" s="90"/>
      <c r="R179" s="90"/>
      <c r="S179" s="91"/>
      <c r="T179" s="91"/>
      <c r="U179" s="91"/>
      <c r="V179" s="91"/>
      <c r="W179" s="91"/>
      <c r="X179" s="91"/>
      <c r="Y179" s="91"/>
      <c r="Z179" s="91"/>
      <c r="AA179" s="91"/>
      <c r="AB179" s="91"/>
      <c r="AC179" s="91"/>
      <c r="AD179" s="91"/>
      <c r="AE179" s="91"/>
      <c r="AF179" s="91"/>
      <c r="AG179" s="91"/>
      <c r="AH179" s="91"/>
      <c r="AI179" s="91"/>
      <c r="AJ179" s="91"/>
      <c r="AK179" s="91"/>
      <c r="AL179" s="91"/>
      <c r="AM179" s="91"/>
      <c r="AN179" s="91"/>
      <c r="AP179" s="90"/>
      <c r="AQ179" s="90"/>
      <c r="AR179" s="90"/>
      <c r="AS179" s="90"/>
      <c r="AT179" s="90"/>
      <c r="AU179" s="90"/>
      <c r="AV179" s="90"/>
      <c r="AW179" s="90"/>
      <c r="AX179" s="90"/>
      <c r="AY179" s="90"/>
      <c r="AZ179" s="90"/>
      <c r="BA179" s="90"/>
      <c r="BB179" s="90"/>
      <c r="BC179" s="90"/>
      <c r="BD179" s="90"/>
      <c r="BE179" s="90"/>
      <c r="BF179" s="90"/>
      <c r="BG179" s="24"/>
    </row>
    <row r="180" spans="3:59" s="10" customFormat="1" x14ac:dyDescent="0.4">
      <c r="C180" s="90"/>
      <c r="D180" s="90"/>
      <c r="E180" s="90"/>
      <c r="F180" s="90"/>
      <c r="G180" s="90"/>
      <c r="H180" s="90"/>
      <c r="I180" s="90"/>
      <c r="J180" s="90"/>
      <c r="K180" s="90"/>
      <c r="L180" s="90"/>
      <c r="M180" s="24"/>
      <c r="N180" s="90"/>
      <c r="O180" s="90"/>
      <c r="P180" s="90"/>
      <c r="Q180" s="90"/>
      <c r="R180" s="90"/>
      <c r="S180" s="91"/>
      <c r="T180" s="91"/>
      <c r="U180" s="91"/>
      <c r="V180" s="91"/>
      <c r="W180" s="91"/>
      <c r="X180" s="91"/>
      <c r="Y180" s="91"/>
      <c r="Z180" s="91"/>
      <c r="AA180" s="91"/>
      <c r="AB180" s="91"/>
      <c r="AC180" s="91"/>
      <c r="AD180" s="91"/>
      <c r="AE180" s="91"/>
      <c r="AF180" s="91"/>
      <c r="AG180" s="91"/>
      <c r="AH180" s="91"/>
      <c r="AI180" s="91"/>
      <c r="AJ180" s="91"/>
      <c r="AK180" s="91"/>
      <c r="AL180" s="91"/>
      <c r="AM180" s="91"/>
      <c r="AN180" s="91"/>
      <c r="AP180" s="90"/>
      <c r="AQ180" s="90"/>
      <c r="AR180" s="90"/>
      <c r="AS180" s="90"/>
      <c r="AT180" s="90"/>
      <c r="AU180" s="90"/>
      <c r="AV180" s="90"/>
      <c r="AW180" s="90"/>
      <c r="AX180" s="90"/>
      <c r="AY180" s="90"/>
      <c r="AZ180" s="90"/>
      <c r="BA180" s="90"/>
      <c r="BB180" s="90"/>
      <c r="BC180" s="90"/>
      <c r="BD180" s="90"/>
      <c r="BE180" s="90"/>
      <c r="BF180" s="90"/>
      <c r="BG180" s="24"/>
    </row>
    <row r="181" spans="3:59" s="10" customFormat="1" x14ac:dyDescent="0.4">
      <c r="C181" s="90"/>
      <c r="D181" s="90"/>
      <c r="E181" s="90"/>
      <c r="F181" s="90"/>
      <c r="G181" s="90"/>
      <c r="H181" s="90"/>
      <c r="I181" s="90"/>
      <c r="J181" s="90"/>
      <c r="K181" s="90"/>
      <c r="L181" s="90"/>
      <c r="M181" s="24"/>
      <c r="N181" s="90"/>
      <c r="O181" s="90"/>
      <c r="P181" s="90"/>
      <c r="Q181" s="90"/>
      <c r="R181" s="90"/>
      <c r="S181" s="91"/>
      <c r="T181" s="91"/>
      <c r="U181" s="91"/>
      <c r="V181" s="91"/>
      <c r="W181" s="91"/>
      <c r="X181" s="91"/>
      <c r="Y181" s="91"/>
      <c r="Z181" s="91"/>
      <c r="AA181" s="91"/>
      <c r="AB181" s="91"/>
      <c r="AC181" s="91"/>
      <c r="AD181" s="91"/>
      <c r="AE181" s="91"/>
      <c r="AF181" s="91"/>
      <c r="AG181" s="91"/>
      <c r="AH181" s="91"/>
      <c r="AI181" s="91"/>
      <c r="AJ181" s="91"/>
      <c r="AK181" s="91"/>
      <c r="AL181" s="91"/>
      <c r="AM181" s="91"/>
      <c r="AN181" s="91"/>
      <c r="AP181" s="90"/>
      <c r="AQ181" s="90"/>
      <c r="AR181" s="90"/>
      <c r="AS181" s="90"/>
      <c r="AT181" s="90"/>
      <c r="AU181" s="90"/>
      <c r="AV181" s="90"/>
      <c r="AW181" s="90"/>
      <c r="AX181" s="90"/>
      <c r="AY181" s="90"/>
      <c r="AZ181" s="90"/>
      <c r="BA181" s="90"/>
      <c r="BB181" s="90"/>
      <c r="BC181" s="90"/>
      <c r="BD181" s="90"/>
      <c r="BE181" s="90"/>
      <c r="BF181" s="90"/>
      <c r="BG181" s="24"/>
    </row>
    <row r="182" spans="3:59" s="10" customFormat="1" x14ac:dyDescent="0.4">
      <c r="C182" s="90"/>
      <c r="D182" s="90"/>
      <c r="E182" s="90"/>
      <c r="F182" s="90"/>
      <c r="G182" s="90"/>
      <c r="H182" s="90"/>
      <c r="I182" s="90"/>
      <c r="J182" s="90"/>
      <c r="K182" s="90"/>
      <c r="L182" s="90"/>
      <c r="M182" s="24"/>
      <c r="N182" s="90"/>
      <c r="O182" s="90"/>
      <c r="P182" s="90"/>
      <c r="Q182" s="90"/>
      <c r="R182" s="90"/>
      <c r="S182" s="91"/>
      <c r="T182" s="91"/>
      <c r="U182" s="91"/>
      <c r="V182" s="91"/>
      <c r="W182" s="91"/>
      <c r="X182" s="91"/>
      <c r="Y182" s="91"/>
      <c r="Z182" s="91"/>
      <c r="AA182" s="91"/>
      <c r="AB182" s="91"/>
      <c r="AC182" s="91"/>
      <c r="AD182" s="91"/>
      <c r="AE182" s="91"/>
      <c r="AF182" s="91"/>
      <c r="AG182" s="91"/>
      <c r="AH182" s="91"/>
      <c r="AI182" s="91"/>
      <c r="AJ182" s="91"/>
      <c r="AK182" s="91"/>
      <c r="AL182" s="91"/>
      <c r="AM182" s="91"/>
      <c r="AN182" s="91"/>
      <c r="AP182" s="90"/>
      <c r="AQ182" s="90"/>
      <c r="AR182" s="90"/>
      <c r="AS182" s="90"/>
      <c r="AT182" s="90"/>
      <c r="AU182" s="90"/>
      <c r="AV182" s="90"/>
      <c r="AW182" s="90"/>
      <c r="AX182" s="90"/>
      <c r="AY182" s="90"/>
      <c r="AZ182" s="90"/>
      <c r="BA182" s="90"/>
      <c r="BB182" s="90"/>
      <c r="BC182" s="90"/>
      <c r="BD182" s="90"/>
      <c r="BE182" s="90"/>
      <c r="BF182" s="90"/>
      <c r="BG182" s="24"/>
    </row>
    <row r="183" spans="3:59" s="10" customFormat="1" x14ac:dyDescent="0.4">
      <c r="C183" s="90"/>
      <c r="D183" s="90"/>
      <c r="E183" s="90"/>
      <c r="F183" s="90"/>
      <c r="G183" s="90"/>
      <c r="H183" s="90"/>
      <c r="I183" s="90"/>
      <c r="J183" s="90"/>
      <c r="K183" s="90"/>
      <c r="L183" s="90"/>
      <c r="M183" s="24"/>
      <c r="N183" s="90"/>
      <c r="O183" s="90"/>
      <c r="P183" s="90"/>
      <c r="Q183" s="90"/>
      <c r="R183" s="90"/>
      <c r="S183" s="91"/>
      <c r="T183" s="91"/>
      <c r="U183" s="91"/>
      <c r="V183" s="91"/>
      <c r="W183" s="91"/>
      <c r="X183" s="91"/>
      <c r="Y183" s="91"/>
      <c r="Z183" s="91"/>
      <c r="AA183" s="91"/>
      <c r="AB183" s="91"/>
      <c r="AC183" s="91"/>
      <c r="AD183" s="91"/>
      <c r="AE183" s="91"/>
      <c r="AF183" s="91"/>
      <c r="AG183" s="91"/>
      <c r="AH183" s="91"/>
      <c r="AI183" s="91"/>
      <c r="AJ183" s="91"/>
      <c r="AK183" s="91"/>
      <c r="AL183" s="91"/>
      <c r="AM183" s="91"/>
      <c r="AN183" s="91"/>
      <c r="AP183" s="90"/>
      <c r="AQ183" s="90"/>
      <c r="AR183" s="90"/>
      <c r="AS183" s="90"/>
      <c r="AT183" s="90"/>
      <c r="AU183" s="90"/>
      <c r="AV183" s="90"/>
      <c r="AW183" s="90"/>
      <c r="AX183" s="90"/>
      <c r="AY183" s="90"/>
      <c r="AZ183" s="90"/>
      <c r="BA183" s="90"/>
      <c r="BB183" s="90"/>
      <c r="BC183" s="90"/>
      <c r="BD183" s="90"/>
      <c r="BE183" s="90"/>
      <c r="BF183" s="90"/>
      <c r="BG183" s="24"/>
    </row>
    <row r="184" spans="3:59" s="10" customFormat="1" x14ac:dyDescent="0.4"/>
    <row r="185" spans="3:59" s="10" customFormat="1" x14ac:dyDescent="0.4">
      <c r="C185" s="90"/>
      <c r="D185" s="90"/>
      <c r="E185" s="90"/>
      <c r="F185" s="90"/>
      <c r="G185" s="90"/>
      <c r="H185" s="90"/>
      <c r="I185" s="90"/>
      <c r="J185" s="90"/>
      <c r="K185" s="90"/>
      <c r="L185" s="90"/>
      <c r="M185" s="104"/>
      <c r="N185" s="90"/>
      <c r="O185" s="90"/>
      <c r="P185" s="90"/>
      <c r="Q185" s="90"/>
      <c r="R185" s="90"/>
      <c r="S185" s="91"/>
      <c r="T185" s="91"/>
      <c r="U185" s="91"/>
      <c r="V185" s="91"/>
      <c r="W185" s="91"/>
      <c r="X185" s="91"/>
      <c r="Y185" s="91"/>
      <c r="Z185" s="91"/>
      <c r="AA185" s="91"/>
      <c r="AB185" s="91"/>
      <c r="AC185" s="91"/>
      <c r="AD185" s="91"/>
      <c r="AE185" s="91"/>
      <c r="AF185" s="91"/>
      <c r="AG185" s="91"/>
      <c r="AH185" s="91"/>
      <c r="AI185" s="91"/>
      <c r="AJ185" s="91"/>
      <c r="AK185" s="91"/>
      <c r="AL185" s="91"/>
      <c r="AM185" s="91"/>
      <c r="AN185" s="91"/>
      <c r="AP185" s="90"/>
      <c r="AQ185" s="90"/>
      <c r="AR185" s="90"/>
      <c r="AS185" s="90"/>
      <c r="AT185" s="90"/>
      <c r="AU185" s="90"/>
      <c r="AV185" s="90"/>
      <c r="AW185" s="90"/>
      <c r="AX185" s="90"/>
      <c r="AY185" s="90"/>
      <c r="AZ185" s="90"/>
      <c r="BA185" s="90"/>
      <c r="BB185" s="90"/>
      <c r="BC185" s="90"/>
      <c r="BD185" s="90"/>
      <c r="BE185" s="90"/>
      <c r="BF185" s="90"/>
    </row>
    <row r="186" spans="3:59" s="10" customFormat="1" x14ac:dyDescent="0.4">
      <c r="C186" s="90"/>
      <c r="D186" s="90"/>
      <c r="E186" s="90"/>
      <c r="F186" s="90"/>
      <c r="G186" s="90"/>
      <c r="H186" s="90"/>
      <c r="I186" s="90"/>
      <c r="J186" s="90"/>
      <c r="K186" s="90"/>
      <c r="L186" s="90"/>
      <c r="M186" s="104"/>
      <c r="N186" s="90"/>
      <c r="O186" s="90"/>
      <c r="P186" s="90"/>
      <c r="Q186" s="90"/>
      <c r="R186" s="90"/>
      <c r="S186" s="91"/>
      <c r="T186" s="91"/>
      <c r="U186" s="91"/>
      <c r="V186" s="91"/>
      <c r="W186" s="91"/>
      <c r="X186" s="91"/>
      <c r="Y186" s="91"/>
      <c r="Z186" s="91"/>
      <c r="AA186" s="91"/>
      <c r="AB186" s="91"/>
      <c r="AC186" s="91"/>
      <c r="AD186" s="91"/>
      <c r="AE186" s="91"/>
      <c r="AF186" s="91"/>
      <c r="AG186" s="91"/>
      <c r="AH186" s="91"/>
      <c r="AI186" s="91"/>
      <c r="AJ186" s="91"/>
      <c r="AK186" s="91"/>
      <c r="AL186" s="91"/>
      <c r="AM186" s="91"/>
      <c r="AN186" s="91"/>
      <c r="AP186" s="90"/>
      <c r="AQ186" s="90"/>
      <c r="AR186" s="90"/>
      <c r="AS186" s="90"/>
      <c r="AT186" s="90"/>
      <c r="AU186" s="90"/>
      <c r="AV186" s="90"/>
      <c r="AW186" s="90"/>
      <c r="AX186" s="90"/>
      <c r="AY186" s="90"/>
      <c r="AZ186" s="90"/>
      <c r="BA186" s="90"/>
      <c r="BB186" s="90"/>
      <c r="BC186" s="90"/>
      <c r="BD186" s="90"/>
      <c r="BE186" s="90"/>
      <c r="BF186" s="90"/>
    </row>
    <row r="187" spans="3:59" s="10" customFormat="1" x14ac:dyDescent="0.4">
      <c r="C187" s="90"/>
      <c r="D187" s="90"/>
      <c r="E187" s="90"/>
      <c r="F187" s="90"/>
      <c r="G187" s="90"/>
      <c r="H187" s="90"/>
      <c r="I187" s="90"/>
      <c r="J187" s="90"/>
      <c r="K187" s="90"/>
      <c r="L187" s="90"/>
      <c r="M187" s="104"/>
      <c r="N187" s="90"/>
      <c r="O187" s="90"/>
      <c r="P187" s="90"/>
      <c r="Q187" s="90"/>
      <c r="R187" s="90"/>
      <c r="S187" s="91"/>
      <c r="T187" s="91"/>
      <c r="U187" s="91"/>
      <c r="V187" s="91"/>
      <c r="W187" s="91"/>
      <c r="X187" s="91"/>
      <c r="Y187" s="91"/>
      <c r="Z187" s="91"/>
      <c r="AA187" s="91"/>
      <c r="AB187" s="91"/>
      <c r="AC187" s="91"/>
      <c r="AD187" s="91"/>
      <c r="AE187" s="91"/>
      <c r="AF187" s="91"/>
      <c r="AG187" s="91"/>
      <c r="AH187" s="91"/>
      <c r="AI187" s="91"/>
      <c r="AJ187" s="91"/>
      <c r="AK187" s="91"/>
      <c r="AL187" s="91"/>
      <c r="AM187" s="91"/>
      <c r="AN187" s="91"/>
      <c r="AP187" s="90"/>
      <c r="AQ187" s="90"/>
      <c r="AR187" s="90"/>
      <c r="AS187" s="90"/>
      <c r="AT187" s="90"/>
      <c r="AU187" s="90"/>
      <c r="AV187" s="90"/>
      <c r="AW187" s="90"/>
      <c r="AX187" s="90"/>
      <c r="AY187" s="90"/>
      <c r="AZ187" s="90"/>
      <c r="BA187" s="90"/>
      <c r="BB187" s="90"/>
      <c r="BC187" s="90"/>
      <c r="BD187" s="90"/>
      <c r="BE187" s="90"/>
      <c r="BF187" s="90"/>
    </row>
    <row r="188" spans="3:59" s="10" customFormat="1" x14ac:dyDescent="0.4">
      <c r="C188" s="90"/>
      <c r="D188" s="90"/>
      <c r="E188" s="90"/>
      <c r="F188" s="90"/>
      <c r="G188" s="90"/>
      <c r="H188" s="90"/>
      <c r="I188" s="90"/>
      <c r="J188" s="90"/>
      <c r="K188" s="90"/>
      <c r="L188" s="90"/>
      <c r="M188" s="104"/>
      <c r="N188" s="90"/>
      <c r="O188" s="90"/>
      <c r="P188" s="90"/>
      <c r="Q188" s="90"/>
      <c r="R188" s="90"/>
      <c r="S188" s="91"/>
      <c r="T188" s="91"/>
      <c r="U188" s="91"/>
      <c r="V188" s="91"/>
      <c r="W188" s="91"/>
      <c r="X188" s="91"/>
      <c r="Y188" s="91"/>
      <c r="Z188" s="91"/>
      <c r="AA188" s="91"/>
      <c r="AB188" s="91"/>
      <c r="AC188" s="91"/>
      <c r="AD188" s="91"/>
      <c r="AE188" s="91"/>
      <c r="AF188" s="91"/>
      <c r="AG188" s="91"/>
      <c r="AH188" s="91"/>
      <c r="AI188" s="91"/>
      <c r="AJ188" s="91"/>
      <c r="AK188" s="91"/>
      <c r="AL188" s="91"/>
      <c r="AM188" s="91"/>
      <c r="AN188" s="91"/>
      <c r="AP188" s="90"/>
      <c r="AQ188" s="90"/>
      <c r="AR188" s="90"/>
      <c r="AS188" s="90"/>
      <c r="AT188" s="90"/>
      <c r="AU188" s="90"/>
      <c r="AV188" s="90"/>
      <c r="AW188" s="90"/>
      <c r="AX188" s="90"/>
      <c r="AY188" s="90"/>
      <c r="AZ188" s="90"/>
      <c r="BA188" s="90"/>
      <c r="BB188" s="90"/>
      <c r="BC188" s="90"/>
      <c r="BD188" s="90"/>
      <c r="BE188" s="90"/>
      <c r="BF188" s="90"/>
    </row>
    <row r="189" spans="3:59" s="10" customFormat="1" x14ac:dyDescent="0.4">
      <c r="C189" s="90"/>
      <c r="D189" s="90"/>
      <c r="E189" s="90"/>
      <c r="F189" s="90"/>
      <c r="G189" s="90"/>
      <c r="H189" s="90"/>
      <c r="I189" s="90"/>
      <c r="J189" s="90"/>
      <c r="K189" s="90"/>
      <c r="L189" s="90"/>
      <c r="M189" s="104"/>
      <c r="N189" s="90"/>
      <c r="O189" s="90"/>
      <c r="P189" s="90"/>
      <c r="Q189" s="90"/>
      <c r="R189" s="90"/>
      <c r="S189" s="91"/>
      <c r="T189" s="91"/>
      <c r="U189" s="91"/>
      <c r="V189" s="91"/>
      <c r="W189" s="91"/>
      <c r="X189" s="91"/>
      <c r="Y189" s="91"/>
      <c r="Z189" s="91"/>
      <c r="AA189" s="91"/>
      <c r="AB189" s="91"/>
      <c r="AC189" s="91"/>
      <c r="AD189" s="91"/>
      <c r="AE189" s="91"/>
      <c r="AF189" s="91"/>
      <c r="AG189" s="91"/>
      <c r="AH189" s="91"/>
      <c r="AI189" s="91"/>
      <c r="AJ189" s="91"/>
      <c r="AK189" s="91"/>
      <c r="AL189" s="91"/>
      <c r="AM189" s="91"/>
      <c r="AN189" s="91"/>
      <c r="AP189" s="90"/>
      <c r="AQ189" s="90"/>
      <c r="AR189" s="90"/>
      <c r="AS189" s="90"/>
      <c r="AT189" s="90"/>
      <c r="AU189" s="90"/>
      <c r="AV189" s="90"/>
      <c r="AW189" s="90"/>
      <c r="AX189" s="90"/>
      <c r="AY189" s="90"/>
      <c r="AZ189" s="90"/>
      <c r="BA189" s="90"/>
      <c r="BB189" s="90"/>
      <c r="BC189" s="90"/>
      <c r="BD189" s="90"/>
      <c r="BE189" s="90"/>
      <c r="BF189" s="90"/>
    </row>
    <row r="190" spans="3:59" s="10" customFormat="1" x14ac:dyDescent="0.4">
      <c r="C190" s="90"/>
      <c r="D190" s="90"/>
      <c r="E190" s="90"/>
      <c r="F190" s="90"/>
      <c r="G190" s="90"/>
      <c r="H190" s="90"/>
      <c r="I190" s="90"/>
      <c r="J190" s="90"/>
      <c r="K190" s="90"/>
      <c r="L190" s="90"/>
      <c r="M190" s="104"/>
      <c r="N190" s="90"/>
      <c r="O190" s="90"/>
      <c r="P190" s="90"/>
      <c r="Q190" s="90"/>
      <c r="R190" s="90"/>
      <c r="S190" s="91"/>
      <c r="T190" s="91"/>
      <c r="U190" s="91"/>
      <c r="V190" s="91"/>
      <c r="W190" s="91"/>
      <c r="X190" s="91"/>
      <c r="Y190" s="91"/>
      <c r="Z190" s="91"/>
      <c r="AA190" s="91"/>
      <c r="AB190" s="91"/>
      <c r="AC190" s="91"/>
      <c r="AD190" s="91"/>
      <c r="AE190" s="91"/>
      <c r="AF190" s="91"/>
      <c r="AG190" s="91"/>
      <c r="AH190" s="91"/>
      <c r="AI190" s="91"/>
      <c r="AJ190" s="91"/>
      <c r="AK190" s="91"/>
      <c r="AL190" s="91"/>
      <c r="AM190" s="91"/>
      <c r="AN190" s="91"/>
      <c r="AP190" s="90"/>
      <c r="AQ190" s="90"/>
      <c r="AR190" s="90"/>
      <c r="AS190" s="90"/>
      <c r="AT190" s="90"/>
      <c r="AU190" s="90"/>
      <c r="AV190" s="90"/>
      <c r="AW190" s="90"/>
      <c r="AX190" s="90"/>
      <c r="AY190" s="90"/>
      <c r="AZ190" s="90"/>
      <c r="BA190" s="90"/>
      <c r="BB190" s="90"/>
      <c r="BC190" s="90"/>
      <c r="BD190" s="90"/>
      <c r="BE190" s="90"/>
      <c r="BF190" s="90"/>
    </row>
    <row r="191" spans="3:59" s="10" customFormat="1" x14ac:dyDescent="0.4">
      <c r="C191" s="90"/>
      <c r="D191" s="90"/>
      <c r="E191" s="90"/>
      <c r="F191" s="90"/>
      <c r="G191" s="90"/>
      <c r="H191" s="90"/>
      <c r="I191" s="90"/>
      <c r="J191" s="90"/>
      <c r="K191" s="90"/>
      <c r="L191" s="90"/>
      <c r="M191" s="104"/>
      <c r="N191" s="90"/>
      <c r="O191" s="90"/>
      <c r="P191" s="90"/>
      <c r="Q191" s="90"/>
      <c r="R191" s="90"/>
      <c r="S191" s="91"/>
      <c r="T191" s="91"/>
      <c r="U191" s="91"/>
      <c r="V191" s="91"/>
      <c r="W191" s="91"/>
      <c r="X191" s="91"/>
      <c r="Y191" s="91"/>
      <c r="Z191" s="91"/>
      <c r="AA191" s="91"/>
      <c r="AB191" s="91"/>
      <c r="AC191" s="91"/>
      <c r="AD191" s="91"/>
      <c r="AE191" s="91"/>
      <c r="AF191" s="91"/>
      <c r="AG191" s="91"/>
      <c r="AH191" s="91"/>
      <c r="AI191" s="91"/>
      <c r="AJ191" s="91"/>
      <c r="AK191" s="91"/>
      <c r="AL191" s="91"/>
      <c r="AM191" s="91"/>
      <c r="AN191" s="91"/>
      <c r="AP191" s="90"/>
      <c r="AQ191" s="90"/>
      <c r="AR191" s="90"/>
      <c r="AS191" s="90"/>
      <c r="AT191" s="90"/>
      <c r="AU191" s="90"/>
      <c r="AV191" s="90"/>
      <c r="AW191" s="90"/>
      <c r="AX191" s="90"/>
      <c r="AY191" s="90"/>
      <c r="AZ191" s="90"/>
      <c r="BA191" s="90"/>
      <c r="BB191" s="90"/>
      <c r="BC191" s="90"/>
      <c r="BD191" s="90"/>
      <c r="BE191" s="90"/>
      <c r="BF191" s="90"/>
    </row>
    <row r="192" spans="3:59" s="10" customFormat="1" x14ac:dyDescent="0.4">
      <c r="C192" s="90"/>
      <c r="D192" s="90"/>
      <c r="E192" s="90"/>
      <c r="F192" s="90"/>
      <c r="G192" s="90"/>
      <c r="H192" s="90"/>
      <c r="I192" s="90"/>
      <c r="J192" s="90"/>
      <c r="K192" s="90"/>
      <c r="L192" s="90"/>
      <c r="M192" s="104"/>
      <c r="N192" s="90"/>
      <c r="O192" s="90"/>
      <c r="P192" s="90"/>
      <c r="Q192" s="90"/>
      <c r="R192" s="90"/>
      <c r="S192" s="91"/>
      <c r="T192" s="91"/>
      <c r="U192" s="91"/>
      <c r="V192" s="91"/>
      <c r="W192" s="91"/>
      <c r="X192" s="91"/>
      <c r="Y192" s="91"/>
      <c r="Z192" s="91"/>
      <c r="AA192" s="91"/>
      <c r="AB192" s="91"/>
      <c r="AC192" s="91"/>
      <c r="AD192" s="91"/>
      <c r="AE192" s="91"/>
      <c r="AF192" s="91"/>
      <c r="AG192" s="91"/>
      <c r="AH192" s="91"/>
      <c r="AI192" s="91"/>
      <c r="AJ192" s="91"/>
      <c r="AK192" s="91"/>
      <c r="AL192" s="91"/>
      <c r="AM192" s="91"/>
      <c r="AN192" s="91"/>
      <c r="AP192" s="90"/>
      <c r="AQ192" s="90"/>
      <c r="AR192" s="90"/>
      <c r="AS192" s="90"/>
      <c r="AT192" s="90"/>
      <c r="AU192" s="90"/>
      <c r="AV192" s="90"/>
      <c r="AW192" s="90"/>
      <c r="AX192" s="90"/>
      <c r="AY192" s="90"/>
      <c r="AZ192" s="90"/>
      <c r="BA192" s="90"/>
      <c r="BB192" s="90"/>
      <c r="BC192" s="90"/>
      <c r="BD192" s="90"/>
      <c r="BE192" s="90"/>
      <c r="BF192" s="90"/>
    </row>
    <row r="193" spans="3:58" s="10" customFormat="1" x14ac:dyDescent="0.4">
      <c r="C193" s="90"/>
      <c r="D193" s="90"/>
      <c r="E193" s="90"/>
      <c r="F193" s="90"/>
      <c r="G193" s="90"/>
      <c r="H193" s="90"/>
      <c r="I193" s="90"/>
      <c r="J193" s="90"/>
      <c r="K193" s="90"/>
      <c r="L193" s="90"/>
      <c r="M193" s="104"/>
      <c r="N193" s="90"/>
      <c r="O193" s="90"/>
      <c r="P193" s="90"/>
      <c r="Q193" s="90"/>
      <c r="R193" s="90"/>
      <c r="S193" s="91"/>
      <c r="T193" s="91"/>
      <c r="U193" s="91"/>
      <c r="V193" s="91"/>
      <c r="W193" s="91"/>
      <c r="X193" s="91"/>
      <c r="Y193" s="91"/>
      <c r="Z193" s="91"/>
      <c r="AA193" s="91"/>
      <c r="AB193" s="91"/>
      <c r="AC193" s="91"/>
      <c r="AD193" s="91"/>
      <c r="AE193" s="91"/>
      <c r="AF193" s="91"/>
      <c r="AG193" s="91"/>
      <c r="AH193" s="91"/>
      <c r="AI193" s="91"/>
      <c r="AJ193" s="91"/>
      <c r="AK193" s="91"/>
      <c r="AL193" s="91"/>
      <c r="AM193" s="91"/>
      <c r="AN193" s="91"/>
      <c r="AP193" s="90"/>
      <c r="AQ193" s="90"/>
      <c r="AR193" s="90"/>
      <c r="AS193" s="90"/>
      <c r="AT193" s="90"/>
      <c r="AU193" s="90"/>
      <c r="AV193" s="90"/>
      <c r="AW193" s="90"/>
      <c r="AX193" s="90"/>
      <c r="AY193" s="90"/>
      <c r="AZ193" s="90"/>
      <c r="BA193" s="90"/>
      <c r="BB193" s="90"/>
      <c r="BC193" s="90"/>
      <c r="BD193" s="90"/>
      <c r="BE193" s="90"/>
      <c r="BF193" s="90"/>
    </row>
    <row r="194" spans="3:58" s="10" customFormat="1" x14ac:dyDescent="0.4">
      <c r="C194" s="90"/>
      <c r="D194" s="90"/>
      <c r="E194" s="90"/>
      <c r="F194" s="90"/>
      <c r="G194" s="90"/>
      <c r="H194" s="90"/>
      <c r="I194" s="90"/>
      <c r="J194" s="90"/>
      <c r="K194" s="90"/>
      <c r="L194" s="90"/>
      <c r="M194" s="104"/>
      <c r="N194" s="90"/>
      <c r="O194" s="90"/>
      <c r="P194" s="90"/>
      <c r="Q194" s="90"/>
      <c r="R194" s="90"/>
      <c r="S194" s="91"/>
      <c r="T194" s="91"/>
      <c r="U194" s="91"/>
      <c r="V194" s="91"/>
      <c r="W194" s="91"/>
      <c r="X194" s="91"/>
      <c r="Y194" s="91"/>
      <c r="Z194" s="91"/>
      <c r="AA194" s="91"/>
      <c r="AB194" s="91"/>
      <c r="AC194" s="91"/>
      <c r="AD194" s="91"/>
      <c r="AE194" s="91"/>
      <c r="AF194" s="91"/>
      <c r="AG194" s="91"/>
      <c r="AH194" s="91"/>
      <c r="AI194" s="91"/>
      <c r="AJ194" s="91"/>
      <c r="AK194" s="91"/>
      <c r="AL194" s="91"/>
      <c r="AM194" s="91"/>
      <c r="AN194" s="91"/>
      <c r="AP194" s="90"/>
      <c r="AQ194" s="90"/>
      <c r="AR194" s="90"/>
      <c r="AS194" s="90"/>
      <c r="AT194" s="90"/>
      <c r="AU194" s="90"/>
      <c r="AV194" s="90"/>
      <c r="AW194" s="90"/>
      <c r="AX194" s="90"/>
      <c r="AY194" s="90"/>
      <c r="AZ194" s="90"/>
      <c r="BA194" s="90"/>
      <c r="BB194" s="90"/>
      <c r="BC194" s="90"/>
      <c r="BD194" s="90"/>
      <c r="BE194" s="90"/>
      <c r="BF194" s="90"/>
    </row>
    <row r="195" spans="3:58" s="10" customFormat="1" x14ac:dyDescent="0.4">
      <c r="C195" s="90"/>
      <c r="D195" s="90"/>
      <c r="E195" s="90"/>
      <c r="F195" s="90"/>
      <c r="G195" s="90"/>
      <c r="H195" s="90"/>
      <c r="I195" s="90"/>
      <c r="J195" s="90"/>
      <c r="K195" s="90"/>
      <c r="L195" s="90"/>
      <c r="M195" s="104"/>
      <c r="N195" s="90"/>
      <c r="O195" s="90"/>
      <c r="P195" s="90"/>
      <c r="Q195" s="90"/>
      <c r="R195" s="90"/>
      <c r="S195" s="91"/>
      <c r="T195" s="91"/>
      <c r="U195" s="91"/>
      <c r="V195" s="91"/>
      <c r="W195" s="91"/>
      <c r="X195" s="91"/>
      <c r="Y195" s="91"/>
      <c r="Z195" s="91"/>
      <c r="AA195" s="91"/>
      <c r="AB195" s="91"/>
      <c r="AC195" s="91"/>
      <c r="AD195" s="91"/>
      <c r="AE195" s="91"/>
      <c r="AF195" s="91"/>
      <c r="AG195" s="91"/>
      <c r="AH195" s="91"/>
      <c r="AI195" s="91"/>
      <c r="AJ195" s="91"/>
      <c r="AK195" s="91"/>
      <c r="AL195" s="91"/>
      <c r="AM195" s="91"/>
      <c r="AN195" s="91"/>
      <c r="AP195" s="90"/>
      <c r="AQ195" s="90"/>
      <c r="AR195" s="90"/>
      <c r="AS195" s="90"/>
      <c r="AT195" s="90"/>
      <c r="AU195" s="90"/>
      <c r="AV195" s="90"/>
      <c r="AW195" s="90"/>
      <c r="AX195" s="90"/>
      <c r="AY195" s="90"/>
      <c r="AZ195" s="90"/>
      <c r="BA195" s="90"/>
      <c r="BB195" s="90"/>
      <c r="BC195" s="90"/>
      <c r="BD195" s="90"/>
      <c r="BE195" s="90"/>
      <c r="BF195" s="90"/>
    </row>
    <row r="196" spans="3:58" s="10" customFormat="1" x14ac:dyDescent="0.4">
      <c r="C196" s="90"/>
      <c r="D196" s="90"/>
      <c r="E196" s="90"/>
      <c r="F196" s="90"/>
      <c r="G196" s="90"/>
      <c r="H196" s="90"/>
      <c r="I196" s="90"/>
      <c r="J196" s="90"/>
      <c r="K196" s="90"/>
      <c r="L196" s="90"/>
      <c r="M196" s="104"/>
      <c r="N196" s="90"/>
      <c r="O196" s="90"/>
      <c r="P196" s="90"/>
      <c r="Q196" s="90"/>
      <c r="R196" s="90"/>
      <c r="S196" s="91"/>
      <c r="T196" s="91"/>
      <c r="U196" s="91"/>
      <c r="V196" s="91"/>
      <c r="W196" s="91"/>
      <c r="X196" s="91"/>
      <c r="Y196" s="91"/>
      <c r="Z196" s="91"/>
      <c r="AA196" s="91"/>
      <c r="AB196" s="91"/>
      <c r="AC196" s="91"/>
      <c r="AD196" s="91"/>
      <c r="AE196" s="91"/>
      <c r="AF196" s="91"/>
      <c r="AG196" s="91"/>
      <c r="AH196" s="91"/>
      <c r="AI196" s="91"/>
      <c r="AJ196" s="91"/>
      <c r="AK196" s="91"/>
      <c r="AL196" s="91"/>
      <c r="AM196" s="91"/>
      <c r="AN196" s="91"/>
      <c r="AP196" s="90"/>
      <c r="AQ196" s="90"/>
      <c r="AR196" s="90"/>
      <c r="AS196" s="90"/>
      <c r="AT196" s="90"/>
      <c r="AU196" s="90"/>
      <c r="AV196" s="90"/>
      <c r="AW196" s="90"/>
      <c r="AX196" s="90"/>
      <c r="AY196" s="90"/>
      <c r="AZ196" s="90"/>
      <c r="BA196" s="90"/>
      <c r="BB196" s="90"/>
      <c r="BC196" s="90"/>
      <c r="BD196" s="90"/>
      <c r="BE196" s="90"/>
      <c r="BF196" s="90"/>
    </row>
    <row r="197" spans="3:58" s="10" customFormat="1" x14ac:dyDescent="0.4">
      <c r="C197" s="90"/>
      <c r="D197" s="90"/>
      <c r="E197" s="90"/>
      <c r="F197" s="90"/>
      <c r="G197" s="90"/>
      <c r="H197" s="90"/>
      <c r="I197" s="90"/>
      <c r="J197" s="90"/>
      <c r="K197" s="90"/>
      <c r="L197" s="90"/>
      <c r="M197" s="104"/>
      <c r="N197" s="90"/>
      <c r="O197" s="90"/>
      <c r="P197" s="90"/>
      <c r="Q197" s="90"/>
      <c r="R197" s="90"/>
      <c r="S197" s="91"/>
      <c r="T197" s="91"/>
      <c r="U197" s="91"/>
      <c r="V197" s="91"/>
      <c r="W197" s="91"/>
      <c r="X197" s="91"/>
      <c r="Y197" s="91"/>
      <c r="Z197" s="91"/>
      <c r="AA197" s="91"/>
      <c r="AB197" s="91"/>
      <c r="AC197" s="91"/>
      <c r="AD197" s="91"/>
      <c r="AE197" s="91"/>
      <c r="AF197" s="91"/>
      <c r="AG197" s="91"/>
      <c r="AH197" s="91"/>
      <c r="AI197" s="91"/>
      <c r="AJ197" s="91"/>
      <c r="AK197" s="91"/>
      <c r="AL197" s="91"/>
      <c r="AM197" s="91"/>
      <c r="AN197" s="91"/>
      <c r="AP197" s="90"/>
      <c r="AQ197" s="90"/>
      <c r="AR197" s="90"/>
      <c r="AS197" s="90"/>
      <c r="AT197" s="90"/>
      <c r="AU197" s="90"/>
      <c r="AV197" s="90"/>
      <c r="AW197" s="90"/>
      <c r="AX197" s="90"/>
      <c r="AY197" s="90"/>
      <c r="AZ197" s="90"/>
      <c r="BA197" s="90"/>
      <c r="BB197" s="90"/>
      <c r="BC197" s="90"/>
      <c r="BD197" s="90"/>
      <c r="BE197" s="90"/>
      <c r="BF197" s="90"/>
    </row>
    <row r="198" spans="3:58" s="10" customFormat="1" x14ac:dyDescent="0.4">
      <c r="C198" s="90"/>
      <c r="D198" s="90"/>
      <c r="E198" s="90"/>
      <c r="F198" s="90"/>
      <c r="G198" s="90"/>
      <c r="H198" s="90"/>
      <c r="I198" s="90"/>
      <c r="J198" s="90"/>
      <c r="K198" s="90"/>
      <c r="L198" s="90"/>
      <c r="M198" s="104"/>
      <c r="N198" s="90"/>
      <c r="O198" s="90"/>
      <c r="P198" s="90"/>
      <c r="Q198" s="90"/>
      <c r="R198" s="90"/>
      <c r="S198" s="91"/>
      <c r="T198" s="91"/>
      <c r="U198" s="91"/>
      <c r="V198" s="91"/>
      <c r="W198" s="91"/>
      <c r="X198" s="91"/>
      <c r="Y198" s="91"/>
      <c r="Z198" s="91"/>
      <c r="AA198" s="91"/>
      <c r="AB198" s="91"/>
      <c r="AC198" s="91"/>
      <c r="AD198" s="91"/>
      <c r="AE198" s="91"/>
      <c r="AF198" s="91"/>
      <c r="AG198" s="91"/>
      <c r="AH198" s="91"/>
      <c r="AI198" s="91"/>
      <c r="AJ198" s="91"/>
      <c r="AK198" s="91"/>
      <c r="AL198" s="91"/>
      <c r="AM198" s="91"/>
      <c r="AN198" s="91"/>
      <c r="AP198" s="90"/>
      <c r="AQ198" s="90"/>
      <c r="AR198" s="90"/>
      <c r="AS198" s="90"/>
      <c r="AT198" s="90"/>
      <c r="AU198" s="90"/>
      <c r="AV198" s="90"/>
      <c r="AW198" s="90"/>
      <c r="AX198" s="90"/>
      <c r="AY198" s="90"/>
      <c r="AZ198" s="90"/>
      <c r="BA198" s="90"/>
      <c r="BB198" s="90"/>
      <c r="BC198" s="90"/>
      <c r="BD198" s="90"/>
      <c r="BE198" s="90"/>
      <c r="BF198" s="90"/>
    </row>
    <row r="199" spans="3:58" s="10" customFormat="1" x14ac:dyDescent="0.4">
      <c r="C199" s="90"/>
      <c r="D199" s="90"/>
      <c r="E199" s="90"/>
      <c r="F199" s="90"/>
      <c r="G199" s="90"/>
      <c r="H199" s="90"/>
      <c r="I199" s="90"/>
      <c r="J199" s="90"/>
      <c r="K199" s="90"/>
      <c r="L199" s="90"/>
      <c r="M199" s="104"/>
      <c r="N199" s="90"/>
      <c r="O199" s="90"/>
      <c r="P199" s="90"/>
      <c r="Q199" s="90"/>
      <c r="R199" s="90"/>
      <c r="S199" s="91"/>
      <c r="T199" s="91"/>
      <c r="U199" s="91"/>
      <c r="V199" s="91"/>
      <c r="W199" s="91"/>
      <c r="X199" s="91"/>
      <c r="Y199" s="91"/>
      <c r="Z199" s="91"/>
      <c r="AA199" s="91"/>
      <c r="AB199" s="91"/>
      <c r="AC199" s="91"/>
      <c r="AD199" s="91"/>
      <c r="AE199" s="91"/>
      <c r="AF199" s="91"/>
      <c r="AG199" s="91"/>
      <c r="AH199" s="91"/>
      <c r="AI199" s="91"/>
      <c r="AJ199" s="91"/>
      <c r="AK199" s="91"/>
      <c r="AL199" s="91"/>
      <c r="AM199" s="91"/>
      <c r="AN199" s="91"/>
      <c r="AP199" s="90"/>
      <c r="AQ199" s="90"/>
      <c r="AR199" s="90"/>
      <c r="AS199" s="90"/>
      <c r="AT199" s="90"/>
      <c r="AU199" s="90"/>
      <c r="AV199" s="90"/>
      <c r="AW199" s="90"/>
      <c r="AX199" s="90"/>
      <c r="AY199" s="90"/>
      <c r="AZ199" s="90"/>
      <c r="BA199" s="90"/>
      <c r="BB199" s="90"/>
      <c r="BC199" s="90"/>
      <c r="BD199" s="90"/>
      <c r="BE199" s="90"/>
      <c r="BF199" s="90"/>
    </row>
    <row r="200" spans="3:58" s="10" customFormat="1" x14ac:dyDescent="0.4">
      <c r="C200" s="90"/>
      <c r="D200" s="90"/>
      <c r="E200" s="90"/>
      <c r="F200" s="90"/>
      <c r="G200" s="90"/>
      <c r="H200" s="90"/>
      <c r="I200" s="90"/>
      <c r="J200" s="90"/>
      <c r="K200" s="90"/>
      <c r="L200" s="90"/>
      <c r="M200" s="104"/>
      <c r="N200" s="90"/>
      <c r="O200" s="90"/>
      <c r="P200" s="90"/>
      <c r="Q200" s="90"/>
      <c r="R200" s="90"/>
      <c r="S200" s="91"/>
      <c r="T200" s="91"/>
      <c r="U200" s="91"/>
      <c r="V200" s="91"/>
      <c r="W200" s="91"/>
      <c r="X200" s="91"/>
      <c r="Y200" s="91"/>
      <c r="Z200" s="91"/>
      <c r="AA200" s="91"/>
      <c r="AB200" s="91"/>
      <c r="AC200" s="91"/>
      <c r="AD200" s="91"/>
      <c r="AE200" s="91"/>
      <c r="AF200" s="91"/>
      <c r="AG200" s="91"/>
      <c r="AH200" s="91"/>
      <c r="AI200" s="91"/>
      <c r="AJ200" s="91"/>
      <c r="AK200" s="91"/>
      <c r="AL200" s="91"/>
      <c r="AM200" s="91"/>
      <c r="AN200" s="91"/>
      <c r="AP200" s="90"/>
      <c r="AQ200" s="90"/>
      <c r="AR200" s="90"/>
      <c r="AS200" s="90"/>
      <c r="AT200" s="90"/>
      <c r="AU200" s="90"/>
      <c r="AV200" s="90"/>
      <c r="AW200" s="90"/>
      <c r="AX200" s="90"/>
      <c r="AY200" s="90"/>
      <c r="AZ200" s="90"/>
      <c r="BA200" s="90"/>
      <c r="BB200" s="90"/>
      <c r="BC200" s="90"/>
      <c r="BD200" s="90"/>
      <c r="BE200" s="90"/>
      <c r="BF200" s="90"/>
    </row>
    <row r="201" spans="3:58" s="10" customFormat="1" x14ac:dyDescent="0.4">
      <c r="C201" s="90"/>
      <c r="D201" s="90"/>
      <c r="E201" s="90"/>
      <c r="F201" s="90"/>
      <c r="G201" s="90"/>
      <c r="H201" s="90"/>
      <c r="I201" s="90"/>
      <c r="J201" s="90"/>
      <c r="K201" s="90"/>
      <c r="L201" s="90"/>
      <c r="M201" s="104"/>
      <c r="N201" s="90"/>
      <c r="O201" s="90"/>
      <c r="P201" s="90"/>
      <c r="Q201" s="90"/>
      <c r="R201" s="90"/>
      <c r="S201" s="91"/>
      <c r="T201" s="91"/>
      <c r="U201" s="91"/>
      <c r="V201" s="91"/>
      <c r="W201" s="91"/>
      <c r="X201" s="91"/>
      <c r="Y201" s="91"/>
      <c r="Z201" s="91"/>
      <c r="AA201" s="91"/>
      <c r="AB201" s="91"/>
      <c r="AC201" s="91"/>
      <c r="AD201" s="91"/>
      <c r="AE201" s="91"/>
      <c r="AF201" s="91"/>
      <c r="AG201" s="91"/>
      <c r="AH201" s="91"/>
      <c r="AI201" s="91"/>
      <c r="AJ201" s="91"/>
      <c r="AK201" s="91"/>
      <c r="AL201" s="91"/>
      <c r="AM201" s="91"/>
      <c r="AN201" s="91"/>
      <c r="AP201" s="90"/>
      <c r="AQ201" s="90"/>
      <c r="AR201" s="90"/>
      <c r="AS201" s="90"/>
      <c r="AT201" s="90"/>
      <c r="AU201" s="90"/>
      <c r="AV201" s="90"/>
      <c r="AW201" s="90"/>
      <c r="AX201" s="90"/>
      <c r="AY201" s="90"/>
      <c r="AZ201" s="90"/>
      <c r="BA201" s="90"/>
      <c r="BB201" s="90"/>
      <c r="BC201" s="90"/>
      <c r="BD201" s="90"/>
      <c r="BE201" s="90"/>
      <c r="BF201" s="90"/>
    </row>
    <row r="202" spans="3:58" s="10" customFormat="1" x14ac:dyDescent="0.4">
      <c r="C202" s="90"/>
      <c r="D202" s="90"/>
      <c r="E202" s="90"/>
      <c r="F202" s="90"/>
      <c r="G202" s="90"/>
      <c r="H202" s="90"/>
      <c r="I202" s="90"/>
      <c r="J202" s="90"/>
      <c r="K202" s="90"/>
      <c r="L202" s="90"/>
      <c r="M202" s="104"/>
      <c r="N202" s="90"/>
      <c r="O202" s="90"/>
      <c r="P202" s="90"/>
      <c r="Q202" s="90"/>
      <c r="R202" s="90"/>
      <c r="S202" s="91"/>
      <c r="T202" s="91"/>
      <c r="U202" s="91"/>
      <c r="V202" s="91"/>
      <c r="W202" s="91"/>
      <c r="X202" s="91"/>
      <c r="Y202" s="91"/>
      <c r="Z202" s="91"/>
      <c r="AA202" s="91"/>
      <c r="AB202" s="91"/>
      <c r="AC202" s="91"/>
      <c r="AD202" s="91"/>
      <c r="AE202" s="91"/>
      <c r="AF202" s="91"/>
      <c r="AG202" s="91"/>
      <c r="AH202" s="91"/>
      <c r="AI202" s="91"/>
      <c r="AJ202" s="91"/>
      <c r="AK202" s="91"/>
      <c r="AL202" s="91"/>
      <c r="AM202" s="91"/>
      <c r="AN202" s="91"/>
      <c r="AP202" s="90"/>
      <c r="AQ202" s="90"/>
      <c r="AR202" s="90"/>
      <c r="AS202" s="90"/>
      <c r="AT202" s="90"/>
      <c r="AU202" s="90"/>
      <c r="AV202" s="90"/>
      <c r="AW202" s="90"/>
      <c r="AX202" s="90"/>
      <c r="AY202" s="90"/>
      <c r="AZ202" s="90"/>
      <c r="BA202" s="90"/>
      <c r="BB202" s="90"/>
      <c r="BC202" s="90"/>
      <c r="BD202" s="90"/>
      <c r="BE202" s="90"/>
      <c r="BF202" s="90"/>
    </row>
    <row r="203" spans="3:58" s="10" customFormat="1" x14ac:dyDescent="0.4">
      <c r="C203" s="90"/>
      <c r="D203" s="90"/>
      <c r="E203" s="90"/>
      <c r="F203" s="90"/>
      <c r="G203" s="90"/>
      <c r="H203" s="90"/>
      <c r="I203" s="90"/>
      <c r="J203" s="90"/>
      <c r="K203" s="90"/>
      <c r="L203" s="90"/>
      <c r="M203" s="104"/>
      <c r="N203" s="90"/>
      <c r="O203" s="90"/>
      <c r="P203" s="90"/>
      <c r="Q203" s="90"/>
      <c r="R203" s="90"/>
      <c r="S203" s="91"/>
      <c r="T203" s="91"/>
      <c r="U203" s="91"/>
      <c r="V203" s="91"/>
      <c r="W203" s="91"/>
      <c r="X203" s="91"/>
      <c r="Y203" s="91"/>
      <c r="Z203" s="91"/>
      <c r="AA203" s="91"/>
      <c r="AB203" s="91"/>
      <c r="AC203" s="91"/>
      <c r="AD203" s="91"/>
      <c r="AE203" s="91"/>
      <c r="AF203" s="91"/>
      <c r="AG203" s="91"/>
      <c r="AH203" s="91"/>
      <c r="AI203" s="91"/>
      <c r="AJ203" s="91"/>
      <c r="AK203" s="91"/>
      <c r="AL203" s="91"/>
      <c r="AM203" s="91"/>
      <c r="AN203" s="91"/>
      <c r="AP203" s="90"/>
      <c r="AQ203" s="90"/>
      <c r="AR203" s="90"/>
      <c r="AS203" s="90"/>
      <c r="AT203" s="90"/>
      <c r="AU203" s="90"/>
      <c r="AV203" s="90"/>
      <c r="AW203" s="90"/>
      <c r="AX203" s="90"/>
      <c r="AY203" s="90"/>
      <c r="AZ203" s="90"/>
      <c r="BA203" s="90"/>
      <c r="BB203" s="90"/>
      <c r="BC203" s="90"/>
      <c r="BD203" s="90"/>
      <c r="BE203" s="90"/>
      <c r="BF203" s="90"/>
    </row>
    <row r="204" spans="3:58" s="10" customFormat="1" x14ac:dyDescent="0.4">
      <c r="C204" s="90"/>
      <c r="D204" s="90"/>
      <c r="E204" s="90"/>
      <c r="F204" s="90"/>
      <c r="G204" s="90"/>
      <c r="H204" s="90"/>
      <c r="I204" s="90"/>
      <c r="J204" s="90"/>
      <c r="K204" s="90"/>
      <c r="L204" s="90"/>
      <c r="M204" s="104"/>
      <c r="N204" s="90"/>
      <c r="O204" s="90"/>
      <c r="P204" s="90"/>
      <c r="Q204" s="90"/>
      <c r="R204" s="90"/>
      <c r="S204" s="91"/>
      <c r="T204" s="91"/>
      <c r="U204" s="91"/>
      <c r="V204" s="91"/>
      <c r="W204" s="91"/>
      <c r="X204" s="91"/>
      <c r="Y204" s="91"/>
      <c r="Z204" s="91"/>
      <c r="AA204" s="91"/>
      <c r="AB204" s="91"/>
      <c r="AC204" s="91"/>
      <c r="AD204" s="91"/>
      <c r="AE204" s="91"/>
      <c r="AF204" s="91"/>
      <c r="AG204" s="91"/>
      <c r="AH204" s="91"/>
      <c r="AI204" s="91"/>
      <c r="AJ204" s="91"/>
      <c r="AK204" s="91"/>
      <c r="AL204" s="91"/>
      <c r="AM204" s="91"/>
      <c r="AN204" s="91"/>
      <c r="AP204" s="90"/>
      <c r="AQ204" s="90"/>
      <c r="AR204" s="90"/>
      <c r="AS204" s="90"/>
      <c r="AT204" s="90"/>
      <c r="AU204" s="90"/>
      <c r="AV204" s="90"/>
      <c r="AW204" s="90"/>
      <c r="AX204" s="90"/>
      <c r="AY204" s="90"/>
      <c r="AZ204" s="90"/>
      <c r="BA204" s="90"/>
      <c r="BB204" s="90"/>
      <c r="BC204" s="90"/>
      <c r="BD204" s="90"/>
      <c r="BE204" s="90"/>
      <c r="BF204" s="90"/>
    </row>
    <row r="205" spans="3:58" s="10" customFormat="1" x14ac:dyDescent="0.4">
      <c r="C205" s="90"/>
      <c r="D205" s="90"/>
      <c r="E205" s="90"/>
      <c r="F205" s="90"/>
      <c r="G205" s="90"/>
      <c r="H205" s="90"/>
      <c r="I205" s="90"/>
      <c r="J205" s="90"/>
      <c r="K205" s="90"/>
      <c r="L205" s="90"/>
      <c r="M205" s="104"/>
      <c r="N205" s="90"/>
      <c r="O205" s="90"/>
      <c r="P205" s="90"/>
      <c r="Q205" s="90"/>
      <c r="R205" s="90"/>
      <c r="S205" s="91"/>
      <c r="T205" s="91"/>
      <c r="U205" s="91"/>
      <c r="V205" s="91"/>
      <c r="W205" s="91"/>
      <c r="X205" s="91"/>
      <c r="Y205" s="91"/>
      <c r="Z205" s="91"/>
      <c r="AA205" s="91"/>
      <c r="AB205" s="91"/>
      <c r="AC205" s="91"/>
      <c r="AD205" s="91"/>
      <c r="AE205" s="91"/>
      <c r="AF205" s="91"/>
      <c r="AG205" s="91"/>
      <c r="AH205" s="91"/>
      <c r="AI205" s="91"/>
      <c r="AJ205" s="91"/>
      <c r="AK205" s="91"/>
      <c r="AL205" s="91"/>
      <c r="AM205" s="91"/>
      <c r="AN205" s="91"/>
      <c r="AP205" s="90"/>
      <c r="AQ205" s="90"/>
      <c r="AR205" s="90"/>
      <c r="AS205" s="90"/>
      <c r="AT205" s="90"/>
      <c r="AU205" s="90"/>
      <c r="AV205" s="90"/>
      <c r="AW205" s="90"/>
      <c r="AX205" s="90"/>
      <c r="AY205" s="90"/>
      <c r="AZ205" s="90"/>
      <c r="BA205" s="90"/>
      <c r="BB205" s="90"/>
      <c r="BC205" s="90"/>
      <c r="BD205" s="90"/>
      <c r="BE205" s="90"/>
      <c r="BF205" s="90"/>
    </row>
    <row r="206" spans="3:58" s="10" customFormat="1" x14ac:dyDescent="0.4">
      <c r="C206" s="90"/>
      <c r="D206" s="90"/>
      <c r="E206" s="90"/>
      <c r="F206" s="90"/>
      <c r="G206" s="90"/>
      <c r="H206" s="90"/>
      <c r="I206" s="90"/>
      <c r="J206" s="90"/>
      <c r="K206" s="90"/>
      <c r="L206" s="90"/>
      <c r="M206" s="104"/>
      <c r="N206" s="90"/>
      <c r="O206" s="90"/>
      <c r="P206" s="90"/>
      <c r="Q206" s="90"/>
      <c r="R206" s="90"/>
      <c r="S206" s="91"/>
      <c r="T206" s="91"/>
      <c r="U206" s="91"/>
      <c r="V206" s="91"/>
      <c r="W206" s="91"/>
      <c r="X206" s="91"/>
      <c r="Y206" s="91"/>
      <c r="Z206" s="91"/>
      <c r="AA206" s="91"/>
      <c r="AB206" s="91"/>
      <c r="AC206" s="91"/>
      <c r="AD206" s="91"/>
      <c r="AE206" s="91"/>
      <c r="AF206" s="91"/>
      <c r="AG206" s="91"/>
      <c r="AH206" s="91"/>
      <c r="AI206" s="91"/>
      <c r="AJ206" s="91"/>
      <c r="AK206" s="91"/>
      <c r="AL206" s="91"/>
      <c r="AM206" s="91"/>
      <c r="AN206" s="91"/>
      <c r="AP206" s="90"/>
      <c r="AQ206" s="90"/>
      <c r="AR206" s="90"/>
      <c r="AS206" s="90"/>
      <c r="AT206" s="90"/>
      <c r="AU206" s="90"/>
      <c r="AV206" s="90"/>
      <c r="AW206" s="90"/>
      <c r="AX206" s="90"/>
      <c r="AY206" s="90"/>
      <c r="AZ206" s="90"/>
      <c r="BA206" s="90"/>
      <c r="BB206" s="90"/>
      <c r="BC206" s="90"/>
      <c r="BD206" s="90"/>
      <c r="BE206" s="90"/>
      <c r="BF206" s="90"/>
    </row>
    <row r="207" spans="3:58" s="10" customFormat="1" x14ac:dyDescent="0.4">
      <c r="C207" s="90"/>
      <c r="D207" s="90"/>
      <c r="E207" s="90"/>
      <c r="F207" s="90"/>
      <c r="G207" s="90"/>
      <c r="H207" s="90"/>
      <c r="I207" s="90"/>
      <c r="J207" s="90"/>
      <c r="K207" s="90"/>
      <c r="L207" s="90"/>
      <c r="M207" s="104"/>
      <c r="N207" s="90"/>
      <c r="O207" s="90"/>
      <c r="P207" s="90"/>
      <c r="Q207" s="90"/>
      <c r="R207" s="90"/>
      <c r="S207" s="91"/>
      <c r="T207" s="91"/>
      <c r="U207" s="91"/>
      <c r="V207" s="91"/>
      <c r="W207" s="91"/>
      <c r="X207" s="91"/>
      <c r="Y207" s="91"/>
      <c r="Z207" s="91"/>
      <c r="AA207" s="91"/>
      <c r="AB207" s="91"/>
      <c r="AC207" s="91"/>
      <c r="AD207" s="91"/>
      <c r="AE207" s="91"/>
      <c r="AF207" s="91"/>
      <c r="AG207" s="91"/>
      <c r="AH207" s="91"/>
      <c r="AI207" s="91"/>
      <c r="AJ207" s="91"/>
      <c r="AK207" s="91"/>
      <c r="AL207" s="91"/>
      <c r="AM207" s="91"/>
      <c r="AN207" s="91"/>
      <c r="AP207" s="90"/>
      <c r="AQ207" s="90"/>
      <c r="AR207" s="90"/>
      <c r="AS207" s="90"/>
      <c r="AT207" s="90"/>
      <c r="AU207" s="90"/>
      <c r="AV207" s="90"/>
      <c r="AW207" s="90"/>
      <c r="AX207" s="90"/>
      <c r="AY207" s="90"/>
      <c r="AZ207" s="90"/>
      <c r="BA207" s="90"/>
      <c r="BB207" s="90"/>
      <c r="BC207" s="90"/>
      <c r="BD207" s="90"/>
      <c r="BE207" s="90"/>
      <c r="BF207" s="90"/>
    </row>
    <row r="208" spans="3:58" s="10" customFormat="1" x14ac:dyDescent="0.4">
      <c r="C208" s="90"/>
      <c r="D208" s="90"/>
      <c r="E208" s="90"/>
      <c r="F208" s="90"/>
      <c r="G208" s="90"/>
      <c r="H208" s="90"/>
      <c r="I208" s="90"/>
      <c r="J208" s="90"/>
      <c r="K208" s="90"/>
      <c r="L208" s="90"/>
      <c r="M208" s="104"/>
      <c r="N208" s="90"/>
      <c r="O208" s="90"/>
      <c r="P208" s="90"/>
      <c r="Q208" s="90"/>
      <c r="R208" s="90"/>
      <c r="S208" s="91"/>
      <c r="T208" s="91"/>
      <c r="U208" s="91"/>
      <c r="V208" s="91"/>
      <c r="W208" s="91"/>
      <c r="X208" s="91"/>
      <c r="Y208" s="91"/>
      <c r="Z208" s="91"/>
      <c r="AA208" s="91"/>
      <c r="AB208" s="91"/>
      <c r="AC208" s="91"/>
      <c r="AD208" s="91"/>
      <c r="AE208" s="91"/>
      <c r="AF208" s="91"/>
      <c r="AG208" s="91"/>
      <c r="AH208" s="91"/>
      <c r="AI208" s="91"/>
      <c r="AJ208" s="91"/>
      <c r="AK208" s="91"/>
      <c r="AL208" s="91"/>
      <c r="AM208" s="91"/>
      <c r="AN208" s="91"/>
      <c r="AP208" s="90"/>
      <c r="AQ208" s="90"/>
      <c r="AR208" s="90"/>
      <c r="AS208" s="90"/>
      <c r="AT208" s="90"/>
      <c r="AU208" s="90"/>
      <c r="AV208" s="90"/>
      <c r="AW208" s="90"/>
      <c r="AX208" s="90"/>
      <c r="AY208" s="90"/>
      <c r="AZ208" s="90"/>
      <c r="BA208" s="90"/>
      <c r="BB208" s="90"/>
      <c r="BC208" s="90"/>
      <c r="BD208" s="90"/>
      <c r="BE208" s="90"/>
      <c r="BF208" s="90"/>
    </row>
    <row r="209" spans="3:58" s="10" customFormat="1" x14ac:dyDescent="0.4">
      <c r="C209" s="90"/>
      <c r="D209" s="90"/>
      <c r="E209" s="90"/>
      <c r="F209" s="90"/>
      <c r="G209" s="90"/>
      <c r="H209" s="90"/>
      <c r="I209" s="90"/>
      <c r="J209" s="90"/>
      <c r="K209" s="90"/>
      <c r="L209" s="90"/>
      <c r="M209" s="104"/>
      <c r="N209" s="90"/>
      <c r="O209" s="90"/>
      <c r="P209" s="90"/>
      <c r="Q209" s="90"/>
      <c r="R209" s="90"/>
      <c r="S209" s="91"/>
      <c r="T209" s="91"/>
      <c r="U209" s="91"/>
      <c r="V209" s="91"/>
      <c r="W209" s="91"/>
      <c r="X209" s="91"/>
      <c r="Y209" s="91"/>
      <c r="Z209" s="91"/>
      <c r="AA209" s="91"/>
      <c r="AB209" s="91"/>
      <c r="AC209" s="91"/>
      <c r="AD209" s="91"/>
      <c r="AE209" s="91"/>
      <c r="AF209" s="91"/>
      <c r="AG209" s="91"/>
      <c r="AH209" s="91"/>
      <c r="AI209" s="91"/>
      <c r="AJ209" s="91"/>
      <c r="AK209" s="91"/>
      <c r="AL209" s="91"/>
      <c r="AM209" s="91"/>
      <c r="AN209" s="91"/>
      <c r="AP209" s="90"/>
      <c r="AQ209" s="90"/>
      <c r="AR209" s="90"/>
      <c r="AS209" s="90"/>
      <c r="AT209" s="90"/>
      <c r="AU209" s="90"/>
      <c r="AV209" s="90"/>
      <c r="AW209" s="90"/>
      <c r="AX209" s="90"/>
      <c r="AY209" s="90"/>
      <c r="AZ209" s="90"/>
      <c r="BA209" s="90"/>
      <c r="BB209" s="90"/>
      <c r="BC209" s="90"/>
      <c r="BD209" s="90"/>
      <c r="BE209" s="90"/>
      <c r="BF209" s="90"/>
    </row>
    <row r="210" spans="3:58" s="10" customFormat="1" x14ac:dyDescent="0.4">
      <c r="C210" s="90"/>
      <c r="D210" s="90"/>
      <c r="E210" s="90"/>
      <c r="F210" s="90"/>
      <c r="G210" s="90"/>
      <c r="H210" s="90"/>
      <c r="I210" s="90"/>
      <c r="J210" s="90"/>
      <c r="K210" s="90"/>
      <c r="L210" s="90"/>
      <c r="M210" s="104"/>
      <c r="N210" s="90"/>
      <c r="O210" s="90"/>
      <c r="P210" s="90"/>
      <c r="Q210" s="90"/>
      <c r="R210" s="90"/>
      <c r="S210" s="91"/>
      <c r="T210" s="91"/>
      <c r="U210" s="91"/>
      <c r="V210" s="91"/>
      <c r="W210" s="91"/>
      <c r="X210" s="91"/>
      <c r="Y210" s="91"/>
      <c r="Z210" s="91"/>
      <c r="AA210" s="91"/>
      <c r="AB210" s="91"/>
      <c r="AC210" s="91"/>
      <c r="AD210" s="91"/>
      <c r="AE210" s="91"/>
      <c r="AF210" s="91"/>
      <c r="AG210" s="91"/>
      <c r="AH210" s="91"/>
      <c r="AI210" s="91"/>
      <c r="AJ210" s="91"/>
      <c r="AK210" s="91"/>
      <c r="AL210" s="91"/>
      <c r="AM210" s="91"/>
      <c r="AN210" s="91"/>
      <c r="AP210" s="90"/>
      <c r="AQ210" s="90"/>
      <c r="AR210" s="90"/>
      <c r="AS210" s="90"/>
      <c r="AT210" s="90"/>
      <c r="AU210" s="90"/>
      <c r="AV210" s="90"/>
      <c r="AW210" s="90"/>
      <c r="AX210" s="90"/>
      <c r="AY210" s="90"/>
      <c r="AZ210" s="90"/>
      <c r="BA210" s="90"/>
      <c r="BB210" s="90"/>
      <c r="BC210" s="90"/>
      <c r="BD210" s="90"/>
      <c r="BE210" s="90"/>
      <c r="BF210" s="90"/>
    </row>
    <row r="211" spans="3:58" s="10" customFormat="1" x14ac:dyDescent="0.4">
      <c r="C211" s="90"/>
      <c r="D211" s="90"/>
      <c r="E211" s="90"/>
      <c r="F211" s="90"/>
      <c r="G211" s="90"/>
      <c r="H211" s="90"/>
      <c r="I211" s="90"/>
      <c r="J211" s="90"/>
      <c r="K211" s="90"/>
      <c r="L211" s="90"/>
      <c r="M211" s="104"/>
      <c r="N211" s="90"/>
      <c r="O211" s="90"/>
      <c r="P211" s="90"/>
      <c r="Q211" s="90"/>
      <c r="R211" s="90"/>
      <c r="S211" s="91"/>
      <c r="T211" s="91"/>
      <c r="U211" s="91"/>
      <c r="V211" s="91"/>
      <c r="W211" s="91"/>
      <c r="X211" s="91"/>
      <c r="Y211" s="91"/>
      <c r="Z211" s="91"/>
      <c r="AA211" s="91"/>
      <c r="AB211" s="91"/>
      <c r="AC211" s="91"/>
      <c r="AD211" s="91"/>
      <c r="AE211" s="91"/>
      <c r="AF211" s="91"/>
      <c r="AG211" s="91"/>
      <c r="AH211" s="91"/>
      <c r="AI211" s="91"/>
      <c r="AJ211" s="91"/>
      <c r="AK211" s="91"/>
      <c r="AL211" s="91"/>
      <c r="AM211" s="91"/>
      <c r="AN211" s="91"/>
      <c r="AP211" s="90"/>
      <c r="AQ211" s="90"/>
      <c r="AR211" s="90"/>
      <c r="AS211" s="90"/>
      <c r="AT211" s="90"/>
      <c r="AU211" s="90"/>
      <c r="AV211" s="90"/>
      <c r="AW211" s="90"/>
      <c r="AX211" s="90"/>
      <c r="AY211" s="90"/>
      <c r="AZ211" s="90"/>
      <c r="BA211" s="90"/>
      <c r="BB211" s="90"/>
      <c r="BC211" s="90"/>
      <c r="BD211" s="90"/>
      <c r="BE211" s="90"/>
      <c r="BF211" s="90"/>
    </row>
    <row r="212" spans="3:58" s="10" customFormat="1" x14ac:dyDescent="0.4">
      <c r="C212" s="90"/>
      <c r="D212" s="90"/>
      <c r="E212" s="90"/>
      <c r="F212" s="90"/>
      <c r="G212" s="90"/>
      <c r="H212" s="90"/>
      <c r="I212" s="90"/>
      <c r="J212" s="90"/>
      <c r="K212" s="90"/>
      <c r="L212" s="90"/>
      <c r="M212" s="104"/>
      <c r="N212" s="90"/>
      <c r="O212" s="90"/>
      <c r="P212" s="90"/>
      <c r="Q212" s="90"/>
      <c r="R212" s="90"/>
      <c r="S212" s="91"/>
      <c r="T212" s="91"/>
      <c r="U212" s="91"/>
      <c r="V212" s="91"/>
      <c r="W212" s="91"/>
      <c r="X212" s="91"/>
      <c r="Y212" s="91"/>
      <c r="Z212" s="91"/>
      <c r="AA212" s="91"/>
      <c r="AB212" s="91"/>
      <c r="AC212" s="91"/>
      <c r="AD212" s="91"/>
      <c r="AE212" s="91"/>
      <c r="AF212" s="91"/>
      <c r="AG212" s="91"/>
      <c r="AH212" s="91"/>
      <c r="AI212" s="91"/>
      <c r="AJ212" s="91"/>
      <c r="AK212" s="91"/>
      <c r="AL212" s="91"/>
      <c r="AM212" s="91"/>
      <c r="AN212" s="91"/>
      <c r="AP212" s="90"/>
      <c r="AQ212" s="90"/>
      <c r="AR212" s="90"/>
      <c r="AS212" s="90"/>
      <c r="AT212" s="90"/>
      <c r="AU212" s="90"/>
      <c r="AV212" s="90"/>
      <c r="AW212" s="90"/>
      <c r="AX212" s="90"/>
      <c r="AY212" s="90"/>
      <c r="AZ212" s="90"/>
      <c r="BA212" s="90"/>
      <c r="BB212" s="90"/>
      <c r="BC212" s="90"/>
      <c r="BD212" s="90"/>
      <c r="BE212" s="90"/>
      <c r="BF212" s="90"/>
    </row>
    <row r="213" spans="3:58" s="10" customFormat="1" x14ac:dyDescent="0.4">
      <c r="C213" s="90"/>
      <c r="D213" s="90"/>
      <c r="E213" s="90"/>
      <c r="F213" s="90"/>
      <c r="G213" s="90"/>
      <c r="H213" s="90"/>
      <c r="I213" s="90"/>
      <c r="J213" s="90"/>
      <c r="K213" s="90"/>
      <c r="L213" s="90"/>
      <c r="M213" s="104"/>
      <c r="N213" s="90"/>
      <c r="O213" s="90"/>
      <c r="P213" s="90"/>
      <c r="Q213" s="90"/>
      <c r="R213" s="90"/>
      <c r="S213" s="91"/>
      <c r="T213" s="91"/>
      <c r="U213" s="91"/>
      <c r="V213" s="91"/>
      <c r="W213" s="91"/>
      <c r="X213" s="91"/>
      <c r="Y213" s="91"/>
      <c r="Z213" s="91"/>
      <c r="AA213" s="91"/>
      <c r="AB213" s="91"/>
      <c r="AC213" s="91"/>
      <c r="AD213" s="91"/>
      <c r="AE213" s="91"/>
      <c r="AF213" s="91"/>
      <c r="AG213" s="91"/>
      <c r="AH213" s="91"/>
      <c r="AI213" s="91"/>
      <c r="AJ213" s="91"/>
      <c r="AK213" s="91"/>
      <c r="AL213" s="91"/>
      <c r="AM213" s="91"/>
      <c r="AN213" s="91"/>
      <c r="AP213" s="90"/>
      <c r="AQ213" s="90"/>
      <c r="AR213" s="90"/>
      <c r="AS213" s="90"/>
      <c r="AT213" s="90"/>
      <c r="AU213" s="90"/>
      <c r="AV213" s="90"/>
      <c r="AW213" s="90"/>
      <c r="AX213" s="90"/>
      <c r="AY213" s="90"/>
      <c r="AZ213" s="90"/>
      <c r="BA213" s="90"/>
      <c r="BB213" s="90"/>
      <c r="BC213" s="90"/>
      <c r="BD213" s="90"/>
      <c r="BE213" s="90"/>
      <c r="BF213" s="90"/>
    </row>
    <row r="214" spans="3:58" s="10" customFormat="1" x14ac:dyDescent="0.4">
      <c r="C214" s="90"/>
      <c r="D214" s="90"/>
      <c r="E214" s="90"/>
      <c r="F214" s="90"/>
      <c r="G214" s="90"/>
      <c r="H214" s="90"/>
      <c r="I214" s="90"/>
      <c r="J214" s="90"/>
      <c r="K214" s="90"/>
      <c r="L214" s="90"/>
      <c r="M214" s="104"/>
      <c r="N214" s="90"/>
      <c r="O214" s="90"/>
      <c r="P214" s="90"/>
      <c r="Q214" s="90"/>
      <c r="R214" s="90"/>
      <c r="S214" s="91"/>
      <c r="T214" s="91"/>
      <c r="U214" s="91"/>
      <c r="V214" s="91"/>
      <c r="W214" s="91"/>
      <c r="X214" s="91"/>
      <c r="Y214" s="91"/>
      <c r="Z214" s="91"/>
      <c r="AA214" s="91"/>
      <c r="AB214" s="91"/>
      <c r="AC214" s="91"/>
      <c r="AD214" s="91"/>
      <c r="AE214" s="91"/>
      <c r="AF214" s="91"/>
      <c r="AG214" s="91"/>
      <c r="AH214" s="91"/>
      <c r="AI214" s="91"/>
      <c r="AJ214" s="91"/>
      <c r="AK214" s="91"/>
      <c r="AL214" s="91"/>
      <c r="AM214" s="91"/>
      <c r="AN214" s="91"/>
      <c r="AP214" s="90"/>
      <c r="AQ214" s="90"/>
      <c r="AR214" s="90"/>
      <c r="AS214" s="90"/>
      <c r="AT214" s="90"/>
      <c r="AU214" s="90"/>
      <c r="AV214" s="90"/>
      <c r="AW214" s="90"/>
      <c r="AX214" s="90"/>
      <c r="AY214" s="90"/>
      <c r="AZ214" s="90"/>
      <c r="BA214" s="90"/>
      <c r="BB214" s="90"/>
      <c r="BC214" s="90"/>
      <c r="BD214" s="90"/>
      <c r="BE214" s="90"/>
      <c r="BF214" s="90"/>
    </row>
    <row r="215" spans="3:58" s="10" customFormat="1" x14ac:dyDescent="0.4">
      <c r="C215" s="90"/>
      <c r="D215" s="90"/>
      <c r="E215" s="90"/>
      <c r="F215" s="90"/>
      <c r="G215" s="90"/>
      <c r="H215" s="90"/>
      <c r="I215" s="90"/>
      <c r="J215" s="90"/>
      <c r="K215" s="90"/>
      <c r="L215" s="90"/>
      <c r="M215" s="104"/>
      <c r="N215" s="90"/>
      <c r="O215" s="90"/>
      <c r="P215" s="90"/>
      <c r="Q215" s="90"/>
      <c r="R215" s="90"/>
      <c r="S215" s="91"/>
      <c r="T215" s="91"/>
      <c r="U215" s="91"/>
      <c r="V215" s="91"/>
      <c r="W215" s="91"/>
      <c r="X215" s="91"/>
      <c r="Y215" s="91"/>
      <c r="Z215" s="91"/>
      <c r="AA215" s="91"/>
      <c r="AB215" s="91"/>
      <c r="AC215" s="91"/>
      <c r="AD215" s="91"/>
      <c r="AE215" s="91"/>
      <c r="AF215" s="91"/>
      <c r="AG215" s="91"/>
      <c r="AH215" s="91"/>
      <c r="AI215" s="91"/>
      <c r="AJ215" s="91"/>
      <c r="AK215" s="91"/>
      <c r="AL215" s="91"/>
      <c r="AM215" s="91"/>
      <c r="AN215" s="91"/>
      <c r="AP215" s="90"/>
      <c r="AQ215" s="90"/>
      <c r="AR215" s="90"/>
      <c r="AS215" s="90"/>
      <c r="AT215" s="90"/>
      <c r="AU215" s="90"/>
      <c r="AV215" s="90"/>
      <c r="AW215" s="90"/>
      <c r="AX215" s="90"/>
      <c r="AY215" s="90"/>
      <c r="AZ215" s="90"/>
      <c r="BA215" s="90"/>
      <c r="BB215" s="90"/>
      <c r="BC215" s="90"/>
      <c r="BD215" s="90"/>
      <c r="BE215" s="90"/>
      <c r="BF215" s="90"/>
    </row>
    <row r="216" spans="3:58" s="10" customFormat="1" x14ac:dyDescent="0.4">
      <c r="C216" s="90"/>
      <c r="D216" s="90"/>
      <c r="E216" s="90"/>
      <c r="F216" s="90"/>
      <c r="G216" s="90"/>
      <c r="H216" s="90"/>
      <c r="I216" s="90"/>
      <c r="J216" s="90"/>
      <c r="K216" s="90"/>
      <c r="L216" s="90"/>
      <c r="M216" s="104"/>
      <c r="N216" s="90"/>
      <c r="O216" s="90"/>
      <c r="P216" s="90"/>
      <c r="Q216" s="90"/>
      <c r="R216" s="90"/>
      <c r="S216" s="91"/>
      <c r="T216" s="91"/>
      <c r="U216" s="91"/>
      <c r="V216" s="91"/>
      <c r="W216" s="91"/>
      <c r="X216" s="91"/>
      <c r="Y216" s="91"/>
      <c r="Z216" s="91"/>
      <c r="AA216" s="91"/>
      <c r="AB216" s="91"/>
      <c r="AC216" s="91"/>
      <c r="AD216" s="91"/>
      <c r="AE216" s="91"/>
      <c r="AF216" s="91"/>
      <c r="AG216" s="91"/>
      <c r="AH216" s="91"/>
      <c r="AI216" s="91"/>
      <c r="AJ216" s="91"/>
      <c r="AK216" s="91"/>
      <c r="AL216" s="91"/>
      <c r="AM216" s="91"/>
      <c r="AN216" s="91"/>
      <c r="AP216" s="90"/>
      <c r="AQ216" s="90"/>
      <c r="AR216" s="90"/>
      <c r="AS216" s="90"/>
      <c r="AT216" s="90"/>
      <c r="AU216" s="90"/>
      <c r="AV216" s="90"/>
      <c r="AW216" s="90"/>
      <c r="AX216" s="90"/>
      <c r="AY216" s="90"/>
      <c r="AZ216" s="90"/>
      <c r="BA216" s="90"/>
      <c r="BB216" s="90"/>
      <c r="BC216" s="90"/>
      <c r="BD216" s="90"/>
      <c r="BE216" s="90"/>
      <c r="BF216" s="90"/>
    </row>
    <row r="217" spans="3:58" s="10" customFormat="1" x14ac:dyDescent="0.4">
      <c r="C217" s="90"/>
      <c r="D217" s="90"/>
      <c r="E217" s="90"/>
      <c r="F217" s="90"/>
      <c r="G217" s="90"/>
      <c r="H217" s="90"/>
      <c r="I217" s="90"/>
      <c r="J217" s="90"/>
      <c r="K217" s="90"/>
      <c r="L217" s="90"/>
      <c r="M217" s="104"/>
      <c r="N217" s="90"/>
      <c r="O217" s="90"/>
      <c r="P217" s="90"/>
      <c r="Q217" s="90"/>
      <c r="R217" s="90"/>
      <c r="S217" s="91"/>
      <c r="T217" s="91"/>
      <c r="U217" s="91"/>
      <c r="V217" s="91"/>
      <c r="W217" s="91"/>
      <c r="X217" s="91"/>
      <c r="Y217" s="91"/>
      <c r="Z217" s="91"/>
      <c r="AA217" s="91"/>
      <c r="AB217" s="91"/>
      <c r="AC217" s="91"/>
      <c r="AD217" s="91"/>
      <c r="AE217" s="91"/>
      <c r="AF217" s="91"/>
      <c r="AG217" s="91"/>
      <c r="AH217" s="91"/>
      <c r="AI217" s="91"/>
      <c r="AJ217" s="91"/>
      <c r="AK217" s="91"/>
      <c r="AL217" s="91"/>
      <c r="AM217" s="91"/>
      <c r="AN217" s="91"/>
      <c r="AP217" s="90"/>
      <c r="AQ217" s="90"/>
      <c r="AR217" s="90"/>
      <c r="AS217" s="90"/>
      <c r="AT217" s="90"/>
      <c r="AU217" s="90"/>
      <c r="AV217" s="90"/>
      <c r="AW217" s="90"/>
      <c r="AX217" s="90"/>
      <c r="AY217" s="90"/>
      <c r="AZ217" s="90"/>
      <c r="BA217" s="90"/>
      <c r="BB217" s="90"/>
      <c r="BC217" s="90"/>
      <c r="BD217" s="90"/>
      <c r="BE217" s="90"/>
      <c r="BF217" s="90"/>
    </row>
    <row r="218" spans="3:58" s="10" customFormat="1" x14ac:dyDescent="0.4">
      <c r="C218" s="90"/>
      <c r="D218" s="90"/>
      <c r="E218" s="90"/>
      <c r="F218" s="90"/>
      <c r="G218" s="90"/>
      <c r="H218" s="90"/>
      <c r="I218" s="90"/>
      <c r="J218" s="90"/>
      <c r="K218" s="90"/>
      <c r="L218" s="90"/>
      <c r="M218" s="104"/>
      <c r="N218" s="90"/>
      <c r="O218" s="90"/>
      <c r="P218" s="90"/>
      <c r="Q218" s="90"/>
      <c r="R218" s="90"/>
      <c r="S218" s="91"/>
      <c r="T218" s="91"/>
      <c r="U218" s="91"/>
      <c r="V218" s="91"/>
      <c r="W218" s="91"/>
      <c r="X218" s="91"/>
      <c r="Y218" s="91"/>
      <c r="Z218" s="91"/>
      <c r="AA218" s="91"/>
      <c r="AB218" s="91"/>
      <c r="AC218" s="91"/>
      <c r="AD218" s="91"/>
      <c r="AE218" s="91"/>
      <c r="AF218" s="91"/>
      <c r="AG218" s="91"/>
      <c r="AH218" s="91"/>
      <c r="AI218" s="91"/>
      <c r="AJ218" s="91"/>
      <c r="AK218" s="91"/>
      <c r="AL218" s="91"/>
      <c r="AM218" s="91"/>
      <c r="AN218" s="91"/>
      <c r="AP218" s="90"/>
      <c r="AQ218" s="90"/>
      <c r="AR218" s="90"/>
      <c r="AS218" s="90"/>
      <c r="AT218" s="90"/>
      <c r="AU218" s="90"/>
      <c r="AV218" s="90"/>
      <c r="AW218" s="90"/>
      <c r="AX218" s="90"/>
      <c r="AY218" s="90"/>
      <c r="AZ218" s="90"/>
      <c r="BA218" s="90"/>
      <c r="BB218" s="90"/>
      <c r="BC218" s="90"/>
      <c r="BD218" s="90"/>
      <c r="BE218" s="90"/>
      <c r="BF218" s="90"/>
    </row>
    <row r="219" spans="3:58" s="10" customFormat="1" x14ac:dyDescent="0.4">
      <c r="C219" s="90"/>
      <c r="D219" s="90"/>
      <c r="E219" s="90"/>
      <c r="F219" s="90"/>
      <c r="G219" s="90"/>
      <c r="H219" s="90"/>
      <c r="I219" s="90"/>
      <c r="J219" s="90"/>
      <c r="K219" s="90"/>
      <c r="L219" s="90"/>
      <c r="M219" s="104"/>
      <c r="N219" s="90"/>
      <c r="O219" s="90"/>
      <c r="P219" s="90"/>
      <c r="Q219" s="90"/>
      <c r="R219" s="90"/>
      <c r="S219" s="91"/>
      <c r="T219" s="91"/>
      <c r="U219" s="91"/>
      <c r="V219" s="91"/>
      <c r="W219" s="91"/>
      <c r="X219" s="91"/>
      <c r="Y219" s="91"/>
      <c r="Z219" s="91"/>
      <c r="AA219" s="91"/>
      <c r="AB219" s="91"/>
      <c r="AC219" s="91"/>
      <c r="AD219" s="91"/>
      <c r="AE219" s="91"/>
      <c r="AF219" s="91"/>
      <c r="AG219" s="91"/>
      <c r="AH219" s="91"/>
      <c r="AI219" s="91"/>
      <c r="AJ219" s="91"/>
      <c r="AK219" s="91"/>
      <c r="AL219" s="91"/>
      <c r="AM219" s="91"/>
      <c r="AN219" s="91"/>
      <c r="AP219" s="90"/>
      <c r="AQ219" s="90"/>
      <c r="AR219" s="90"/>
      <c r="AS219" s="90"/>
      <c r="AT219" s="90"/>
      <c r="AU219" s="90"/>
      <c r="AV219" s="90"/>
      <c r="AW219" s="90"/>
      <c r="AX219" s="90"/>
      <c r="AY219" s="90"/>
      <c r="AZ219" s="90"/>
      <c r="BA219" s="90"/>
      <c r="BB219" s="90"/>
      <c r="BC219" s="90"/>
      <c r="BD219" s="90"/>
      <c r="BE219" s="90"/>
      <c r="BF219" s="90"/>
    </row>
    <row r="220" spans="3:58" s="10" customFormat="1" x14ac:dyDescent="0.4">
      <c r="C220" s="90"/>
      <c r="D220" s="90"/>
      <c r="E220" s="90"/>
      <c r="F220" s="90"/>
      <c r="G220" s="90"/>
      <c r="H220" s="90"/>
      <c r="I220" s="90"/>
      <c r="J220" s="90"/>
      <c r="K220" s="90"/>
      <c r="L220" s="90"/>
      <c r="M220" s="104"/>
      <c r="N220" s="90"/>
      <c r="O220" s="90"/>
      <c r="P220" s="90"/>
      <c r="Q220" s="90"/>
      <c r="R220" s="90"/>
      <c r="S220" s="91"/>
      <c r="T220" s="91"/>
      <c r="U220" s="91"/>
      <c r="V220" s="91"/>
      <c r="W220" s="91"/>
      <c r="X220" s="91"/>
      <c r="Y220" s="91"/>
      <c r="Z220" s="91"/>
      <c r="AA220" s="91"/>
      <c r="AB220" s="91"/>
      <c r="AC220" s="91"/>
      <c r="AD220" s="91"/>
      <c r="AE220" s="91"/>
      <c r="AF220" s="91"/>
      <c r="AG220" s="91"/>
      <c r="AH220" s="91"/>
      <c r="AI220" s="91"/>
      <c r="AJ220" s="91"/>
      <c r="AK220" s="91"/>
      <c r="AL220" s="91"/>
      <c r="AM220" s="91"/>
      <c r="AN220" s="91"/>
      <c r="AP220" s="90"/>
      <c r="AQ220" s="90"/>
      <c r="AR220" s="90"/>
      <c r="AS220" s="90"/>
      <c r="AT220" s="90"/>
      <c r="AU220" s="90"/>
      <c r="AV220" s="90"/>
      <c r="AW220" s="90"/>
      <c r="AX220" s="90"/>
      <c r="AY220" s="90"/>
      <c r="AZ220" s="90"/>
      <c r="BA220" s="90"/>
      <c r="BB220" s="90"/>
      <c r="BC220" s="90"/>
      <c r="BD220" s="90"/>
      <c r="BE220" s="90"/>
      <c r="BF220" s="90"/>
    </row>
    <row r="221" spans="3:58" s="10" customFormat="1" x14ac:dyDescent="0.4">
      <c r="C221" s="90"/>
      <c r="D221" s="90"/>
      <c r="E221" s="90"/>
      <c r="F221" s="90"/>
      <c r="G221" s="90"/>
      <c r="H221" s="90"/>
      <c r="I221" s="90"/>
      <c r="J221" s="90"/>
      <c r="K221" s="90"/>
      <c r="L221" s="90"/>
      <c r="M221" s="104"/>
      <c r="N221" s="90"/>
      <c r="O221" s="90"/>
      <c r="P221" s="90"/>
      <c r="Q221" s="90"/>
      <c r="R221" s="90"/>
      <c r="S221" s="91"/>
      <c r="T221" s="91"/>
      <c r="U221" s="91"/>
      <c r="V221" s="91"/>
      <c r="W221" s="91"/>
      <c r="X221" s="91"/>
      <c r="Y221" s="91"/>
      <c r="Z221" s="91"/>
      <c r="AA221" s="91"/>
      <c r="AB221" s="91"/>
      <c r="AC221" s="91"/>
      <c r="AD221" s="91"/>
      <c r="AE221" s="91"/>
      <c r="AF221" s="91"/>
      <c r="AG221" s="91"/>
      <c r="AH221" s="91"/>
      <c r="AI221" s="91"/>
      <c r="AJ221" s="91"/>
      <c r="AK221" s="91"/>
      <c r="AL221" s="91"/>
      <c r="AM221" s="91"/>
      <c r="AN221" s="91"/>
      <c r="AP221" s="90"/>
      <c r="AQ221" s="90"/>
      <c r="AR221" s="90"/>
      <c r="AS221" s="90"/>
      <c r="AT221" s="90"/>
      <c r="AU221" s="90"/>
      <c r="AV221" s="90"/>
      <c r="AW221" s="90"/>
      <c r="AX221" s="90"/>
      <c r="AY221" s="90"/>
      <c r="AZ221" s="90"/>
      <c r="BA221" s="90"/>
      <c r="BB221" s="90"/>
      <c r="BC221" s="90"/>
      <c r="BD221" s="90"/>
      <c r="BE221" s="90"/>
      <c r="BF221" s="90"/>
    </row>
    <row r="222" spans="3:58" s="10" customFormat="1" x14ac:dyDescent="0.4">
      <c r="C222" s="90"/>
      <c r="D222" s="90"/>
      <c r="E222" s="90"/>
      <c r="F222" s="90"/>
      <c r="G222" s="90"/>
      <c r="H222" s="90"/>
      <c r="I222" s="90"/>
      <c r="J222" s="90"/>
      <c r="K222" s="90"/>
      <c r="L222" s="90"/>
      <c r="M222" s="104"/>
      <c r="N222" s="90"/>
      <c r="O222" s="90"/>
      <c r="P222" s="90"/>
      <c r="Q222" s="90"/>
      <c r="R222" s="90"/>
      <c r="S222" s="91"/>
      <c r="T222" s="91"/>
      <c r="U222" s="91"/>
      <c r="V222" s="91"/>
      <c r="W222" s="91"/>
      <c r="X222" s="91"/>
      <c r="Y222" s="91"/>
      <c r="Z222" s="91"/>
      <c r="AA222" s="91"/>
      <c r="AB222" s="91"/>
      <c r="AC222" s="91"/>
      <c r="AD222" s="91"/>
      <c r="AE222" s="91"/>
      <c r="AF222" s="91"/>
      <c r="AG222" s="91"/>
      <c r="AH222" s="91"/>
      <c r="AI222" s="91"/>
      <c r="AJ222" s="91"/>
      <c r="AK222" s="91"/>
      <c r="AL222" s="91"/>
      <c r="AM222" s="91"/>
      <c r="AN222" s="91"/>
      <c r="AP222" s="90"/>
      <c r="AQ222" s="90"/>
      <c r="AR222" s="90"/>
      <c r="AS222" s="90"/>
      <c r="AT222" s="90"/>
      <c r="AU222" s="90"/>
      <c r="AV222" s="90"/>
      <c r="AW222" s="90"/>
      <c r="AX222" s="90"/>
      <c r="AY222" s="90"/>
      <c r="AZ222" s="90"/>
      <c r="BA222" s="90"/>
      <c r="BB222" s="90"/>
      <c r="BC222" s="90"/>
      <c r="BD222" s="90"/>
      <c r="BE222" s="90"/>
      <c r="BF222" s="90"/>
    </row>
    <row r="223" spans="3:58" s="10" customFormat="1" x14ac:dyDescent="0.4">
      <c r="C223" s="90"/>
      <c r="D223" s="90"/>
      <c r="E223" s="90"/>
      <c r="F223" s="90"/>
      <c r="G223" s="90"/>
      <c r="H223" s="90"/>
      <c r="I223" s="90"/>
      <c r="J223" s="90"/>
      <c r="K223" s="90"/>
      <c r="L223" s="90"/>
      <c r="M223" s="104"/>
      <c r="N223" s="90"/>
      <c r="O223" s="90"/>
      <c r="P223" s="90"/>
      <c r="Q223" s="90"/>
      <c r="R223" s="90"/>
      <c r="S223" s="91"/>
      <c r="T223" s="91"/>
      <c r="U223" s="91"/>
      <c r="V223" s="91"/>
      <c r="W223" s="91"/>
      <c r="X223" s="91"/>
      <c r="Y223" s="91"/>
      <c r="Z223" s="91"/>
      <c r="AA223" s="91"/>
      <c r="AB223" s="91"/>
      <c r="AC223" s="91"/>
      <c r="AD223" s="91"/>
      <c r="AE223" s="91"/>
      <c r="AF223" s="91"/>
      <c r="AG223" s="91"/>
      <c r="AH223" s="91"/>
      <c r="AI223" s="91"/>
      <c r="AJ223" s="91"/>
      <c r="AK223" s="91"/>
      <c r="AL223" s="91"/>
      <c r="AM223" s="91"/>
      <c r="AN223" s="91"/>
      <c r="AP223" s="90"/>
      <c r="AQ223" s="90"/>
      <c r="AR223" s="90"/>
      <c r="AS223" s="90"/>
      <c r="AT223" s="90"/>
      <c r="AU223" s="90"/>
      <c r="AV223" s="90"/>
      <c r="AW223" s="90"/>
      <c r="AX223" s="90"/>
      <c r="AY223" s="90"/>
      <c r="AZ223" s="90"/>
      <c r="BA223" s="90"/>
      <c r="BB223" s="90"/>
      <c r="BC223" s="90"/>
      <c r="BD223" s="90"/>
      <c r="BE223" s="90"/>
      <c r="BF223" s="90"/>
    </row>
  </sheetData>
  <pageMargins left="0.7" right="0.7" top="0.75" bottom="0.75" header="0.3" footer="0.3"/>
  <pageSetup orientation="portrait" r:id="rId1"/>
  <drawing r:id="rId2"/>
  <legacyDrawing r:id="rId3"/>
  <controls>
    <mc:AlternateContent xmlns:mc="http://schemas.openxmlformats.org/markup-compatibility/2006">
      <mc:Choice Requires="x14">
        <control shapeId="61505" r:id="rId4" name="cmdGetCrop">
          <controlPr defaultSize="0" autoLine="0" r:id="rId5">
            <anchor moveWithCells="1">
              <from>
                <xdr:col>5</xdr:col>
                <xdr:colOff>48986</xdr:colOff>
                <xdr:row>0</xdr:row>
                <xdr:rowOff>250371</xdr:rowOff>
              </from>
              <to>
                <xdr:col>6</xdr:col>
                <xdr:colOff>429986</xdr:colOff>
                <xdr:row>2</xdr:row>
                <xdr:rowOff>5443</xdr:rowOff>
              </to>
            </anchor>
          </controlPr>
        </control>
      </mc:Choice>
      <mc:Fallback>
        <control shapeId="61505" r:id="rId4" name="cmdGetCrop"/>
      </mc:Fallback>
    </mc:AlternateContent>
    <mc:AlternateContent xmlns:mc="http://schemas.openxmlformats.org/markup-compatibility/2006">
      <mc:Choice Requires="x14">
        <control shapeId="61504" r:id="rId6" name="cmbBoxCrop">
          <controlPr defaultSize="0" autoLine="0" linkedCell="B4" r:id="rId7">
            <anchor moveWithCells="1">
              <from>
                <xdr:col>1</xdr:col>
                <xdr:colOff>21771</xdr:colOff>
                <xdr:row>1</xdr:row>
                <xdr:rowOff>21771</xdr:rowOff>
              </from>
              <to>
                <xdr:col>2</xdr:col>
                <xdr:colOff>620486</xdr:colOff>
                <xdr:row>2</xdr:row>
                <xdr:rowOff>10886</xdr:rowOff>
              </to>
            </anchor>
          </controlPr>
        </control>
      </mc:Choice>
      <mc:Fallback>
        <control shapeId="61504" r:id="rId6" name="cmbBoxCrop"/>
      </mc:Fallback>
    </mc:AlternateContent>
    <mc:AlternateContent xmlns:mc="http://schemas.openxmlformats.org/markup-compatibility/2006">
      <mc:Choice Requires="x14">
        <control shapeId="61441" r:id="rId8" name="cmdReadCrop">
          <controlPr defaultSize="0" autoLine="0" r:id="rId9">
            <anchor moveWithCells="1">
              <from>
                <xdr:col>6</xdr:col>
                <xdr:colOff>555171</xdr:colOff>
                <xdr:row>0</xdr:row>
                <xdr:rowOff>250371</xdr:rowOff>
              </from>
              <to>
                <xdr:col>8</xdr:col>
                <xdr:colOff>321129</xdr:colOff>
                <xdr:row>2</xdr:row>
                <xdr:rowOff>5443</xdr:rowOff>
              </to>
            </anchor>
          </controlPr>
        </control>
      </mc:Choice>
      <mc:Fallback>
        <control shapeId="61441" r:id="rId8" name="cmdReadCrop"/>
      </mc:Fallback>
    </mc:AlternateContent>
    <mc:AlternateContent xmlns:mc="http://schemas.openxmlformats.org/markup-compatibility/2006">
      <mc:Choice Requires="x14">
        <control shapeId="61442" r:id="rId10" name="cmdWriteCrop">
          <controlPr defaultSize="0" autoLine="0" r:id="rId11">
            <anchor moveWithCells="1">
              <from>
                <xdr:col>8</xdr:col>
                <xdr:colOff>408214</xdr:colOff>
                <xdr:row>0</xdr:row>
                <xdr:rowOff>250371</xdr:rowOff>
              </from>
              <to>
                <xdr:col>10</xdr:col>
                <xdr:colOff>174171</xdr:colOff>
                <xdr:row>2</xdr:row>
                <xdr:rowOff>5443</xdr:rowOff>
              </to>
            </anchor>
          </controlPr>
        </control>
      </mc:Choice>
      <mc:Fallback>
        <control shapeId="61442" r:id="rId10" name="cmdWriteCrop"/>
      </mc:Fallback>
    </mc:AlternateContent>
    <mc:AlternateContent xmlns:mc="http://schemas.openxmlformats.org/markup-compatibility/2006">
      <mc:Choice Requires="x14">
        <control shapeId="61443" r:id="rId12" name="cmdRun">
          <controlPr defaultSize="0" autoLine="0" r:id="rId13">
            <anchor moveWithCells="1">
              <from>
                <xdr:col>10</xdr:col>
                <xdr:colOff>326571</xdr:colOff>
                <xdr:row>0</xdr:row>
                <xdr:rowOff>250371</xdr:rowOff>
              </from>
              <to>
                <xdr:col>12</xdr:col>
                <xdr:colOff>97971</xdr:colOff>
                <xdr:row>2</xdr:row>
                <xdr:rowOff>5443</xdr:rowOff>
              </to>
            </anchor>
          </controlPr>
        </control>
      </mc:Choice>
      <mc:Fallback>
        <control shapeId="61443" r:id="rId12" name="cmdRun"/>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H92"/>
  <sheetViews>
    <sheetView workbookViewId="0">
      <pane ySplit="5" topLeftCell="A6" activePane="bottomLeft" state="frozen"/>
      <selection pane="bottomLeft" activeCell="A6" sqref="A6"/>
    </sheetView>
  </sheetViews>
  <sheetFormatPr defaultRowHeight="14.6" x14ac:dyDescent="0.4"/>
  <cols>
    <col min="1" max="1" width="12.15234375" customWidth="1"/>
    <col min="2" max="2" width="10.53515625" style="28" bestFit="1" customWidth="1"/>
    <col min="3" max="11" width="9.15234375" style="88"/>
  </cols>
  <sheetData>
    <row r="1" spans="1:11" ht="25.4" customHeight="1" x14ac:dyDescent="0.4">
      <c r="A1" s="94" t="s">
        <v>1835</v>
      </c>
      <c r="C1"/>
      <c r="D1"/>
      <c r="E1"/>
      <c r="F1"/>
      <c r="G1"/>
      <c r="H1"/>
      <c r="I1"/>
      <c r="J1"/>
      <c r="K1"/>
    </row>
    <row r="2" spans="1:11" ht="19.95" customHeight="1" x14ac:dyDescent="0.4">
      <c r="A2" s="27" t="s">
        <v>918</v>
      </c>
      <c r="B2" s="17" t="s">
        <v>1863</v>
      </c>
      <c r="C2" s="17"/>
      <c r="D2" s="27" t="s">
        <v>758</v>
      </c>
      <c r="E2" s="85" t="s">
        <v>1540</v>
      </c>
      <c r="F2"/>
      <c r="G2"/>
      <c r="H2"/>
      <c r="I2"/>
      <c r="J2"/>
      <c r="K2"/>
    </row>
    <row r="3" spans="1:11" ht="15.65" customHeight="1" x14ac:dyDescent="0.4">
      <c r="A3" s="26" t="s">
        <v>900</v>
      </c>
      <c r="B3" s="93"/>
      <c r="C3" s="92" t="s">
        <v>901</v>
      </c>
      <c r="D3" s="17"/>
      <c r="E3"/>
      <c r="F3"/>
      <c r="G3"/>
      <c r="H3"/>
      <c r="I3"/>
      <c r="J3"/>
      <c r="K3"/>
    </row>
    <row r="4" spans="1:11" s="5" customFormat="1" ht="12" x14ac:dyDescent="0.35">
      <c r="A4" s="182">
        <v>1</v>
      </c>
      <c r="B4" s="185" t="s">
        <v>929</v>
      </c>
      <c r="C4" s="182">
        <v>1</v>
      </c>
      <c r="D4" s="182">
        <v>2</v>
      </c>
      <c r="E4" s="182">
        <v>3</v>
      </c>
      <c r="F4" s="182">
        <v>4</v>
      </c>
      <c r="G4" s="182">
        <v>5</v>
      </c>
      <c r="H4" s="182">
        <v>6</v>
      </c>
      <c r="I4" s="182">
        <v>7</v>
      </c>
      <c r="J4" s="182">
        <v>8</v>
      </c>
      <c r="K4" s="182">
        <v>9</v>
      </c>
    </row>
    <row r="5" spans="1:11" s="22" customFormat="1" x14ac:dyDescent="0.4">
      <c r="A5" s="75" t="s">
        <v>181</v>
      </c>
      <c r="B5" s="193" t="s">
        <v>182</v>
      </c>
      <c r="C5" s="75" t="s">
        <v>183</v>
      </c>
      <c r="D5" s="75" t="s">
        <v>184</v>
      </c>
      <c r="E5" s="75" t="s">
        <v>185</v>
      </c>
      <c r="F5" s="75" t="s">
        <v>186</v>
      </c>
      <c r="G5" s="75" t="s">
        <v>187</v>
      </c>
      <c r="H5" s="75" t="s">
        <v>188</v>
      </c>
      <c r="I5" s="75" t="s">
        <v>189</v>
      </c>
      <c r="J5" s="75" t="s">
        <v>190</v>
      </c>
      <c r="K5" s="75" t="s">
        <v>191</v>
      </c>
    </row>
    <row r="6" spans="1:11" x14ac:dyDescent="0.4">
      <c r="C6" s="187"/>
      <c r="D6" s="187"/>
      <c r="E6" s="187"/>
      <c r="F6" s="187"/>
      <c r="G6" s="187"/>
      <c r="H6" s="187"/>
      <c r="I6" s="187"/>
      <c r="J6" s="187"/>
      <c r="K6" s="187"/>
    </row>
    <row r="7" spans="1:11" x14ac:dyDescent="0.4">
      <c r="C7" s="187"/>
      <c r="D7" s="187"/>
      <c r="E7" s="187"/>
      <c r="F7" s="187"/>
      <c r="G7" s="187"/>
      <c r="H7" s="187"/>
      <c r="I7" s="187"/>
      <c r="J7" s="187"/>
      <c r="K7" s="187"/>
    </row>
    <row r="8" spans="1:11" x14ac:dyDescent="0.4">
      <c r="C8" s="187"/>
      <c r="D8" s="187"/>
      <c r="E8" s="187"/>
      <c r="F8" s="187"/>
      <c r="G8" s="187"/>
      <c r="H8" s="187"/>
      <c r="I8" s="187"/>
      <c r="J8" s="187"/>
      <c r="K8" s="187"/>
    </row>
    <row r="9" spans="1:11" x14ac:dyDescent="0.4">
      <c r="C9" s="187"/>
      <c r="D9" s="187"/>
      <c r="E9" s="187"/>
      <c r="F9" s="187"/>
      <c r="G9" s="187"/>
      <c r="H9" s="187"/>
      <c r="I9" s="187"/>
      <c r="J9" s="187"/>
      <c r="K9" s="187"/>
    </row>
    <row r="10" spans="1:11" x14ac:dyDescent="0.4">
      <c r="C10" s="187"/>
      <c r="D10" s="187"/>
      <c r="E10" s="187"/>
      <c r="F10" s="187"/>
      <c r="G10" s="187"/>
      <c r="H10" s="187"/>
      <c r="I10" s="187"/>
      <c r="J10" s="187"/>
      <c r="K10" s="187"/>
    </row>
    <row r="11" spans="1:11" x14ac:dyDescent="0.4">
      <c r="C11" s="187"/>
      <c r="D11" s="187"/>
      <c r="E11" s="187"/>
      <c r="F11" s="187"/>
      <c r="G11" s="187"/>
      <c r="H11" s="187"/>
      <c r="I11" s="187"/>
      <c r="J11" s="187"/>
      <c r="K11" s="187"/>
    </row>
    <row r="12" spans="1:11" ht="14.5" customHeight="1" x14ac:dyDescent="0.4">
      <c r="C12" s="187"/>
      <c r="D12" s="187"/>
      <c r="E12" s="187"/>
      <c r="F12" s="187"/>
      <c r="G12" s="187"/>
      <c r="H12" s="187"/>
      <c r="I12" s="187"/>
      <c r="J12" s="187"/>
      <c r="K12" s="187"/>
    </row>
    <row r="13" spans="1:11" x14ac:dyDescent="0.4">
      <c r="C13" s="187"/>
      <c r="D13" s="187"/>
      <c r="E13" s="187"/>
      <c r="F13" s="187"/>
      <c r="G13" s="187"/>
      <c r="H13" s="187"/>
      <c r="I13" s="187"/>
      <c r="J13" s="187"/>
      <c r="K13" s="187"/>
    </row>
    <row r="14" spans="1:11" x14ac:dyDescent="0.4">
      <c r="C14" s="187"/>
      <c r="D14" s="187"/>
      <c r="E14" s="187"/>
      <c r="F14" s="187"/>
      <c r="G14" s="187"/>
      <c r="H14" s="187"/>
      <c r="I14" s="187"/>
      <c r="J14" s="187"/>
      <c r="K14" s="187"/>
    </row>
    <row r="15" spans="1:11" x14ac:dyDescent="0.4">
      <c r="C15" s="187"/>
      <c r="D15" s="187"/>
      <c r="E15" s="187"/>
      <c r="F15" s="187"/>
      <c r="G15" s="187"/>
      <c r="H15" s="187"/>
      <c r="I15" s="187"/>
      <c r="J15" s="187"/>
      <c r="K15" s="187"/>
    </row>
    <row r="16" spans="1:11" x14ac:dyDescent="0.4">
      <c r="C16" s="187"/>
      <c r="D16" s="187"/>
      <c r="E16" s="187"/>
      <c r="F16" s="187"/>
      <c r="G16" s="187"/>
      <c r="H16" s="187"/>
      <c r="I16" s="187"/>
      <c r="J16" s="187"/>
      <c r="K16" s="187"/>
    </row>
    <row r="17" spans="3:11" x14ac:dyDescent="0.4">
      <c r="C17" s="187"/>
      <c r="D17" s="187"/>
      <c r="E17" s="187"/>
      <c r="F17" s="187"/>
      <c r="G17" s="187"/>
      <c r="H17" s="187"/>
      <c r="I17" s="187"/>
      <c r="J17" s="187"/>
      <c r="K17" s="187"/>
    </row>
    <row r="18" spans="3:11" x14ac:dyDescent="0.4">
      <c r="C18" s="187"/>
      <c r="D18" s="187"/>
      <c r="E18" s="187"/>
      <c r="F18" s="187"/>
      <c r="G18" s="187"/>
      <c r="H18" s="187"/>
      <c r="I18" s="187"/>
      <c r="J18" s="187"/>
      <c r="K18" s="187"/>
    </row>
    <row r="19" spans="3:11" x14ac:dyDescent="0.4">
      <c r="C19" s="187"/>
      <c r="D19" s="187"/>
      <c r="E19" s="187"/>
      <c r="F19" s="187"/>
      <c r="G19" s="187"/>
      <c r="H19" s="187"/>
      <c r="I19" s="187"/>
      <c r="J19" s="187"/>
      <c r="K19" s="187"/>
    </row>
    <row r="20" spans="3:11" x14ac:dyDescent="0.4">
      <c r="C20" s="187"/>
      <c r="D20" s="187"/>
      <c r="E20" s="187"/>
      <c r="F20" s="187"/>
      <c r="G20" s="187"/>
      <c r="H20" s="187"/>
      <c r="I20" s="187"/>
      <c r="J20" s="187"/>
      <c r="K20" s="187"/>
    </row>
    <row r="21" spans="3:11" x14ac:dyDescent="0.4">
      <c r="C21" s="187"/>
      <c r="D21" s="187"/>
      <c r="E21" s="187"/>
      <c r="F21" s="187"/>
      <c r="G21" s="187"/>
      <c r="H21" s="187"/>
      <c r="I21" s="187"/>
      <c r="J21" s="187"/>
      <c r="K21" s="187"/>
    </row>
    <row r="22" spans="3:11" x14ac:dyDescent="0.4">
      <c r="C22" s="187"/>
      <c r="D22" s="187"/>
      <c r="E22" s="187"/>
      <c r="F22" s="187"/>
      <c r="G22" s="187"/>
      <c r="H22" s="187"/>
      <c r="I22" s="187"/>
      <c r="J22" s="187"/>
      <c r="K22" s="187"/>
    </row>
    <row r="23" spans="3:11" x14ac:dyDescent="0.4">
      <c r="C23" s="187"/>
      <c r="D23" s="187"/>
      <c r="E23" s="187"/>
      <c r="F23" s="187"/>
      <c r="G23" s="187"/>
      <c r="H23" s="187"/>
      <c r="I23" s="187"/>
      <c r="J23" s="187"/>
      <c r="K23" s="187"/>
    </row>
    <row r="24" spans="3:11" x14ac:dyDescent="0.4">
      <c r="C24" s="187"/>
      <c r="D24" s="187"/>
      <c r="E24" s="187"/>
      <c r="F24" s="187"/>
      <c r="G24" s="187"/>
      <c r="H24" s="187"/>
      <c r="I24" s="187"/>
      <c r="J24" s="187"/>
      <c r="K24" s="187"/>
    </row>
    <row r="25" spans="3:11" x14ac:dyDescent="0.4">
      <c r="C25" s="187"/>
      <c r="D25" s="187"/>
      <c r="E25" s="187"/>
      <c r="F25" s="187"/>
      <c r="G25" s="187"/>
      <c r="H25" s="187"/>
      <c r="I25" s="187"/>
      <c r="J25" s="187"/>
      <c r="K25" s="187"/>
    </row>
    <row r="26" spans="3:11" x14ac:dyDescent="0.4">
      <c r="C26" s="187"/>
      <c r="D26" s="187"/>
      <c r="E26" s="187"/>
      <c r="F26" s="187"/>
      <c r="G26" s="187"/>
      <c r="H26" s="187"/>
      <c r="I26" s="187"/>
      <c r="J26" s="187"/>
      <c r="K26" s="187"/>
    </row>
    <row r="27" spans="3:11" x14ac:dyDescent="0.4">
      <c r="C27" s="187"/>
      <c r="D27" s="187"/>
      <c r="E27" s="187"/>
      <c r="F27" s="187"/>
      <c r="G27" s="187"/>
      <c r="H27" s="187"/>
      <c r="I27" s="187"/>
      <c r="J27" s="187"/>
      <c r="K27" s="187"/>
    </row>
    <row r="28" spans="3:11" x14ac:dyDescent="0.4">
      <c r="C28" s="187"/>
      <c r="D28" s="187"/>
      <c r="E28" s="187"/>
      <c r="F28" s="187"/>
      <c r="G28" s="187"/>
      <c r="H28" s="187"/>
      <c r="I28" s="187"/>
      <c r="J28" s="187"/>
      <c r="K28" s="187"/>
    </row>
    <row r="29" spans="3:11" x14ac:dyDescent="0.4">
      <c r="C29" s="187"/>
      <c r="D29" s="187"/>
      <c r="E29" s="187"/>
      <c r="F29" s="187"/>
      <c r="G29" s="187"/>
      <c r="H29" s="187"/>
      <c r="I29" s="187"/>
      <c r="J29" s="187"/>
      <c r="K29" s="187"/>
    </row>
    <row r="30" spans="3:11" x14ac:dyDescent="0.4">
      <c r="C30" s="187"/>
      <c r="D30" s="187"/>
      <c r="E30" s="187"/>
      <c r="F30" s="187"/>
      <c r="G30" s="187"/>
      <c r="H30" s="187"/>
      <c r="I30" s="187"/>
      <c r="J30" s="187"/>
      <c r="K30" s="187"/>
    </row>
    <row r="31" spans="3:11" x14ac:dyDescent="0.4">
      <c r="C31" s="187"/>
      <c r="D31" s="187"/>
      <c r="E31" s="187"/>
      <c r="F31" s="187"/>
      <c r="G31" s="187"/>
      <c r="H31" s="187"/>
      <c r="I31" s="187"/>
      <c r="J31" s="187"/>
      <c r="K31" s="187"/>
    </row>
    <row r="32" spans="3:11" x14ac:dyDescent="0.4">
      <c r="C32" s="187"/>
      <c r="D32" s="187"/>
      <c r="E32" s="187"/>
      <c r="F32" s="187"/>
      <c r="G32" s="187"/>
      <c r="H32" s="187"/>
      <c r="I32" s="187"/>
      <c r="J32" s="187"/>
      <c r="K32" s="187"/>
    </row>
    <row r="33" spans="3:11" x14ac:dyDescent="0.4">
      <c r="C33" s="187"/>
      <c r="D33" s="187"/>
      <c r="E33" s="187"/>
      <c r="F33" s="187"/>
      <c r="G33" s="187"/>
      <c r="H33" s="187"/>
      <c r="I33" s="187"/>
      <c r="J33" s="187"/>
      <c r="K33" s="187"/>
    </row>
    <row r="34" spans="3:11" x14ac:dyDescent="0.4">
      <c r="C34" s="187"/>
      <c r="D34" s="187"/>
      <c r="E34" s="187"/>
      <c r="F34" s="187"/>
      <c r="G34" s="187"/>
      <c r="H34" s="187"/>
      <c r="I34" s="187"/>
      <c r="J34" s="187"/>
      <c r="K34" s="187"/>
    </row>
    <row r="35" spans="3:11" x14ac:dyDescent="0.4">
      <c r="C35" s="187"/>
      <c r="D35" s="187"/>
      <c r="E35" s="187"/>
      <c r="F35" s="187"/>
      <c r="G35" s="187"/>
      <c r="H35" s="187"/>
      <c r="I35" s="187"/>
      <c r="J35" s="187"/>
      <c r="K35" s="187"/>
    </row>
    <row r="36" spans="3:11" x14ac:dyDescent="0.4">
      <c r="C36" s="187"/>
      <c r="D36" s="187"/>
      <c r="E36" s="187"/>
      <c r="F36" s="187"/>
      <c r="G36" s="187"/>
      <c r="H36" s="187"/>
      <c r="I36" s="187"/>
      <c r="J36" s="187"/>
      <c r="K36" s="187"/>
    </row>
    <row r="37" spans="3:11" x14ac:dyDescent="0.4">
      <c r="C37" s="187"/>
      <c r="D37" s="187"/>
      <c r="E37" s="187"/>
      <c r="F37" s="187"/>
      <c r="G37" s="187"/>
      <c r="H37" s="187"/>
      <c r="I37" s="187"/>
      <c r="J37" s="187"/>
      <c r="K37" s="187"/>
    </row>
    <row r="38" spans="3:11" x14ac:dyDescent="0.4">
      <c r="C38" s="187"/>
      <c r="D38" s="187"/>
      <c r="E38" s="187"/>
      <c r="F38" s="187"/>
      <c r="G38" s="187"/>
      <c r="H38" s="187"/>
      <c r="I38" s="187"/>
      <c r="J38" s="187"/>
      <c r="K38" s="187"/>
    </row>
    <row r="39" spans="3:11" x14ac:dyDescent="0.4">
      <c r="C39" s="187"/>
      <c r="D39" s="187"/>
      <c r="E39" s="187"/>
      <c r="F39" s="187"/>
      <c r="G39" s="187"/>
      <c r="H39" s="187"/>
      <c r="I39" s="187"/>
      <c r="J39" s="187"/>
      <c r="K39" s="187"/>
    </row>
    <row r="40" spans="3:11" x14ac:dyDescent="0.4">
      <c r="C40" s="187"/>
      <c r="D40" s="187"/>
      <c r="E40" s="187"/>
      <c r="F40" s="187"/>
      <c r="G40" s="187"/>
      <c r="H40" s="187"/>
      <c r="I40" s="187"/>
      <c r="J40" s="187"/>
      <c r="K40" s="187"/>
    </row>
    <row r="41" spans="3:11" x14ac:dyDescent="0.4">
      <c r="C41" s="187"/>
      <c r="D41" s="187"/>
      <c r="E41" s="187"/>
      <c r="F41" s="187"/>
      <c r="G41" s="187"/>
      <c r="H41" s="187"/>
      <c r="I41" s="187"/>
      <c r="J41" s="187"/>
      <c r="K41" s="187"/>
    </row>
    <row r="42" spans="3:11" x14ac:dyDescent="0.4">
      <c r="C42" s="187"/>
      <c r="D42" s="187"/>
      <c r="E42" s="187"/>
      <c r="F42" s="187"/>
      <c r="G42" s="187"/>
      <c r="H42" s="187"/>
      <c r="I42" s="187"/>
      <c r="J42" s="187"/>
      <c r="K42" s="187"/>
    </row>
    <row r="43" spans="3:11" x14ac:dyDescent="0.4">
      <c r="C43" s="187"/>
      <c r="D43" s="187"/>
      <c r="E43" s="187"/>
      <c r="F43" s="187"/>
      <c r="G43" s="187"/>
      <c r="H43" s="187"/>
      <c r="I43" s="187"/>
      <c r="J43" s="187"/>
      <c r="K43" s="187"/>
    </row>
    <row r="44" spans="3:11" x14ac:dyDescent="0.4">
      <c r="C44" s="187"/>
      <c r="D44" s="187"/>
      <c r="E44" s="187"/>
      <c r="F44" s="187"/>
      <c r="G44" s="187"/>
      <c r="H44" s="187"/>
      <c r="I44" s="187"/>
      <c r="J44" s="187"/>
      <c r="K44" s="187"/>
    </row>
    <row r="45" spans="3:11" x14ac:dyDescent="0.4">
      <c r="C45" s="187"/>
      <c r="D45" s="187"/>
      <c r="E45" s="187"/>
      <c r="F45" s="187"/>
      <c r="G45" s="187"/>
      <c r="H45" s="187"/>
      <c r="I45" s="187"/>
      <c r="J45" s="187"/>
      <c r="K45" s="187"/>
    </row>
    <row r="46" spans="3:11" x14ac:dyDescent="0.4">
      <c r="C46" s="187"/>
      <c r="D46" s="187"/>
      <c r="E46" s="187"/>
      <c r="F46" s="187"/>
      <c r="G46" s="187"/>
      <c r="H46" s="187"/>
      <c r="I46" s="187"/>
      <c r="J46" s="187"/>
      <c r="K46" s="187"/>
    </row>
    <row r="47" spans="3:11" x14ac:dyDescent="0.4">
      <c r="C47" s="187"/>
      <c r="D47" s="187"/>
      <c r="E47" s="187"/>
      <c r="F47" s="187"/>
      <c r="G47" s="187"/>
      <c r="H47" s="187"/>
      <c r="I47" s="187"/>
      <c r="J47" s="187"/>
      <c r="K47" s="187"/>
    </row>
    <row r="48" spans="3:11" x14ac:dyDescent="0.4">
      <c r="C48" s="187"/>
      <c r="D48" s="187"/>
      <c r="E48" s="187"/>
      <c r="F48" s="187"/>
      <c r="G48" s="187"/>
      <c r="H48" s="187"/>
      <c r="I48" s="187"/>
      <c r="J48" s="187"/>
      <c r="K48" s="187"/>
    </row>
    <row r="49" spans="3:11" x14ac:dyDescent="0.4">
      <c r="C49" s="187"/>
      <c r="D49" s="187"/>
      <c r="E49" s="187"/>
      <c r="F49" s="187"/>
      <c r="G49" s="187"/>
      <c r="H49" s="187"/>
      <c r="I49" s="187"/>
      <c r="J49" s="187"/>
      <c r="K49" s="187"/>
    </row>
    <row r="50" spans="3:11" x14ac:dyDescent="0.4">
      <c r="C50" s="187"/>
      <c r="D50" s="187"/>
      <c r="E50" s="187"/>
      <c r="F50" s="187"/>
      <c r="G50" s="187"/>
      <c r="H50" s="187"/>
      <c r="I50" s="187"/>
      <c r="J50" s="187"/>
      <c r="K50" s="187"/>
    </row>
    <row r="51" spans="3:11" x14ac:dyDescent="0.4">
      <c r="C51" s="187"/>
      <c r="D51" s="187"/>
      <c r="E51" s="187"/>
      <c r="F51" s="187"/>
      <c r="G51" s="187"/>
      <c r="H51" s="187"/>
      <c r="I51" s="187"/>
      <c r="J51" s="187"/>
      <c r="K51" s="187"/>
    </row>
    <row r="52" spans="3:11" x14ac:dyDescent="0.4">
      <c r="C52" s="187"/>
      <c r="D52" s="187"/>
      <c r="E52" s="187"/>
      <c r="F52" s="187"/>
      <c r="G52" s="187"/>
      <c r="H52" s="187"/>
      <c r="I52" s="187"/>
      <c r="J52" s="187"/>
      <c r="K52" s="187"/>
    </row>
    <row r="53" spans="3:11" x14ac:dyDescent="0.4">
      <c r="C53" s="187"/>
      <c r="D53" s="187"/>
      <c r="E53" s="187"/>
      <c r="F53" s="187"/>
      <c r="G53" s="187"/>
      <c r="H53" s="187"/>
      <c r="I53" s="187"/>
      <c r="J53" s="187"/>
      <c r="K53" s="187"/>
    </row>
    <row r="54" spans="3:11" x14ac:dyDescent="0.4">
      <c r="C54" s="187"/>
      <c r="D54" s="187"/>
      <c r="E54" s="187"/>
      <c r="F54" s="187"/>
      <c r="G54" s="187"/>
      <c r="H54" s="187"/>
      <c r="I54" s="187"/>
      <c r="J54" s="187"/>
      <c r="K54" s="187"/>
    </row>
    <row r="55" spans="3:11" x14ac:dyDescent="0.4">
      <c r="C55" s="187"/>
      <c r="D55" s="187"/>
      <c r="E55" s="187"/>
      <c r="F55" s="187"/>
      <c r="G55" s="187"/>
      <c r="H55" s="187"/>
      <c r="I55" s="187"/>
      <c r="J55" s="187"/>
      <c r="K55" s="187"/>
    </row>
    <row r="56" spans="3:11" x14ac:dyDescent="0.4">
      <c r="C56" s="187"/>
      <c r="D56" s="187"/>
      <c r="E56" s="187"/>
      <c r="F56" s="187"/>
      <c r="G56" s="187"/>
      <c r="H56" s="187"/>
      <c r="I56" s="187"/>
      <c r="J56" s="187"/>
      <c r="K56" s="187"/>
    </row>
    <row r="57" spans="3:11" x14ac:dyDescent="0.4">
      <c r="C57" s="187"/>
      <c r="D57" s="187"/>
      <c r="E57" s="187"/>
      <c r="F57" s="187"/>
      <c r="G57" s="187"/>
      <c r="H57" s="187"/>
      <c r="I57" s="187"/>
      <c r="J57" s="187"/>
      <c r="K57" s="187"/>
    </row>
    <row r="58" spans="3:11" x14ac:dyDescent="0.4">
      <c r="C58" s="187"/>
      <c r="D58" s="187"/>
      <c r="E58" s="187"/>
      <c r="F58" s="187"/>
      <c r="G58" s="187"/>
      <c r="H58" s="187"/>
      <c r="I58" s="187"/>
      <c r="J58" s="187"/>
      <c r="K58" s="187"/>
    </row>
    <row r="59" spans="3:11" x14ac:dyDescent="0.4">
      <c r="C59" s="187"/>
      <c r="D59" s="187"/>
      <c r="E59" s="187"/>
      <c r="F59" s="187"/>
      <c r="G59" s="187"/>
      <c r="H59" s="187"/>
      <c r="I59" s="187"/>
      <c r="J59" s="187"/>
      <c r="K59" s="187"/>
    </row>
    <row r="60" spans="3:11" x14ac:dyDescent="0.4">
      <c r="C60" s="187"/>
      <c r="D60" s="187"/>
      <c r="E60" s="187"/>
      <c r="F60" s="187"/>
      <c r="G60" s="187"/>
      <c r="H60" s="187"/>
      <c r="I60" s="187"/>
      <c r="J60" s="187"/>
      <c r="K60" s="187"/>
    </row>
    <row r="61" spans="3:11" x14ac:dyDescent="0.4">
      <c r="C61" s="187"/>
      <c r="D61" s="187"/>
      <c r="E61" s="187"/>
      <c r="F61" s="187"/>
      <c r="G61" s="187"/>
      <c r="H61" s="187"/>
      <c r="I61" s="187"/>
      <c r="J61" s="187"/>
      <c r="K61" s="187"/>
    </row>
    <row r="62" spans="3:11" x14ac:dyDescent="0.4">
      <c r="C62" s="187"/>
      <c r="D62" s="187"/>
      <c r="E62" s="187"/>
      <c r="F62" s="187"/>
      <c r="G62" s="187"/>
      <c r="H62" s="187"/>
      <c r="I62" s="187"/>
      <c r="J62" s="187"/>
      <c r="K62" s="187"/>
    </row>
    <row r="63" spans="3:11" x14ac:dyDescent="0.4">
      <c r="C63" s="187"/>
      <c r="D63" s="187"/>
      <c r="E63" s="187"/>
      <c r="F63" s="187"/>
      <c r="G63" s="187"/>
      <c r="H63" s="187"/>
      <c r="I63" s="187"/>
      <c r="J63" s="187"/>
      <c r="K63" s="187"/>
    </row>
    <row r="64" spans="3:11" x14ac:dyDescent="0.4">
      <c r="C64" s="187"/>
      <c r="D64" s="187"/>
      <c r="E64" s="187"/>
      <c r="F64" s="187"/>
      <c r="G64" s="187"/>
      <c r="H64" s="187"/>
      <c r="I64" s="187"/>
      <c r="J64" s="187"/>
      <c r="K64" s="187"/>
    </row>
    <row r="65" spans="2:11" x14ac:dyDescent="0.4">
      <c r="C65" s="187"/>
      <c r="D65" s="187"/>
      <c r="E65" s="187"/>
      <c r="F65" s="187"/>
      <c r="G65" s="187"/>
      <c r="H65" s="187"/>
      <c r="I65" s="187"/>
      <c r="J65" s="187"/>
      <c r="K65" s="187"/>
    </row>
    <row r="66" spans="2:11" x14ac:dyDescent="0.4">
      <c r="C66" s="187"/>
      <c r="D66" s="187"/>
      <c r="E66" s="187"/>
      <c r="F66" s="187"/>
      <c r="G66" s="187"/>
      <c r="H66" s="187"/>
      <c r="I66" s="187"/>
      <c r="J66" s="187"/>
      <c r="K66" s="187"/>
    </row>
    <row r="67" spans="2:11" x14ac:dyDescent="0.4">
      <c r="C67" s="187"/>
      <c r="D67" s="187"/>
      <c r="E67" s="187"/>
      <c r="F67" s="187"/>
      <c r="G67" s="187"/>
      <c r="H67" s="187"/>
      <c r="I67" s="187"/>
      <c r="J67" s="187"/>
      <c r="K67" s="187"/>
    </row>
    <row r="68" spans="2:11" x14ac:dyDescent="0.4">
      <c r="C68" s="187"/>
      <c r="D68" s="187"/>
      <c r="E68" s="187"/>
      <c r="F68" s="187"/>
      <c r="G68" s="187"/>
      <c r="H68" s="187"/>
      <c r="I68" s="187"/>
      <c r="J68" s="187"/>
      <c r="K68" s="187"/>
    </row>
    <row r="69" spans="2:11" x14ac:dyDescent="0.4">
      <c r="C69" s="187"/>
      <c r="D69" s="187"/>
      <c r="E69" s="187"/>
      <c r="F69" s="187"/>
      <c r="G69" s="187"/>
      <c r="H69" s="187"/>
      <c r="I69" s="187"/>
      <c r="J69" s="187"/>
      <c r="K69" s="187"/>
    </row>
    <row r="70" spans="2:11" x14ac:dyDescent="0.4">
      <c r="C70" s="187"/>
      <c r="D70" s="187"/>
      <c r="E70" s="187"/>
      <c r="F70" s="187"/>
      <c r="G70" s="187"/>
      <c r="H70" s="187"/>
      <c r="I70" s="187"/>
      <c r="J70" s="187"/>
      <c r="K70" s="187"/>
    </row>
    <row r="71" spans="2:11" s="10" customFormat="1" x14ac:dyDescent="0.4">
      <c r="B71" s="120"/>
      <c r="C71" s="188"/>
      <c r="D71" s="188"/>
      <c r="E71" s="187"/>
      <c r="F71" s="187"/>
      <c r="G71" s="187"/>
      <c r="H71" s="188"/>
      <c r="I71" s="187"/>
      <c r="J71" s="187"/>
      <c r="K71" s="188"/>
    </row>
    <row r="72" spans="2:11" s="10" customFormat="1" x14ac:dyDescent="0.4">
      <c r="B72" s="120"/>
      <c r="C72" s="188"/>
      <c r="D72" s="188"/>
      <c r="E72" s="187"/>
      <c r="F72" s="188"/>
      <c r="G72" s="188"/>
      <c r="H72" s="188"/>
      <c r="I72" s="188"/>
      <c r="J72" s="187"/>
      <c r="K72" s="188"/>
    </row>
    <row r="73" spans="2:11" s="10" customFormat="1" x14ac:dyDescent="0.4">
      <c r="B73" s="120"/>
      <c r="C73" s="188"/>
      <c r="D73" s="188"/>
      <c r="E73" s="187"/>
      <c r="F73" s="188"/>
      <c r="G73" s="188"/>
      <c r="H73" s="188"/>
      <c r="I73" s="188"/>
      <c r="J73" s="187"/>
      <c r="K73" s="188"/>
    </row>
    <row r="74" spans="2:11" s="10" customFormat="1" x14ac:dyDescent="0.4">
      <c r="B74" s="120"/>
      <c r="C74" s="188"/>
      <c r="D74" s="188"/>
      <c r="E74" s="187"/>
      <c r="F74" s="188"/>
      <c r="G74" s="188"/>
      <c r="H74" s="188"/>
      <c r="I74" s="188"/>
      <c r="J74" s="187"/>
      <c r="K74" s="188"/>
    </row>
    <row r="75" spans="2:11" x14ac:dyDescent="0.4">
      <c r="C75" s="187"/>
      <c r="D75" s="187"/>
      <c r="E75" s="187"/>
      <c r="F75" s="187"/>
      <c r="G75" s="187"/>
      <c r="H75" s="187"/>
      <c r="I75" s="187"/>
      <c r="J75" s="187"/>
      <c r="K75" s="188"/>
    </row>
    <row r="76" spans="2:11" x14ac:dyDescent="0.4">
      <c r="C76" s="187"/>
      <c r="D76" s="187"/>
      <c r="E76" s="187"/>
      <c r="F76" s="187"/>
      <c r="G76" s="187"/>
      <c r="H76" s="187"/>
      <c r="I76" s="187"/>
      <c r="J76" s="187"/>
      <c r="K76" s="188"/>
    </row>
    <row r="77" spans="2:11" x14ac:dyDescent="0.4">
      <c r="C77" s="187"/>
      <c r="D77" s="187"/>
      <c r="E77" s="187"/>
      <c r="F77" s="187"/>
      <c r="G77" s="187"/>
      <c r="H77" s="187"/>
      <c r="I77" s="187"/>
      <c r="J77" s="187"/>
      <c r="K77" s="187"/>
    </row>
    <row r="78" spans="2:11" x14ac:dyDescent="0.4">
      <c r="C78" s="187"/>
      <c r="D78" s="187"/>
      <c r="E78" s="187"/>
      <c r="F78" s="187"/>
      <c r="G78" s="187"/>
      <c r="H78" s="187"/>
      <c r="I78" s="187"/>
      <c r="J78" s="187"/>
      <c r="K78" s="187"/>
    </row>
    <row r="79" spans="2:11" x14ac:dyDescent="0.4">
      <c r="C79" s="187"/>
      <c r="D79" s="187"/>
      <c r="E79" s="187"/>
      <c r="F79" s="187"/>
      <c r="G79" s="187"/>
      <c r="H79" s="187"/>
      <c r="I79" s="187"/>
      <c r="J79" s="187"/>
      <c r="K79" s="187"/>
    </row>
    <row r="80" spans="2:11" x14ac:dyDescent="0.4">
      <c r="C80" s="187"/>
      <c r="D80" s="187"/>
      <c r="E80" s="187"/>
      <c r="F80" s="187"/>
      <c r="G80" s="187"/>
      <c r="H80" s="187"/>
      <c r="I80" s="187"/>
      <c r="J80" s="187"/>
      <c r="K80" s="187"/>
    </row>
    <row r="81" spans="3:34" x14ac:dyDescent="0.4">
      <c r="C81" s="187"/>
      <c r="D81" s="187"/>
      <c r="E81" s="187"/>
      <c r="F81" s="187"/>
      <c r="G81" s="187"/>
      <c r="H81" s="187"/>
      <c r="I81" s="187"/>
      <c r="J81" s="187"/>
      <c r="K81" s="187"/>
    </row>
    <row r="82" spans="3:34" x14ac:dyDescent="0.4">
      <c r="C82" s="187"/>
      <c r="D82" s="187"/>
      <c r="E82" s="187"/>
      <c r="F82" s="187"/>
      <c r="G82" s="187"/>
      <c r="H82" s="187"/>
      <c r="I82" s="187"/>
      <c r="J82" s="187"/>
      <c r="K82" s="187"/>
    </row>
    <row r="83" spans="3:34" x14ac:dyDescent="0.4">
      <c r="C83" s="187"/>
      <c r="D83" s="187"/>
      <c r="E83" s="187"/>
      <c r="F83" s="187"/>
      <c r="G83" s="187"/>
      <c r="H83" s="187"/>
      <c r="I83" s="187"/>
      <c r="J83" s="187"/>
      <c r="K83" s="187"/>
    </row>
    <row r="84" spans="3:34" x14ac:dyDescent="0.4">
      <c r="C84" s="187"/>
      <c r="D84" s="187"/>
      <c r="E84" s="187"/>
      <c r="F84" s="187"/>
      <c r="G84" s="187"/>
      <c r="H84" s="187"/>
      <c r="I84" s="187"/>
      <c r="J84" s="187"/>
      <c r="K84" s="187"/>
    </row>
    <row r="85" spans="3:34" x14ac:dyDescent="0.4">
      <c r="C85" s="187"/>
      <c r="D85" s="187"/>
      <c r="E85" s="187"/>
      <c r="F85" s="187"/>
      <c r="G85" s="187"/>
      <c r="H85" s="187"/>
      <c r="I85" s="187"/>
      <c r="J85" s="187"/>
      <c r="K85" s="187"/>
    </row>
    <row r="86" spans="3:34" x14ac:dyDescent="0.4">
      <c r="C86" s="187"/>
      <c r="D86" s="187"/>
      <c r="E86" s="187"/>
      <c r="F86" s="187"/>
      <c r="G86" s="187"/>
      <c r="H86" s="187"/>
      <c r="I86" s="187"/>
      <c r="J86" s="187"/>
      <c r="K86" s="187"/>
    </row>
    <row r="87" spans="3:34" x14ac:dyDescent="0.4">
      <c r="C87" s="187"/>
      <c r="D87" s="187"/>
      <c r="E87" s="187"/>
      <c r="F87" s="187"/>
      <c r="G87" s="187"/>
      <c r="H87" s="187"/>
      <c r="I87" s="187"/>
      <c r="J87" s="187"/>
      <c r="K87" s="187"/>
    </row>
    <row r="88" spans="3:34" x14ac:dyDescent="0.4">
      <c r="C88" s="187"/>
      <c r="D88" s="187"/>
      <c r="E88" s="187"/>
      <c r="F88" s="187"/>
      <c r="G88" s="187"/>
      <c r="H88" s="187"/>
      <c r="I88" s="187"/>
      <c r="J88" s="187"/>
      <c r="K88" s="187"/>
    </row>
    <row r="89" spans="3:34" x14ac:dyDescent="0.4">
      <c r="C89" s="187"/>
      <c r="D89" s="187"/>
      <c r="E89" s="187"/>
      <c r="F89" s="187"/>
      <c r="G89" s="187"/>
      <c r="H89" s="187"/>
      <c r="I89" s="187"/>
      <c r="J89" s="187"/>
      <c r="K89" s="187"/>
    </row>
    <row r="90" spans="3:34" x14ac:dyDescent="0.4">
      <c r="C90" s="187"/>
      <c r="D90" s="187"/>
      <c r="E90" s="187"/>
      <c r="F90" s="187"/>
      <c r="G90" s="187"/>
      <c r="H90" s="187"/>
      <c r="I90" s="187"/>
      <c r="J90" s="187"/>
      <c r="K90" s="187"/>
    </row>
    <row r="91" spans="3:34" x14ac:dyDescent="0.4">
      <c r="C91" s="187"/>
      <c r="D91" s="187"/>
      <c r="E91" s="187"/>
      <c r="F91" s="187"/>
      <c r="G91" s="187"/>
      <c r="H91" s="187"/>
      <c r="I91" s="187"/>
      <c r="J91" s="187"/>
      <c r="K91" s="187"/>
    </row>
    <row r="92" spans="3:34" x14ac:dyDescent="0.4">
      <c r="C92" s="187"/>
      <c r="D92" s="187"/>
      <c r="E92" s="187"/>
      <c r="F92" s="187"/>
      <c r="G92" s="187"/>
      <c r="H92" s="187"/>
      <c r="I92" s="187"/>
      <c r="J92" s="187"/>
      <c r="K92" s="187"/>
      <c r="AH92" t="s">
        <v>24</v>
      </c>
    </row>
  </sheetData>
  <pageMargins left="0.7" right="0.7" top="0.75" bottom="0.75" header="0.3" footer="0.3"/>
  <drawing r:id="rId1"/>
  <legacyDrawing r:id="rId2"/>
  <controls>
    <mc:AlternateContent xmlns:mc="http://schemas.openxmlformats.org/markup-compatibility/2006">
      <mc:Choice Requires="x14">
        <control shapeId="17426" r:id="rId3" name="cmdGetFert">
          <controlPr defaultSize="0" autoLine="0" r:id="rId4">
            <anchor moveWithCells="1">
              <from>
                <xdr:col>5</xdr:col>
                <xdr:colOff>21771</xdr:colOff>
                <xdr:row>0</xdr:row>
                <xdr:rowOff>239486</xdr:rowOff>
              </from>
              <to>
                <xdr:col>6</xdr:col>
                <xdr:colOff>391886</xdr:colOff>
                <xdr:row>1</xdr:row>
                <xdr:rowOff>234043</xdr:rowOff>
              </to>
            </anchor>
          </controlPr>
        </control>
      </mc:Choice>
      <mc:Fallback>
        <control shapeId="17426" r:id="rId3" name="cmdGetFert"/>
      </mc:Fallback>
    </mc:AlternateContent>
    <mc:AlternateContent xmlns:mc="http://schemas.openxmlformats.org/markup-compatibility/2006">
      <mc:Choice Requires="x14">
        <control shapeId="17424" r:id="rId5" name="cmbBoxFert">
          <controlPr defaultSize="0" autoLine="0" linkedCell="B2" r:id="rId6">
            <anchor moveWithCells="1">
              <from>
                <xdr:col>1</xdr:col>
                <xdr:colOff>21771</xdr:colOff>
                <xdr:row>1</xdr:row>
                <xdr:rowOff>21771</xdr:rowOff>
              </from>
              <to>
                <xdr:col>2</xdr:col>
                <xdr:colOff>620486</xdr:colOff>
                <xdr:row>2</xdr:row>
                <xdr:rowOff>10886</xdr:rowOff>
              </to>
            </anchor>
          </controlPr>
        </control>
      </mc:Choice>
      <mc:Fallback>
        <control shapeId="17424" r:id="rId5" name="cmbBoxFert"/>
      </mc:Fallback>
    </mc:AlternateContent>
    <mc:AlternateContent xmlns:mc="http://schemas.openxmlformats.org/markup-compatibility/2006">
      <mc:Choice Requires="x14">
        <control shapeId="17421" r:id="rId7" name="cmdWriteFert">
          <controlPr defaultSize="0" autoLine="0" r:id="rId8">
            <anchor moveWithCells="1">
              <from>
                <xdr:col>8</xdr:col>
                <xdr:colOff>342900</xdr:colOff>
                <xdr:row>0</xdr:row>
                <xdr:rowOff>239486</xdr:rowOff>
              </from>
              <to>
                <xdr:col>10</xdr:col>
                <xdr:colOff>65314</xdr:colOff>
                <xdr:row>1</xdr:row>
                <xdr:rowOff>228600</xdr:rowOff>
              </to>
            </anchor>
          </controlPr>
        </control>
      </mc:Choice>
      <mc:Fallback>
        <control shapeId="17421" r:id="rId7" name="cmdWriteFert"/>
      </mc:Fallback>
    </mc:AlternateContent>
    <mc:AlternateContent xmlns:mc="http://schemas.openxmlformats.org/markup-compatibility/2006">
      <mc:Choice Requires="x14">
        <control shapeId="17420" r:id="rId9" name="cmdReadFert">
          <controlPr defaultSize="0" autoLine="0" r:id="rId10">
            <anchor moveWithCells="1">
              <from>
                <xdr:col>6</xdr:col>
                <xdr:colOff>517071</xdr:colOff>
                <xdr:row>0</xdr:row>
                <xdr:rowOff>239486</xdr:rowOff>
              </from>
              <to>
                <xdr:col>8</xdr:col>
                <xdr:colOff>239486</xdr:colOff>
                <xdr:row>1</xdr:row>
                <xdr:rowOff>234043</xdr:rowOff>
              </to>
            </anchor>
          </controlPr>
        </control>
      </mc:Choice>
      <mc:Fallback>
        <control shapeId="17420" r:id="rId9" name="cmdReadFert"/>
      </mc:Fallback>
    </mc:AlternateContent>
    <mc:AlternateContent xmlns:mc="http://schemas.openxmlformats.org/markup-compatibility/2006">
      <mc:Choice Requires="x14">
        <control shapeId="17422" r:id="rId11" name="cmdRun">
          <controlPr defaultSize="0" autoLine="0" r:id="rId12">
            <anchor moveWithCells="1">
              <from>
                <xdr:col>10</xdr:col>
                <xdr:colOff>217714</xdr:colOff>
                <xdr:row>0</xdr:row>
                <xdr:rowOff>239486</xdr:rowOff>
              </from>
              <to>
                <xdr:col>11</xdr:col>
                <xdr:colOff>582386</xdr:colOff>
                <xdr:row>1</xdr:row>
                <xdr:rowOff>228600</xdr:rowOff>
              </to>
            </anchor>
          </controlPr>
        </control>
      </mc:Choice>
      <mc:Fallback>
        <control shapeId="17422" r:id="rId11" name="cmdRun"/>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I295"/>
  <sheetViews>
    <sheetView workbookViewId="0">
      <pane ySplit="5" topLeftCell="A6" activePane="bottomLeft" state="frozen"/>
      <selection pane="bottomLeft" activeCell="A6" sqref="A6"/>
    </sheetView>
  </sheetViews>
  <sheetFormatPr defaultRowHeight="14.6" x14ac:dyDescent="0.4"/>
  <cols>
    <col min="1" max="1" width="12.3046875" customWidth="1"/>
    <col min="2" max="2" width="19.69140625" customWidth="1"/>
    <col min="3" max="8" width="10.3046875" style="24" customWidth="1"/>
  </cols>
  <sheetData>
    <row r="1" spans="1:9" ht="25.4" customHeight="1" x14ac:dyDescent="0.4">
      <c r="A1" s="94" t="s">
        <v>1836</v>
      </c>
      <c r="C1"/>
      <c r="D1"/>
      <c r="E1"/>
      <c r="F1"/>
      <c r="G1"/>
      <c r="H1"/>
    </row>
    <row r="2" spans="1:9" ht="19.95" customHeight="1" x14ac:dyDescent="0.4">
      <c r="A2" s="27" t="s">
        <v>918</v>
      </c>
      <c r="B2" s="17" t="s">
        <v>1862</v>
      </c>
      <c r="C2" s="27" t="s">
        <v>758</v>
      </c>
      <c r="D2" s="85" t="s">
        <v>1540</v>
      </c>
      <c r="E2"/>
      <c r="F2"/>
      <c r="G2"/>
      <c r="H2"/>
    </row>
    <row r="3" spans="1:9" ht="15.65" customHeight="1" x14ac:dyDescent="0.4">
      <c r="A3" s="26" t="s">
        <v>900</v>
      </c>
      <c r="B3" s="17"/>
      <c r="C3" s="92" t="s">
        <v>901</v>
      </c>
      <c r="D3"/>
      <c r="E3"/>
      <c r="F3"/>
      <c r="G3"/>
      <c r="H3"/>
    </row>
    <row r="4" spans="1:9" s="186" customFormat="1" ht="12" x14ac:dyDescent="0.4">
      <c r="A4" s="186">
        <v>1</v>
      </c>
      <c r="B4" s="186">
        <v>2</v>
      </c>
      <c r="C4" s="186">
        <v>3</v>
      </c>
      <c r="D4" s="186">
        <v>4</v>
      </c>
      <c r="E4" s="186">
        <v>5</v>
      </c>
      <c r="F4" s="186">
        <v>6</v>
      </c>
      <c r="G4" s="186">
        <v>7</v>
      </c>
      <c r="H4" s="186">
        <v>8</v>
      </c>
    </row>
    <row r="5" spans="1:9" s="22" customFormat="1" x14ac:dyDescent="0.4">
      <c r="A5" s="75" t="s">
        <v>192</v>
      </c>
      <c r="B5" s="75" t="s">
        <v>193</v>
      </c>
      <c r="C5" s="75" t="s">
        <v>194</v>
      </c>
      <c r="D5" s="75" t="s">
        <v>195</v>
      </c>
      <c r="E5" s="75" t="s">
        <v>196</v>
      </c>
      <c r="F5" s="75" t="s">
        <v>197</v>
      </c>
      <c r="G5" s="75" t="s">
        <v>198</v>
      </c>
      <c r="H5" s="75" t="s">
        <v>199</v>
      </c>
      <c r="I5" s="75"/>
    </row>
    <row r="13" spans="1:9" x14ac:dyDescent="0.4">
      <c r="I13" s="1"/>
    </row>
    <row r="291" ht="15.75" customHeight="1" x14ac:dyDescent="0.4"/>
    <row r="292" ht="15.75" customHeight="1" x14ac:dyDescent="0.4"/>
    <row r="293" ht="15.75" customHeight="1" x14ac:dyDescent="0.4"/>
    <row r="294" ht="15.75" customHeight="1" x14ac:dyDescent="0.4"/>
    <row r="295" ht="15.75" customHeight="1" x14ac:dyDescent="0.4"/>
  </sheetData>
  <pageMargins left="0.7" right="0.7" top="0.75" bottom="0.75" header="0.3" footer="0.3"/>
  <drawing r:id="rId1"/>
  <legacyDrawing r:id="rId2"/>
  <controls>
    <mc:AlternateContent xmlns:mc="http://schemas.openxmlformats.org/markup-compatibility/2006">
      <mc:Choice Requires="x14">
        <control shapeId="18446" r:id="rId3" name="cmdGetPest">
          <controlPr defaultSize="0" autoLine="0" r:id="rId4">
            <anchor moveWithCells="1">
              <from>
                <xdr:col>4</xdr:col>
                <xdr:colOff>59871</xdr:colOff>
                <xdr:row>0</xdr:row>
                <xdr:rowOff>250371</xdr:rowOff>
              </from>
              <to>
                <xdr:col>5</xdr:col>
                <xdr:colOff>397329</xdr:colOff>
                <xdr:row>1</xdr:row>
                <xdr:rowOff>244929</xdr:rowOff>
              </to>
            </anchor>
          </controlPr>
        </control>
      </mc:Choice>
      <mc:Fallback>
        <control shapeId="18446" r:id="rId3" name="cmdGetPest"/>
      </mc:Fallback>
    </mc:AlternateContent>
    <mc:AlternateContent xmlns:mc="http://schemas.openxmlformats.org/markup-compatibility/2006">
      <mc:Choice Requires="x14">
        <control shapeId="18445" r:id="rId5" name="cmbBoxPest">
          <controlPr defaultSize="0" autoLine="0" linkedCell="B2" r:id="rId6">
            <anchor moveWithCells="1">
              <from>
                <xdr:col>1</xdr:col>
                <xdr:colOff>21771</xdr:colOff>
                <xdr:row>1</xdr:row>
                <xdr:rowOff>21771</xdr:rowOff>
              </from>
              <to>
                <xdr:col>1</xdr:col>
                <xdr:colOff>1366157</xdr:colOff>
                <xdr:row>2</xdr:row>
                <xdr:rowOff>10886</xdr:rowOff>
              </to>
            </anchor>
          </controlPr>
        </control>
      </mc:Choice>
      <mc:Fallback>
        <control shapeId="18445" r:id="rId5" name="cmbBoxPest"/>
      </mc:Fallback>
    </mc:AlternateContent>
    <mc:AlternateContent xmlns:mc="http://schemas.openxmlformats.org/markup-compatibility/2006">
      <mc:Choice Requires="x14">
        <control shapeId="18442" r:id="rId7" name="cmdWritePest">
          <controlPr defaultSize="0" autoLine="0" r:id="rId8">
            <anchor moveWithCells="1">
              <from>
                <xdr:col>7</xdr:col>
                <xdr:colOff>212271</xdr:colOff>
                <xdr:row>0</xdr:row>
                <xdr:rowOff>250371</xdr:rowOff>
              </from>
              <to>
                <xdr:col>8</xdr:col>
                <xdr:colOff>527957</xdr:colOff>
                <xdr:row>1</xdr:row>
                <xdr:rowOff>239486</xdr:rowOff>
              </to>
            </anchor>
          </controlPr>
        </control>
      </mc:Choice>
      <mc:Fallback>
        <control shapeId="18442" r:id="rId7" name="cmdWritePest"/>
      </mc:Fallback>
    </mc:AlternateContent>
    <mc:AlternateContent xmlns:mc="http://schemas.openxmlformats.org/markup-compatibility/2006">
      <mc:Choice Requires="x14">
        <control shapeId="18441" r:id="rId9" name="cmdReadPest">
          <controlPr defaultSize="0" autoLine="0" r:id="rId10">
            <anchor moveWithCells="1">
              <from>
                <xdr:col>5</xdr:col>
                <xdr:colOff>517071</xdr:colOff>
                <xdr:row>0</xdr:row>
                <xdr:rowOff>250371</xdr:rowOff>
              </from>
              <to>
                <xdr:col>7</xdr:col>
                <xdr:colOff>125186</xdr:colOff>
                <xdr:row>1</xdr:row>
                <xdr:rowOff>244929</xdr:rowOff>
              </to>
            </anchor>
          </controlPr>
        </control>
      </mc:Choice>
      <mc:Fallback>
        <control shapeId="18441" r:id="rId9" name="cmdReadPest"/>
      </mc:Fallback>
    </mc:AlternateContent>
    <mc:AlternateContent xmlns:mc="http://schemas.openxmlformats.org/markup-compatibility/2006">
      <mc:Choice Requires="x14">
        <control shapeId="18443" r:id="rId11" name="cmdRun">
          <controlPr defaultSize="0" autoLine="0" r:id="rId12">
            <anchor moveWithCells="1">
              <from>
                <xdr:col>9</xdr:col>
                <xdr:colOff>0</xdr:colOff>
                <xdr:row>0</xdr:row>
                <xdr:rowOff>250371</xdr:rowOff>
              </from>
              <to>
                <xdr:col>10</xdr:col>
                <xdr:colOff>359229</xdr:colOff>
                <xdr:row>1</xdr:row>
                <xdr:rowOff>239486</xdr:rowOff>
              </to>
            </anchor>
          </controlPr>
        </control>
      </mc:Choice>
      <mc:Fallback>
        <control shapeId="18443" r:id="rId11" name="cmdRun"/>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N9868"/>
  <sheetViews>
    <sheetView zoomScaleNormal="100" workbookViewId="0"/>
  </sheetViews>
  <sheetFormatPr defaultColWidth="9.15234375" defaultRowHeight="14.6" x14ac:dyDescent="0.4"/>
  <cols>
    <col min="1" max="1" width="11" customWidth="1"/>
    <col min="4" max="10" width="12.53515625" customWidth="1"/>
    <col min="11" max="11" width="3.84375" customWidth="1"/>
    <col min="12" max="12" width="13.69140625" customWidth="1"/>
    <col min="13" max="13" width="9.3828125" style="6" customWidth="1"/>
    <col min="14" max="14" width="10.69140625" style="6" bestFit="1" customWidth="1"/>
  </cols>
  <sheetData>
    <row r="1" spans="1:14" ht="25.4" customHeight="1" x14ac:dyDescent="0.4">
      <c r="A1" s="94" t="s">
        <v>1317</v>
      </c>
      <c r="B1" s="10"/>
      <c r="C1" s="8"/>
      <c r="L1" s="4"/>
    </row>
    <row r="2" spans="1:14" ht="19.95" customHeight="1" x14ac:dyDescent="0.4">
      <c r="A2" s="98" t="s">
        <v>918</v>
      </c>
      <c r="B2" s="95" t="s">
        <v>1870</v>
      </c>
      <c r="C2" s="17"/>
      <c r="D2" s="27" t="s">
        <v>758</v>
      </c>
      <c r="E2" s="85" t="s">
        <v>1539</v>
      </c>
      <c r="L2" s="4"/>
    </row>
    <row r="3" spans="1:14" x14ac:dyDescent="0.4">
      <c r="A3" s="99" t="s">
        <v>900</v>
      </c>
      <c r="B3" s="95"/>
      <c r="C3" s="92"/>
      <c r="D3" s="239" t="s">
        <v>1541</v>
      </c>
      <c r="E3" s="239"/>
      <c r="F3" s="239"/>
      <c r="G3" s="239"/>
      <c r="H3" s="239"/>
      <c r="I3" s="239"/>
      <c r="L3" s="4"/>
    </row>
    <row r="4" spans="1:14" ht="15" thickBot="1" x14ac:dyDescent="0.45">
      <c r="A4" s="69" t="s">
        <v>1607</v>
      </c>
    </row>
    <row r="5" spans="1:14" s="7" customFormat="1" x14ac:dyDescent="0.4">
      <c r="A5" s="7" t="s">
        <v>671</v>
      </c>
      <c r="B5" s="7" t="s">
        <v>1308</v>
      </c>
      <c r="C5" s="7" t="s">
        <v>661</v>
      </c>
      <c r="D5" s="7" t="s">
        <v>1318</v>
      </c>
      <c r="E5" s="7" t="s">
        <v>1310</v>
      </c>
      <c r="F5" s="7" t="s">
        <v>1311</v>
      </c>
      <c r="G5" s="7" t="s">
        <v>1312</v>
      </c>
      <c r="H5" s="7" t="s">
        <v>221</v>
      </c>
      <c r="I5" s="7" t="s">
        <v>1313</v>
      </c>
      <c r="J5" s="7" t="s">
        <v>1314</v>
      </c>
      <c r="L5" s="212" t="s">
        <v>1309</v>
      </c>
      <c r="M5" s="206" t="s">
        <v>1819</v>
      </c>
      <c r="N5" s="205" t="s">
        <v>1820</v>
      </c>
    </row>
    <row r="6" spans="1:14" s="72" customFormat="1" x14ac:dyDescent="0.4">
      <c r="A6"/>
      <c r="B6"/>
      <c r="C6"/>
      <c r="D6"/>
      <c r="E6"/>
      <c r="F6"/>
      <c r="G6"/>
      <c r="H6"/>
      <c r="I6"/>
      <c r="J6" s="140"/>
      <c r="K6"/>
      <c r="L6" s="141" t="s">
        <v>1315</v>
      </c>
      <c r="M6" s="4">
        <v>0</v>
      </c>
      <c r="N6" s="207">
        <v>0</v>
      </c>
    </row>
    <row r="7" spans="1:14" ht="15" customHeight="1" x14ac:dyDescent="0.4">
      <c r="J7" s="140"/>
      <c r="L7" s="141" t="s">
        <v>1316</v>
      </c>
      <c r="M7" s="4">
        <v>1000</v>
      </c>
      <c r="N7" s="208">
        <v>0</v>
      </c>
    </row>
    <row r="8" spans="1:14" x14ac:dyDescent="0.4">
      <c r="J8" s="140"/>
      <c r="L8" s="213" t="s">
        <v>1310</v>
      </c>
      <c r="M8" s="7"/>
      <c r="N8" s="208"/>
    </row>
    <row r="9" spans="1:14" s="6" customFormat="1" x14ac:dyDescent="0.4">
      <c r="A9"/>
      <c r="B9"/>
      <c r="C9"/>
      <c r="D9"/>
      <c r="E9"/>
      <c r="F9"/>
      <c r="G9"/>
      <c r="H9"/>
      <c r="I9"/>
      <c r="J9" s="140"/>
      <c r="K9"/>
      <c r="L9" s="141" t="s">
        <v>1315</v>
      </c>
      <c r="M9" s="4">
        <v>-99</v>
      </c>
      <c r="N9" s="208">
        <v>0</v>
      </c>
    </row>
    <row r="10" spans="1:14" s="6" customFormat="1" x14ac:dyDescent="0.4">
      <c r="A10"/>
      <c r="B10"/>
      <c r="C10"/>
      <c r="D10"/>
      <c r="E10"/>
      <c r="F10"/>
      <c r="G10"/>
      <c r="H10"/>
      <c r="I10"/>
      <c r="J10" s="140"/>
      <c r="K10"/>
      <c r="L10" s="141" t="s">
        <v>1316</v>
      </c>
      <c r="M10" s="4">
        <v>50</v>
      </c>
      <c r="N10" s="208">
        <v>0</v>
      </c>
    </row>
    <row r="11" spans="1:14" s="6" customFormat="1" x14ac:dyDescent="0.4">
      <c r="A11"/>
      <c r="B11"/>
      <c r="C11"/>
      <c r="D11"/>
      <c r="E11"/>
      <c r="F11"/>
      <c r="G11"/>
      <c r="H11"/>
      <c r="I11"/>
      <c r="J11" s="140"/>
      <c r="K11"/>
      <c r="L11" s="213" t="s">
        <v>1311</v>
      </c>
      <c r="M11" s="7"/>
      <c r="N11" s="208"/>
    </row>
    <row r="12" spans="1:14" s="6" customFormat="1" x14ac:dyDescent="0.4">
      <c r="A12"/>
      <c r="B12"/>
      <c r="C12"/>
      <c r="D12"/>
      <c r="E12"/>
      <c r="F12"/>
      <c r="G12"/>
      <c r="H12"/>
      <c r="I12"/>
      <c r="J12" s="140"/>
      <c r="K12"/>
      <c r="L12" s="141" t="s">
        <v>1315</v>
      </c>
      <c r="M12" s="4">
        <v>-99</v>
      </c>
      <c r="N12" s="208">
        <v>0</v>
      </c>
    </row>
    <row r="13" spans="1:14" s="6" customFormat="1" x14ac:dyDescent="0.4">
      <c r="A13"/>
      <c r="B13"/>
      <c r="C13"/>
      <c r="D13"/>
      <c r="E13"/>
      <c r="F13"/>
      <c r="G13"/>
      <c r="H13"/>
      <c r="I13"/>
      <c r="J13" s="140"/>
      <c r="K13"/>
      <c r="L13" s="141" t="s">
        <v>1316</v>
      </c>
      <c r="M13" s="4">
        <v>50</v>
      </c>
      <c r="N13" s="208">
        <v>0</v>
      </c>
    </row>
    <row r="14" spans="1:14" x14ac:dyDescent="0.4">
      <c r="J14" s="140"/>
      <c r="L14" s="213" t="s">
        <v>1312</v>
      </c>
      <c r="M14" s="1"/>
      <c r="N14" s="208"/>
    </row>
    <row r="15" spans="1:14" x14ac:dyDescent="0.4">
      <c r="J15" s="140"/>
      <c r="L15" s="141" t="s">
        <v>1315</v>
      </c>
      <c r="M15" s="4">
        <v>0</v>
      </c>
      <c r="N15" s="208">
        <v>0</v>
      </c>
    </row>
    <row r="16" spans="1:14" x14ac:dyDescent="0.4">
      <c r="J16" s="140"/>
      <c r="L16" s="141" t="s">
        <v>1316</v>
      </c>
      <c r="M16" s="4">
        <v>1000</v>
      </c>
      <c r="N16" s="208">
        <v>0</v>
      </c>
    </row>
    <row r="17" spans="10:14" x14ac:dyDescent="0.4">
      <c r="J17" s="140"/>
      <c r="L17" s="213" t="s">
        <v>221</v>
      </c>
      <c r="M17" s="7"/>
      <c r="N17" s="208"/>
    </row>
    <row r="18" spans="10:14" x14ac:dyDescent="0.4">
      <c r="J18" s="140"/>
      <c r="L18" s="141" t="s">
        <v>1315</v>
      </c>
      <c r="M18" s="4">
        <v>0</v>
      </c>
      <c r="N18" s="208">
        <v>0</v>
      </c>
    </row>
    <row r="19" spans="10:14" x14ac:dyDescent="0.4">
      <c r="J19" s="140"/>
      <c r="L19" s="141" t="s">
        <v>1316</v>
      </c>
      <c r="M19" s="4">
        <v>1</v>
      </c>
      <c r="N19" s="208">
        <v>0</v>
      </c>
    </row>
    <row r="20" spans="10:14" x14ac:dyDescent="0.4">
      <c r="J20" s="140"/>
      <c r="L20" s="213" t="s">
        <v>1313</v>
      </c>
      <c r="M20" s="7"/>
      <c r="N20" s="208"/>
    </row>
    <row r="21" spans="10:14" x14ac:dyDescent="0.4">
      <c r="J21" s="140"/>
      <c r="L21" s="141" t="s">
        <v>1315</v>
      </c>
      <c r="M21" s="4">
        <v>0</v>
      </c>
      <c r="N21" s="208">
        <v>0</v>
      </c>
    </row>
    <row r="22" spans="10:14" ht="15" thickBot="1" x14ac:dyDescent="0.45">
      <c r="J22" s="140"/>
      <c r="L22" s="142" t="s">
        <v>1316</v>
      </c>
      <c r="M22" s="209">
        <v>30</v>
      </c>
      <c r="N22" s="210">
        <v>0</v>
      </c>
    </row>
    <row r="23" spans="10:14" x14ac:dyDescent="0.4">
      <c r="J23" s="140"/>
      <c r="N23" s="211"/>
    </row>
    <row r="24" spans="10:14" x14ac:dyDescent="0.4">
      <c r="J24" s="140"/>
      <c r="N24" s="211"/>
    </row>
    <row r="25" spans="10:14" x14ac:dyDescent="0.4">
      <c r="J25" s="140"/>
      <c r="N25" s="211"/>
    </row>
    <row r="26" spans="10:14" x14ac:dyDescent="0.4">
      <c r="J26" s="140"/>
      <c r="N26" s="211"/>
    </row>
    <row r="27" spans="10:14" x14ac:dyDescent="0.4">
      <c r="J27" s="140"/>
      <c r="N27" s="211"/>
    </row>
    <row r="28" spans="10:14" x14ac:dyDescent="0.4">
      <c r="J28" s="140"/>
      <c r="N28" s="211"/>
    </row>
    <row r="29" spans="10:14" x14ac:dyDescent="0.4">
      <c r="J29" s="140"/>
      <c r="N29" s="211"/>
    </row>
    <row r="30" spans="10:14" x14ac:dyDescent="0.4">
      <c r="J30" s="140"/>
      <c r="N30" s="211"/>
    </row>
    <row r="31" spans="10:14" x14ac:dyDescent="0.4">
      <c r="J31" s="140"/>
      <c r="N31" s="211"/>
    </row>
    <row r="32" spans="10:14" x14ac:dyDescent="0.4">
      <c r="J32" s="140"/>
      <c r="N32" s="211"/>
    </row>
    <row r="33" spans="10:14" x14ac:dyDescent="0.4">
      <c r="J33" s="140"/>
      <c r="N33" s="211"/>
    </row>
    <row r="34" spans="10:14" x14ac:dyDescent="0.4">
      <c r="J34" s="140"/>
      <c r="N34" s="211"/>
    </row>
    <row r="35" spans="10:14" x14ac:dyDescent="0.4">
      <c r="J35" s="140"/>
      <c r="N35" s="211"/>
    </row>
    <row r="36" spans="10:14" x14ac:dyDescent="0.4">
      <c r="J36" s="140"/>
      <c r="N36" s="211"/>
    </row>
    <row r="37" spans="10:14" x14ac:dyDescent="0.4">
      <c r="J37" s="140"/>
      <c r="N37" s="211"/>
    </row>
    <row r="38" spans="10:14" x14ac:dyDescent="0.4">
      <c r="J38" s="140"/>
      <c r="N38" s="211"/>
    </row>
    <row r="39" spans="10:14" x14ac:dyDescent="0.4">
      <c r="J39" s="140"/>
      <c r="N39" s="211"/>
    </row>
    <row r="40" spans="10:14" x14ac:dyDescent="0.4">
      <c r="J40" s="140"/>
      <c r="N40" s="211"/>
    </row>
    <row r="41" spans="10:14" x14ac:dyDescent="0.4">
      <c r="J41" s="140"/>
      <c r="N41" s="211"/>
    </row>
    <row r="42" spans="10:14" x14ac:dyDescent="0.4">
      <c r="J42" s="140"/>
      <c r="N42" s="211"/>
    </row>
    <row r="43" spans="10:14" x14ac:dyDescent="0.4">
      <c r="J43" s="140"/>
      <c r="N43" s="211"/>
    </row>
    <row r="44" spans="10:14" x14ac:dyDescent="0.4">
      <c r="J44" s="140"/>
      <c r="N44" s="211"/>
    </row>
    <row r="45" spans="10:14" x14ac:dyDescent="0.4">
      <c r="J45" s="140"/>
      <c r="N45" s="211"/>
    </row>
    <row r="46" spans="10:14" x14ac:dyDescent="0.4">
      <c r="J46" s="140"/>
      <c r="N46" s="211"/>
    </row>
    <row r="47" spans="10:14" x14ac:dyDescent="0.4">
      <c r="J47" s="140"/>
      <c r="N47" s="211"/>
    </row>
    <row r="48" spans="10:14" x14ac:dyDescent="0.4">
      <c r="J48" s="140"/>
      <c r="N48" s="211"/>
    </row>
    <row r="49" spans="10:14" x14ac:dyDescent="0.4">
      <c r="J49" s="140"/>
      <c r="N49" s="211"/>
    </row>
    <row r="50" spans="10:14" x14ac:dyDescent="0.4">
      <c r="J50" s="140"/>
      <c r="N50" s="211"/>
    </row>
    <row r="51" spans="10:14" x14ac:dyDescent="0.4">
      <c r="J51" s="140"/>
      <c r="N51" s="211"/>
    </row>
    <row r="52" spans="10:14" x14ac:dyDescent="0.4">
      <c r="J52" s="140"/>
      <c r="N52" s="211"/>
    </row>
    <row r="53" spans="10:14" x14ac:dyDescent="0.4">
      <c r="J53" s="140"/>
      <c r="N53" s="211"/>
    </row>
    <row r="54" spans="10:14" x14ac:dyDescent="0.4">
      <c r="J54" s="140"/>
      <c r="N54" s="211"/>
    </row>
    <row r="55" spans="10:14" x14ac:dyDescent="0.4">
      <c r="J55" s="140"/>
      <c r="N55" s="211"/>
    </row>
    <row r="56" spans="10:14" x14ac:dyDescent="0.4">
      <c r="J56" s="140"/>
      <c r="N56" s="211"/>
    </row>
    <row r="57" spans="10:14" x14ac:dyDescent="0.4">
      <c r="J57" s="140"/>
      <c r="N57" s="211"/>
    </row>
    <row r="58" spans="10:14" x14ac:dyDescent="0.4">
      <c r="J58" s="140"/>
      <c r="N58" s="211"/>
    </row>
    <row r="59" spans="10:14" x14ac:dyDescent="0.4">
      <c r="J59" s="140"/>
      <c r="N59" s="211"/>
    </row>
    <row r="60" spans="10:14" x14ac:dyDescent="0.4">
      <c r="J60" s="140"/>
      <c r="N60" s="211"/>
    </row>
    <row r="61" spans="10:14" x14ac:dyDescent="0.4">
      <c r="J61" s="140"/>
      <c r="N61" s="211"/>
    </row>
    <row r="62" spans="10:14" x14ac:dyDescent="0.4">
      <c r="J62" s="140"/>
      <c r="N62" s="211"/>
    </row>
    <row r="63" spans="10:14" x14ac:dyDescent="0.4">
      <c r="J63" s="140"/>
      <c r="N63" s="211"/>
    </row>
    <row r="64" spans="10:14" x14ac:dyDescent="0.4">
      <c r="J64" s="140"/>
      <c r="N64" s="211"/>
    </row>
    <row r="65" spans="10:14" x14ac:dyDescent="0.4">
      <c r="J65" s="140"/>
      <c r="N65" s="211"/>
    </row>
    <row r="66" spans="10:14" x14ac:dyDescent="0.4">
      <c r="J66" s="140"/>
      <c r="N66" s="211"/>
    </row>
    <row r="67" spans="10:14" x14ac:dyDescent="0.4">
      <c r="J67" s="140"/>
      <c r="N67" s="211"/>
    </row>
    <row r="68" spans="10:14" x14ac:dyDescent="0.4">
      <c r="J68" s="140"/>
      <c r="N68" s="211"/>
    </row>
    <row r="69" spans="10:14" x14ac:dyDescent="0.4">
      <c r="J69" s="140"/>
      <c r="N69" s="211"/>
    </row>
    <row r="70" spans="10:14" x14ac:dyDescent="0.4">
      <c r="J70" s="140"/>
      <c r="N70" s="211"/>
    </row>
    <row r="71" spans="10:14" x14ac:dyDescent="0.4">
      <c r="J71" s="140"/>
      <c r="N71" s="211"/>
    </row>
    <row r="72" spans="10:14" x14ac:dyDescent="0.4">
      <c r="J72" s="140"/>
      <c r="N72" s="211"/>
    </row>
    <row r="73" spans="10:14" x14ac:dyDescent="0.4">
      <c r="J73" s="140"/>
      <c r="N73" s="211"/>
    </row>
    <row r="74" spans="10:14" x14ac:dyDescent="0.4">
      <c r="J74" s="140"/>
      <c r="N74" s="211"/>
    </row>
    <row r="75" spans="10:14" x14ac:dyDescent="0.4">
      <c r="J75" s="140"/>
      <c r="N75" s="211"/>
    </row>
    <row r="76" spans="10:14" x14ac:dyDescent="0.4">
      <c r="J76" s="140"/>
      <c r="N76" s="211"/>
    </row>
    <row r="77" spans="10:14" x14ac:dyDescent="0.4">
      <c r="J77" s="140"/>
      <c r="N77" s="211"/>
    </row>
    <row r="78" spans="10:14" x14ac:dyDescent="0.4">
      <c r="J78" s="140"/>
      <c r="N78" s="211"/>
    </row>
    <row r="79" spans="10:14" x14ac:dyDescent="0.4">
      <c r="J79" s="140"/>
      <c r="N79" s="211"/>
    </row>
    <row r="80" spans="10:14" x14ac:dyDescent="0.4">
      <c r="J80" s="140"/>
      <c r="N80" s="211"/>
    </row>
    <row r="81" spans="10:14" x14ac:dyDescent="0.4">
      <c r="J81" s="140"/>
      <c r="N81" s="211"/>
    </row>
    <row r="82" spans="10:14" x14ac:dyDescent="0.4">
      <c r="J82" s="140"/>
      <c r="N82" s="211"/>
    </row>
    <row r="83" spans="10:14" x14ac:dyDescent="0.4">
      <c r="J83" s="140"/>
      <c r="N83" s="211"/>
    </row>
    <row r="84" spans="10:14" x14ac:dyDescent="0.4">
      <c r="J84" s="140"/>
      <c r="N84" s="211"/>
    </row>
    <row r="85" spans="10:14" x14ac:dyDescent="0.4">
      <c r="J85" s="140"/>
      <c r="N85" s="211"/>
    </row>
    <row r="86" spans="10:14" x14ac:dyDescent="0.4">
      <c r="J86" s="140"/>
      <c r="N86" s="211"/>
    </row>
    <row r="87" spans="10:14" x14ac:dyDescent="0.4">
      <c r="J87" s="140"/>
      <c r="N87" s="211"/>
    </row>
    <row r="88" spans="10:14" x14ac:dyDescent="0.4">
      <c r="J88" s="140"/>
      <c r="N88" s="211"/>
    </row>
    <row r="89" spans="10:14" x14ac:dyDescent="0.4">
      <c r="J89" s="140"/>
      <c r="N89" s="211"/>
    </row>
    <row r="90" spans="10:14" x14ac:dyDescent="0.4">
      <c r="J90" s="140"/>
      <c r="N90" s="211"/>
    </row>
    <row r="91" spans="10:14" x14ac:dyDescent="0.4">
      <c r="J91" s="140"/>
      <c r="N91" s="211"/>
    </row>
    <row r="92" spans="10:14" x14ac:dyDescent="0.4">
      <c r="J92" s="140"/>
      <c r="N92" s="211"/>
    </row>
    <row r="93" spans="10:14" x14ac:dyDescent="0.4">
      <c r="J93" s="140"/>
      <c r="N93" s="211"/>
    </row>
    <row r="94" spans="10:14" x14ac:dyDescent="0.4">
      <c r="J94" s="140"/>
      <c r="N94" s="211"/>
    </row>
    <row r="95" spans="10:14" x14ac:dyDescent="0.4">
      <c r="J95" s="140"/>
      <c r="N95" s="211"/>
    </row>
    <row r="96" spans="10:14" x14ac:dyDescent="0.4">
      <c r="J96" s="140"/>
      <c r="N96" s="211"/>
    </row>
    <row r="97" spans="10:14" x14ac:dyDescent="0.4">
      <c r="J97" s="140"/>
      <c r="N97" s="211"/>
    </row>
    <row r="98" spans="10:14" x14ac:dyDescent="0.4">
      <c r="J98" s="140"/>
      <c r="N98" s="211"/>
    </row>
    <row r="99" spans="10:14" x14ac:dyDescent="0.4">
      <c r="J99" s="140"/>
      <c r="N99" s="211"/>
    </row>
    <row r="100" spans="10:14" x14ac:dyDescent="0.4">
      <c r="J100" s="140"/>
      <c r="N100" s="211"/>
    </row>
    <row r="101" spans="10:14" x14ac:dyDescent="0.4">
      <c r="J101" s="140"/>
      <c r="N101" s="211"/>
    </row>
    <row r="102" spans="10:14" x14ac:dyDescent="0.4">
      <c r="J102" s="140"/>
      <c r="N102" s="211"/>
    </row>
    <row r="103" spans="10:14" x14ac:dyDescent="0.4">
      <c r="J103" s="140"/>
      <c r="N103" s="211"/>
    </row>
    <row r="104" spans="10:14" x14ac:dyDescent="0.4">
      <c r="J104" s="140"/>
      <c r="N104" s="211"/>
    </row>
    <row r="105" spans="10:14" x14ac:dyDescent="0.4">
      <c r="J105" s="140"/>
      <c r="N105" s="211"/>
    </row>
    <row r="106" spans="10:14" x14ac:dyDescent="0.4">
      <c r="J106" s="140"/>
      <c r="N106" s="211"/>
    </row>
    <row r="107" spans="10:14" x14ac:dyDescent="0.4">
      <c r="J107" s="140"/>
      <c r="N107" s="211"/>
    </row>
    <row r="108" spans="10:14" x14ac:dyDescent="0.4">
      <c r="J108" s="140"/>
      <c r="N108" s="211"/>
    </row>
    <row r="109" spans="10:14" x14ac:dyDescent="0.4">
      <c r="J109" s="140"/>
      <c r="N109" s="211"/>
    </row>
    <row r="110" spans="10:14" x14ac:dyDescent="0.4">
      <c r="J110" s="140"/>
      <c r="N110" s="211"/>
    </row>
    <row r="111" spans="10:14" x14ac:dyDescent="0.4">
      <c r="J111" s="140"/>
      <c r="N111" s="211"/>
    </row>
    <row r="112" spans="10:14" x14ac:dyDescent="0.4">
      <c r="J112" s="140"/>
      <c r="N112" s="211"/>
    </row>
    <row r="113" spans="10:14" x14ac:dyDescent="0.4">
      <c r="J113" s="140"/>
      <c r="N113" s="211"/>
    </row>
    <row r="114" spans="10:14" x14ac:dyDescent="0.4">
      <c r="J114" s="140"/>
      <c r="N114" s="211"/>
    </row>
    <row r="115" spans="10:14" x14ac:dyDescent="0.4">
      <c r="J115" s="140"/>
      <c r="N115" s="211"/>
    </row>
    <row r="116" spans="10:14" x14ac:dyDescent="0.4">
      <c r="J116" s="140"/>
      <c r="N116" s="211"/>
    </row>
    <row r="117" spans="10:14" x14ac:dyDescent="0.4">
      <c r="J117" s="140"/>
      <c r="N117" s="211"/>
    </row>
    <row r="118" spans="10:14" x14ac:dyDescent="0.4">
      <c r="J118" s="140"/>
      <c r="N118" s="211"/>
    </row>
    <row r="119" spans="10:14" x14ac:dyDescent="0.4">
      <c r="J119" s="140"/>
      <c r="N119" s="211"/>
    </row>
    <row r="120" spans="10:14" x14ac:dyDescent="0.4">
      <c r="J120" s="140"/>
      <c r="N120" s="211"/>
    </row>
    <row r="121" spans="10:14" x14ac:dyDescent="0.4">
      <c r="J121" s="140"/>
      <c r="N121" s="211"/>
    </row>
    <row r="122" spans="10:14" x14ac:dyDescent="0.4">
      <c r="J122" s="140"/>
      <c r="N122" s="211"/>
    </row>
    <row r="123" spans="10:14" x14ac:dyDescent="0.4">
      <c r="J123" s="140"/>
      <c r="N123" s="211"/>
    </row>
    <row r="124" spans="10:14" x14ac:dyDescent="0.4">
      <c r="J124" s="140"/>
      <c r="N124" s="211"/>
    </row>
    <row r="125" spans="10:14" x14ac:dyDescent="0.4">
      <c r="J125" s="140"/>
      <c r="N125" s="211"/>
    </row>
    <row r="126" spans="10:14" x14ac:dyDescent="0.4">
      <c r="J126" s="140"/>
      <c r="N126" s="211"/>
    </row>
    <row r="127" spans="10:14" x14ac:dyDescent="0.4">
      <c r="J127" s="140"/>
      <c r="N127" s="211"/>
    </row>
    <row r="128" spans="10:14" x14ac:dyDescent="0.4">
      <c r="J128" s="140"/>
      <c r="N128" s="211"/>
    </row>
    <row r="129" spans="10:14" x14ac:dyDescent="0.4">
      <c r="J129" s="140"/>
      <c r="N129" s="211"/>
    </row>
    <row r="130" spans="10:14" x14ac:dyDescent="0.4">
      <c r="J130" s="140"/>
      <c r="N130" s="211"/>
    </row>
    <row r="131" spans="10:14" x14ac:dyDescent="0.4">
      <c r="J131" s="140"/>
      <c r="N131" s="211"/>
    </row>
    <row r="132" spans="10:14" x14ac:dyDescent="0.4">
      <c r="J132" s="140"/>
      <c r="N132" s="211"/>
    </row>
    <row r="133" spans="10:14" x14ac:dyDescent="0.4">
      <c r="J133" s="140"/>
      <c r="N133" s="211"/>
    </row>
    <row r="134" spans="10:14" x14ac:dyDescent="0.4">
      <c r="J134" s="140"/>
      <c r="N134" s="211"/>
    </row>
    <row r="135" spans="10:14" x14ac:dyDescent="0.4">
      <c r="J135" s="140"/>
      <c r="N135" s="211"/>
    </row>
    <row r="136" spans="10:14" x14ac:dyDescent="0.4">
      <c r="J136" s="140"/>
      <c r="N136" s="211"/>
    </row>
    <row r="137" spans="10:14" x14ac:dyDescent="0.4">
      <c r="J137" s="140"/>
      <c r="N137" s="211"/>
    </row>
    <row r="138" spans="10:14" x14ac:dyDescent="0.4">
      <c r="J138" s="140"/>
      <c r="N138" s="211"/>
    </row>
    <row r="139" spans="10:14" x14ac:dyDescent="0.4">
      <c r="J139" s="140"/>
      <c r="N139" s="211"/>
    </row>
    <row r="140" spans="10:14" x14ac:dyDescent="0.4">
      <c r="J140" s="140"/>
      <c r="N140" s="211"/>
    </row>
    <row r="141" spans="10:14" x14ac:dyDescent="0.4">
      <c r="J141" s="140"/>
      <c r="N141" s="211"/>
    </row>
    <row r="142" spans="10:14" x14ac:dyDescent="0.4">
      <c r="J142" s="140"/>
      <c r="N142" s="211"/>
    </row>
    <row r="143" spans="10:14" x14ac:dyDescent="0.4">
      <c r="J143" s="140"/>
      <c r="N143" s="211"/>
    </row>
    <row r="144" spans="10:14" x14ac:dyDescent="0.4">
      <c r="J144" s="140"/>
      <c r="N144" s="211"/>
    </row>
    <row r="145" spans="10:14" x14ac:dyDescent="0.4">
      <c r="J145" s="140"/>
      <c r="N145" s="211"/>
    </row>
    <row r="146" spans="10:14" x14ac:dyDescent="0.4">
      <c r="J146" s="140"/>
      <c r="N146" s="211"/>
    </row>
    <row r="147" spans="10:14" x14ac:dyDescent="0.4">
      <c r="J147" s="140"/>
      <c r="N147" s="211"/>
    </row>
    <row r="148" spans="10:14" x14ac:dyDescent="0.4">
      <c r="J148" s="140"/>
      <c r="N148" s="211"/>
    </row>
    <row r="149" spans="10:14" x14ac:dyDescent="0.4">
      <c r="J149" s="140"/>
      <c r="N149" s="211"/>
    </row>
    <row r="150" spans="10:14" x14ac:dyDescent="0.4">
      <c r="J150" s="140"/>
      <c r="N150" s="211"/>
    </row>
    <row r="151" spans="10:14" x14ac:dyDescent="0.4">
      <c r="J151" s="140"/>
      <c r="N151" s="211"/>
    </row>
    <row r="152" spans="10:14" x14ac:dyDescent="0.4">
      <c r="J152" s="140"/>
      <c r="N152" s="211"/>
    </row>
    <row r="153" spans="10:14" x14ac:dyDescent="0.4">
      <c r="J153" s="140"/>
      <c r="N153" s="211"/>
    </row>
    <row r="154" spans="10:14" x14ac:dyDescent="0.4">
      <c r="J154" s="140"/>
      <c r="N154" s="211"/>
    </row>
    <row r="155" spans="10:14" x14ac:dyDescent="0.4">
      <c r="J155" s="140"/>
      <c r="N155" s="211"/>
    </row>
    <row r="156" spans="10:14" x14ac:dyDescent="0.4">
      <c r="J156" s="140"/>
      <c r="N156" s="211"/>
    </row>
    <row r="157" spans="10:14" x14ac:dyDescent="0.4">
      <c r="J157" s="140"/>
      <c r="N157" s="211"/>
    </row>
    <row r="158" spans="10:14" x14ac:dyDescent="0.4">
      <c r="J158" s="140"/>
      <c r="N158" s="211"/>
    </row>
    <row r="159" spans="10:14" x14ac:dyDescent="0.4">
      <c r="J159" s="140"/>
      <c r="N159" s="211"/>
    </row>
    <row r="160" spans="10:14" x14ac:dyDescent="0.4">
      <c r="J160" s="140"/>
      <c r="N160" s="211"/>
    </row>
    <row r="161" spans="10:14" x14ac:dyDescent="0.4">
      <c r="J161" s="140"/>
      <c r="N161" s="211"/>
    </row>
    <row r="162" spans="10:14" x14ac:dyDescent="0.4">
      <c r="J162" s="140"/>
      <c r="N162" s="211"/>
    </row>
    <row r="163" spans="10:14" x14ac:dyDescent="0.4">
      <c r="J163" s="140"/>
      <c r="N163" s="211"/>
    </row>
    <row r="164" spans="10:14" x14ac:dyDescent="0.4">
      <c r="J164" s="140"/>
      <c r="N164" s="211"/>
    </row>
    <row r="165" spans="10:14" x14ac:dyDescent="0.4">
      <c r="J165" s="140"/>
      <c r="N165" s="211"/>
    </row>
    <row r="166" spans="10:14" x14ac:dyDescent="0.4">
      <c r="J166" s="140"/>
      <c r="N166" s="211"/>
    </row>
    <row r="167" spans="10:14" x14ac:dyDescent="0.4">
      <c r="J167" s="140"/>
      <c r="N167" s="211"/>
    </row>
    <row r="168" spans="10:14" x14ac:dyDescent="0.4">
      <c r="J168" s="140"/>
      <c r="N168" s="211"/>
    </row>
    <row r="169" spans="10:14" x14ac:dyDescent="0.4">
      <c r="J169" s="140"/>
      <c r="N169" s="211"/>
    </row>
    <row r="170" spans="10:14" x14ac:dyDescent="0.4">
      <c r="J170" s="140"/>
      <c r="N170" s="211"/>
    </row>
    <row r="171" spans="10:14" x14ac:dyDescent="0.4">
      <c r="J171" s="140"/>
      <c r="N171" s="211"/>
    </row>
    <row r="172" spans="10:14" x14ac:dyDescent="0.4">
      <c r="J172" s="140"/>
      <c r="N172" s="211"/>
    </row>
    <row r="173" spans="10:14" x14ac:dyDescent="0.4">
      <c r="J173" s="140"/>
      <c r="N173" s="211"/>
    </row>
    <row r="174" spans="10:14" x14ac:dyDescent="0.4">
      <c r="J174" s="140"/>
      <c r="N174" s="211"/>
    </row>
    <row r="175" spans="10:14" x14ac:dyDescent="0.4">
      <c r="J175" s="140"/>
      <c r="N175" s="211"/>
    </row>
    <row r="176" spans="10:14" x14ac:dyDescent="0.4">
      <c r="J176" s="140"/>
      <c r="N176" s="211"/>
    </row>
    <row r="177" spans="10:14" x14ac:dyDescent="0.4">
      <c r="J177" s="140"/>
      <c r="N177" s="211"/>
    </row>
    <row r="178" spans="10:14" x14ac:dyDescent="0.4">
      <c r="J178" s="140"/>
      <c r="N178" s="211"/>
    </row>
    <row r="179" spans="10:14" x14ac:dyDescent="0.4">
      <c r="J179" s="140"/>
      <c r="N179" s="211"/>
    </row>
    <row r="180" spans="10:14" x14ac:dyDescent="0.4">
      <c r="J180" s="140"/>
      <c r="N180" s="211"/>
    </row>
    <row r="181" spans="10:14" x14ac:dyDescent="0.4">
      <c r="J181" s="140"/>
      <c r="N181" s="211"/>
    </row>
    <row r="182" spans="10:14" x14ac:dyDescent="0.4">
      <c r="J182" s="140"/>
      <c r="N182" s="211"/>
    </row>
    <row r="183" spans="10:14" x14ac:dyDescent="0.4">
      <c r="J183" s="140"/>
      <c r="N183" s="211"/>
    </row>
    <row r="184" spans="10:14" x14ac:dyDescent="0.4">
      <c r="J184" s="140"/>
      <c r="N184" s="211"/>
    </row>
    <row r="185" spans="10:14" x14ac:dyDescent="0.4">
      <c r="J185" s="140"/>
      <c r="N185" s="211"/>
    </row>
    <row r="186" spans="10:14" x14ac:dyDescent="0.4">
      <c r="J186" s="140"/>
      <c r="N186" s="211"/>
    </row>
    <row r="187" spans="10:14" x14ac:dyDescent="0.4">
      <c r="J187" s="140"/>
      <c r="N187" s="211"/>
    </row>
    <row r="188" spans="10:14" x14ac:dyDescent="0.4">
      <c r="J188" s="140"/>
      <c r="N188" s="211"/>
    </row>
    <row r="189" spans="10:14" x14ac:dyDescent="0.4">
      <c r="J189" s="140"/>
      <c r="N189" s="211"/>
    </row>
    <row r="190" spans="10:14" x14ac:dyDescent="0.4">
      <c r="J190" s="140"/>
      <c r="N190" s="211"/>
    </row>
    <row r="191" spans="10:14" x14ac:dyDescent="0.4">
      <c r="J191" s="140"/>
      <c r="N191" s="211"/>
    </row>
    <row r="192" spans="10:14" x14ac:dyDescent="0.4">
      <c r="J192" s="140"/>
      <c r="N192" s="211"/>
    </row>
    <row r="193" spans="10:14" x14ac:dyDescent="0.4">
      <c r="J193" s="140"/>
      <c r="N193" s="211"/>
    </row>
    <row r="194" spans="10:14" x14ac:dyDescent="0.4">
      <c r="J194" s="140"/>
      <c r="N194" s="211"/>
    </row>
    <row r="195" spans="10:14" x14ac:dyDescent="0.4">
      <c r="J195" s="140"/>
      <c r="N195" s="211"/>
    </row>
    <row r="196" spans="10:14" x14ac:dyDescent="0.4">
      <c r="J196" s="140"/>
      <c r="N196" s="211"/>
    </row>
    <row r="197" spans="10:14" x14ac:dyDescent="0.4">
      <c r="J197" s="140"/>
      <c r="N197" s="211"/>
    </row>
    <row r="198" spans="10:14" x14ac:dyDescent="0.4">
      <c r="J198" s="140"/>
      <c r="N198" s="211"/>
    </row>
    <row r="199" spans="10:14" x14ac:dyDescent="0.4">
      <c r="J199" s="140"/>
      <c r="N199" s="211"/>
    </row>
    <row r="200" spans="10:14" x14ac:dyDescent="0.4">
      <c r="J200" s="140"/>
      <c r="N200" s="211"/>
    </row>
    <row r="201" spans="10:14" x14ac:dyDescent="0.4">
      <c r="J201" s="140"/>
      <c r="N201" s="211"/>
    </row>
    <row r="202" spans="10:14" x14ac:dyDescent="0.4">
      <c r="J202" s="140"/>
      <c r="N202" s="211"/>
    </row>
    <row r="203" spans="10:14" x14ac:dyDescent="0.4">
      <c r="J203" s="140"/>
      <c r="N203" s="211"/>
    </row>
    <row r="204" spans="10:14" x14ac:dyDescent="0.4">
      <c r="J204" s="140"/>
      <c r="N204" s="211"/>
    </row>
    <row r="205" spans="10:14" x14ac:dyDescent="0.4">
      <c r="J205" s="140"/>
      <c r="N205" s="211"/>
    </row>
    <row r="206" spans="10:14" x14ac:dyDescent="0.4">
      <c r="J206" s="140"/>
      <c r="N206" s="211"/>
    </row>
    <row r="207" spans="10:14" x14ac:dyDescent="0.4">
      <c r="J207" s="140"/>
      <c r="N207" s="211"/>
    </row>
    <row r="208" spans="10:14" x14ac:dyDescent="0.4">
      <c r="J208" s="140"/>
      <c r="N208" s="211"/>
    </row>
    <row r="209" spans="10:14" x14ac:dyDescent="0.4">
      <c r="J209" s="140"/>
      <c r="N209" s="211"/>
    </row>
    <row r="210" spans="10:14" x14ac:dyDescent="0.4">
      <c r="J210" s="140"/>
      <c r="N210" s="211"/>
    </row>
    <row r="211" spans="10:14" x14ac:dyDescent="0.4">
      <c r="J211" s="140"/>
      <c r="N211" s="211"/>
    </row>
    <row r="212" spans="10:14" x14ac:dyDescent="0.4">
      <c r="J212" s="140"/>
      <c r="N212" s="211"/>
    </row>
    <row r="213" spans="10:14" x14ac:dyDescent="0.4">
      <c r="J213" s="140"/>
      <c r="N213" s="211"/>
    </row>
    <row r="214" spans="10:14" x14ac:dyDescent="0.4">
      <c r="J214" s="140"/>
      <c r="N214" s="211"/>
    </row>
    <row r="215" spans="10:14" x14ac:dyDescent="0.4">
      <c r="J215" s="140"/>
      <c r="N215" s="211"/>
    </row>
    <row r="216" spans="10:14" x14ac:dyDescent="0.4">
      <c r="J216" s="140"/>
      <c r="N216" s="211"/>
    </row>
    <row r="217" spans="10:14" x14ac:dyDescent="0.4">
      <c r="J217" s="140"/>
      <c r="N217" s="211"/>
    </row>
    <row r="218" spans="10:14" x14ac:dyDescent="0.4">
      <c r="J218" s="140"/>
      <c r="N218" s="211"/>
    </row>
    <row r="219" spans="10:14" x14ac:dyDescent="0.4">
      <c r="J219" s="140"/>
      <c r="N219" s="211"/>
    </row>
    <row r="220" spans="10:14" x14ac:dyDescent="0.4">
      <c r="J220" s="140"/>
      <c r="N220" s="211"/>
    </row>
    <row r="221" spans="10:14" x14ac:dyDescent="0.4">
      <c r="J221" s="140"/>
      <c r="N221" s="211"/>
    </row>
    <row r="222" spans="10:14" x14ac:dyDescent="0.4">
      <c r="J222" s="140"/>
      <c r="N222" s="211"/>
    </row>
    <row r="223" spans="10:14" x14ac:dyDescent="0.4">
      <c r="J223" s="140"/>
      <c r="N223" s="211"/>
    </row>
    <row r="224" spans="10:14" x14ac:dyDescent="0.4">
      <c r="J224" s="140"/>
      <c r="N224" s="211"/>
    </row>
    <row r="225" spans="10:14" x14ac:dyDescent="0.4">
      <c r="J225" s="140"/>
      <c r="N225" s="211"/>
    </row>
    <row r="226" spans="10:14" x14ac:dyDescent="0.4">
      <c r="J226" s="140"/>
      <c r="N226" s="211"/>
    </row>
    <row r="227" spans="10:14" x14ac:dyDescent="0.4">
      <c r="J227" s="140"/>
      <c r="N227" s="211"/>
    </row>
    <row r="228" spans="10:14" x14ac:dyDescent="0.4">
      <c r="J228" s="140"/>
      <c r="N228" s="211"/>
    </row>
    <row r="229" spans="10:14" x14ac:dyDescent="0.4">
      <c r="J229" s="140"/>
      <c r="N229" s="211"/>
    </row>
    <row r="230" spans="10:14" x14ac:dyDescent="0.4">
      <c r="J230" s="140"/>
      <c r="N230" s="211"/>
    </row>
    <row r="231" spans="10:14" x14ac:dyDescent="0.4">
      <c r="J231" s="140"/>
      <c r="N231" s="211"/>
    </row>
    <row r="232" spans="10:14" x14ac:dyDescent="0.4">
      <c r="J232" s="140"/>
      <c r="N232" s="211"/>
    </row>
    <row r="233" spans="10:14" x14ac:dyDescent="0.4">
      <c r="J233" s="140"/>
      <c r="N233" s="211"/>
    </row>
    <row r="234" spans="10:14" x14ac:dyDescent="0.4">
      <c r="J234" s="140"/>
      <c r="N234" s="211"/>
    </row>
    <row r="235" spans="10:14" x14ac:dyDescent="0.4">
      <c r="J235" s="140"/>
      <c r="N235" s="211"/>
    </row>
    <row r="236" spans="10:14" x14ac:dyDescent="0.4">
      <c r="J236" s="140"/>
      <c r="N236" s="211"/>
    </row>
    <row r="237" spans="10:14" x14ac:dyDescent="0.4">
      <c r="J237" s="140"/>
      <c r="N237" s="211"/>
    </row>
    <row r="238" spans="10:14" x14ac:dyDescent="0.4">
      <c r="J238" s="140"/>
      <c r="N238" s="211"/>
    </row>
    <row r="239" spans="10:14" x14ac:dyDescent="0.4">
      <c r="J239" s="140"/>
      <c r="N239" s="211"/>
    </row>
    <row r="240" spans="10:14" x14ac:dyDescent="0.4">
      <c r="J240" s="140"/>
      <c r="N240" s="211"/>
    </row>
    <row r="241" spans="10:14" x14ac:dyDescent="0.4">
      <c r="J241" s="140"/>
      <c r="N241" s="211"/>
    </row>
    <row r="242" spans="10:14" x14ac:dyDescent="0.4">
      <c r="J242" s="140"/>
      <c r="N242" s="211"/>
    </row>
    <row r="243" spans="10:14" x14ac:dyDescent="0.4">
      <c r="J243" s="140"/>
      <c r="N243" s="211"/>
    </row>
    <row r="244" spans="10:14" x14ac:dyDescent="0.4">
      <c r="J244" s="140"/>
      <c r="N244" s="211"/>
    </row>
    <row r="245" spans="10:14" x14ac:dyDescent="0.4">
      <c r="J245" s="140"/>
      <c r="N245" s="211"/>
    </row>
    <row r="246" spans="10:14" x14ac:dyDescent="0.4">
      <c r="J246" s="140"/>
      <c r="N246" s="211"/>
    </row>
    <row r="247" spans="10:14" x14ac:dyDescent="0.4">
      <c r="J247" s="140"/>
      <c r="N247" s="211"/>
    </row>
    <row r="248" spans="10:14" x14ac:dyDescent="0.4">
      <c r="J248" s="140"/>
      <c r="N248" s="211"/>
    </row>
    <row r="249" spans="10:14" x14ac:dyDescent="0.4">
      <c r="J249" s="140"/>
      <c r="N249" s="211"/>
    </row>
    <row r="250" spans="10:14" x14ac:dyDescent="0.4">
      <c r="J250" s="140"/>
      <c r="N250" s="211"/>
    </row>
    <row r="251" spans="10:14" x14ac:dyDescent="0.4">
      <c r="J251" s="140"/>
      <c r="N251" s="211"/>
    </row>
    <row r="252" spans="10:14" x14ac:dyDescent="0.4">
      <c r="J252" s="140"/>
      <c r="N252" s="211"/>
    </row>
    <row r="253" spans="10:14" x14ac:dyDescent="0.4">
      <c r="J253" s="140"/>
      <c r="N253" s="211"/>
    </row>
    <row r="254" spans="10:14" x14ac:dyDescent="0.4">
      <c r="J254" s="140"/>
      <c r="N254" s="211"/>
    </row>
    <row r="255" spans="10:14" x14ac:dyDescent="0.4">
      <c r="J255" s="140"/>
      <c r="N255" s="211"/>
    </row>
    <row r="256" spans="10:14" x14ac:dyDescent="0.4">
      <c r="J256" s="140"/>
      <c r="N256" s="211"/>
    </row>
    <row r="257" spans="10:14" x14ac:dyDescent="0.4">
      <c r="J257" s="140"/>
      <c r="N257" s="211"/>
    </row>
    <row r="258" spans="10:14" x14ac:dyDescent="0.4">
      <c r="J258" s="140"/>
      <c r="N258" s="211"/>
    </row>
    <row r="259" spans="10:14" x14ac:dyDescent="0.4">
      <c r="J259" s="140"/>
      <c r="N259" s="211"/>
    </row>
    <row r="260" spans="10:14" x14ac:dyDescent="0.4">
      <c r="J260" s="140"/>
      <c r="N260" s="211"/>
    </row>
    <row r="261" spans="10:14" x14ac:dyDescent="0.4">
      <c r="J261" s="140"/>
      <c r="N261" s="211"/>
    </row>
    <row r="262" spans="10:14" x14ac:dyDescent="0.4">
      <c r="J262" s="140"/>
      <c r="N262" s="211"/>
    </row>
    <row r="263" spans="10:14" x14ac:dyDescent="0.4">
      <c r="J263" s="140"/>
      <c r="N263" s="211"/>
    </row>
    <row r="264" spans="10:14" x14ac:dyDescent="0.4">
      <c r="J264" s="140"/>
      <c r="N264" s="211"/>
    </row>
    <row r="265" spans="10:14" x14ac:dyDescent="0.4">
      <c r="J265" s="140"/>
      <c r="N265" s="211"/>
    </row>
    <row r="266" spans="10:14" x14ac:dyDescent="0.4">
      <c r="J266" s="140"/>
      <c r="N266" s="211"/>
    </row>
    <row r="267" spans="10:14" x14ac:dyDescent="0.4">
      <c r="J267" s="140"/>
      <c r="N267" s="211"/>
    </row>
    <row r="268" spans="10:14" x14ac:dyDescent="0.4">
      <c r="J268" s="140"/>
      <c r="N268" s="211"/>
    </row>
    <row r="269" spans="10:14" x14ac:dyDescent="0.4">
      <c r="J269" s="140"/>
      <c r="N269" s="211"/>
    </row>
    <row r="270" spans="10:14" x14ac:dyDescent="0.4">
      <c r="J270" s="140"/>
      <c r="N270" s="211"/>
    </row>
    <row r="271" spans="10:14" x14ac:dyDescent="0.4">
      <c r="J271" s="140"/>
      <c r="N271" s="211"/>
    </row>
    <row r="272" spans="10:14" x14ac:dyDescent="0.4">
      <c r="J272" s="140"/>
      <c r="N272" s="211"/>
    </row>
    <row r="273" spans="10:14" x14ac:dyDescent="0.4">
      <c r="J273" s="140"/>
      <c r="N273" s="211"/>
    </row>
    <row r="274" spans="10:14" x14ac:dyDescent="0.4">
      <c r="J274" s="140"/>
      <c r="N274" s="211"/>
    </row>
    <row r="275" spans="10:14" x14ac:dyDescent="0.4">
      <c r="J275" s="140"/>
      <c r="N275" s="211"/>
    </row>
    <row r="276" spans="10:14" x14ac:dyDescent="0.4">
      <c r="J276" s="140"/>
      <c r="N276" s="211"/>
    </row>
    <row r="277" spans="10:14" x14ac:dyDescent="0.4">
      <c r="J277" s="140"/>
      <c r="N277" s="211"/>
    </row>
    <row r="278" spans="10:14" x14ac:dyDescent="0.4">
      <c r="J278" s="140"/>
      <c r="N278" s="211"/>
    </row>
    <row r="279" spans="10:14" x14ac:dyDescent="0.4">
      <c r="J279" s="140"/>
      <c r="N279" s="211"/>
    </row>
    <row r="280" spans="10:14" x14ac:dyDescent="0.4">
      <c r="J280" s="140"/>
      <c r="N280" s="211"/>
    </row>
    <row r="281" spans="10:14" x14ac:dyDescent="0.4">
      <c r="J281" s="140"/>
      <c r="N281" s="211"/>
    </row>
    <row r="282" spans="10:14" x14ac:dyDescent="0.4">
      <c r="J282" s="140"/>
      <c r="N282" s="211"/>
    </row>
    <row r="283" spans="10:14" x14ac:dyDescent="0.4">
      <c r="J283" s="140"/>
      <c r="N283" s="211"/>
    </row>
    <row r="284" spans="10:14" x14ac:dyDescent="0.4">
      <c r="J284" s="140"/>
      <c r="N284" s="211"/>
    </row>
    <row r="285" spans="10:14" x14ac:dyDescent="0.4">
      <c r="J285" s="140"/>
      <c r="N285" s="211"/>
    </row>
    <row r="286" spans="10:14" x14ac:dyDescent="0.4">
      <c r="J286" s="140"/>
      <c r="N286" s="211"/>
    </row>
    <row r="287" spans="10:14" x14ac:dyDescent="0.4">
      <c r="J287" s="140"/>
      <c r="N287" s="211"/>
    </row>
    <row r="288" spans="10:14" x14ac:dyDescent="0.4">
      <c r="J288" s="140"/>
      <c r="N288" s="211"/>
    </row>
    <row r="289" spans="10:14" x14ac:dyDescent="0.4">
      <c r="J289" s="140"/>
      <c r="N289" s="211"/>
    </row>
    <row r="290" spans="10:14" x14ac:dyDescent="0.4">
      <c r="J290" s="140"/>
      <c r="N290" s="211"/>
    </row>
    <row r="291" spans="10:14" x14ac:dyDescent="0.4">
      <c r="J291" s="140"/>
      <c r="N291" s="211"/>
    </row>
    <row r="292" spans="10:14" x14ac:dyDescent="0.4">
      <c r="J292" s="140"/>
      <c r="N292" s="211"/>
    </row>
    <row r="293" spans="10:14" x14ac:dyDescent="0.4">
      <c r="J293" s="140"/>
      <c r="N293" s="211"/>
    </row>
    <row r="294" spans="10:14" x14ac:dyDescent="0.4">
      <c r="J294" s="140"/>
      <c r="N294" s="211"/>
    </row>
    <row r="295" spans="10:14" x14ac:dyDescent="0.4">
      <c r="J295" s="140"/>
      <c r="N295" s="211"/>
    </row>
    <row r="296" spans="10:14" x14ac:dyDescent="0.4">
      <c r="J296" s="140"/>
      <c r="N296" s="211"/>
    </row>
    <row r="297" spans="10:14" x14ac:dyDescent="0.4">
      <c r="J297" s="140"/>
      <c r="N297" s="211"/>
    </row>
    <row r="298" spans="10:14" x14ac:dyDescent="0.4">
      <c r="J298" s="140"/>
      <c r="N298" s="211"/>
    </row>
    <row r="299" spans="10:14" x14ac:dyDescent="0.4">
      <c r="J299" s="140"/>
      <c r="N299" s="211"/>
    </row>
    <row r="300" spans="10:14" x14ac:dyDescent="0.4">
      <c r="J300" s="140"/>
      <c r="N300" s="211"/>
    </row>
    <row r="301" spans="10:14" x14ac:dyDescent="0.4">
      <c r="J301" s="140"/>
      <c r="N301" s="211"/>
    </row>
    <row r="302" spans="10:14" x14ac:dyDescent="0.4">
      <c r="J302" s="140"/>
      <c r="N302" s="211"/>
    </row>
    <row r="303" spans="10:14" x14ac:dyDescent="0.4">
      <c r="J303" s="140"/>
      <c r="N303" s="211"/>
    </row>
    <row r="304" spans="10:14" x14ac:dyDescent="0.4">
      <c r="J304" s="140"/>
      <c r="N304" s="211"/>
    </row>
    <row r="305" spans="10:14" x14ac:dyDescent="0.4">
      <c r="J305" s="140"/>
      <c r="N305" s="211"/>
    </row>
    <row r="306" spans="10:14" x14ac:dyDescent="0.4">
      <c r="J306" s="140"/>
      <c r="N306" s="211"/>
    </row>
    <row r="307" spans="10:14" x14ac:dyDescent="0.4">
      <c r="J307" s="140"/>
      <c r="N307" s="211"/>
    </row>
    <row r="308" spans="10:14" x14ac:dyDescent="0.4">
      <c r="J308" s="140"/>
      <c r="N308" s="211"/>
    </row>
    <row r="309" spans="10:14" x14ac:dyDescent="0.4">
      <c r="J309" s="140"/>
      <c r="N309" s="211"/>
    </row>
    <row r="310" spans="10:14" x14ac:dyDescent="0.4">
      <c r="J310" s="140"/>
      <c r="N310" s="211"/>
    </row>
    <row r="311" spans="10:14" x14ac:dyDescent="0.4">
      <c r="J311" s="140"/>
      <c r="N311" s="211"/>
    </row>
    <row r="312" spans="10:14" x14ac:dyDescent="0.4">
      <c r="J312" s="140"/>
      <c r="N312" s="211"/>
    </row>
    <row r="313" spans="10:14" x14ac:dyDescent="0.4">
      <c r="J313" s="140"/>
      <c r="N313" s="211"/>
    </row>
    <row r="314" spans="10:14" x14ac:dyDescent="0.4">
      <c r="J314" s="140"/>
      <c r="N314" s="211"/>
    </row>
    <row r="315" spans="10:14" x14ac:dyDescent="0.4">
      <c r="J315" s="140"/>
      <c r="N315" s="211"/>
    </row>
    <row r="316" spans="10:14" x14ac:dyDescent="0.4">
      <c r="J316" s="140"/>
      <c r="N316" s="211"/>
    </row>
    <row r="317" spans="10:14" x14ac:dyDescent="0.4">
      <c r="J317" s="140"/>
      <c r="N317" s="211"/>
    </row>
    <row r="318" spans="10:14" x14ac:dyDescent="0.4">
      <c r="J318" s="140"/>
      <c r="N318" s="211"/>
    </row>
    <row r="319" spans="10:14" x14ac:dyDescent="0.4">
      <c r="J319" s="140"/>
      <c r="N319" s="211"/>
    </row>
    <row r="320" spans="10:14" x14ac:dyDescent="0.4">
      <c r="J320" s="140"/>
      <c r="N320" s="211"/>
    </row>
    <row r="321" spans="10:14" x14ac:dyDescent="0.4">
      <c r="J321" s="140"/>
      <c r="N321" s="211"/>
    </row>
    <row r="322" spans="10:14" x14ac:dyDescent="0.4">
      <c r="J322" s="140"/>
      <c r="N322" s="211"/>
    </row>
    <row r="323" spans="10:14" x14ac:dyDescent="0.4">
      <c r="J323" s="140"/>
      <c r="N323" s="211"/>
    </row>
    <row r="324" spans="10:14" x14ac:dyDescent="0.4">
      <c r="J324" s="140"/>
      <c r="N324" s="211"/>
    </row>
    <row r="325" spans="10:14" x14ac:dyDescent="0.4">
      <c r="J325" s="140"/>
      <c r="N325" s="211"/>
    </row>
    <row r="326" spans="10:14" x14ac:dyDescent="0.4">
      <c r="J326" s="140"/>
      <c r="N326" s="211"/>
    </row>
    <row r="327" spans="10:14" x14ac:dyDescent="0.4">
      <c r="J327" s="140"/>
      <c r="N327" s="211"/>
    </row>
    <row r="328" spans="10:14" x14ac:dyDescent="0.4">
      <c r="J328" s="140"/>
      <c r="N328" s="211"/>
    </row>
    <row r="329" spans="10:14" x14ac:dyDescent="0.4">
      <c r="J329" s="140"/>
      <c r="N329" s="211"/>
    </row>
    <row r="330" spans="10:14" x14ac:dyDescent="0.4">
      <c r="J330" s="140"/>
      <c r="N330" s="211"/>
    </row>
    <row r="331" spans="10:14" x14ac:dyDescent="0.4">
      <c r="J331" s="140"/>
      <c r="N331" s="211"/>
    </row>
    <row r="332" spans="10:14" x14ac:dyDescent="0.4">
      <c r="J332" s="140"/>
      <c r="N332" s="211"/>
    </row>
    <row r="333" spans="10:14" x14ac:dyDescent="0.4">
      <c r="J333" s="140"/>
      <c r="N333" s="211"/>
    </row>
    <row r="334" spans="10:14" x14ac:dyDescent="0.4">
      <c r="J334" s="140"/>
      <c r="N334" s="211"/>
    </row>
    <row r="335" spans="10:14" x14ac:dyDescent="0.4">
      <c r="J335" s="140"/>
      <c r="N335" s="211"/>
    </row>
    <row r="336" spans="10:14" x14ac:dyDescent="0.4">
      <c r="J336" s="140"/>
      <c r="N336" s="211"/>
    </row>
    <row r="337" spans="10:14" x14ac:dyDescent="0.4">
      <c r="J337" s="140"/>
      <c r="N337" s="211"/>
    </row>
    <row r="338" spans="10:14" x14ac:dyDescent="0.4">
      <c r="J338" s="140"/>
      <c r="N338" s="211"/>
    </row>
    <row r="339" spans="10:14" x14ac:dyDescent="0.4">
      <c r="J339" s="140"/>
      <c r="N339" s="211"/>
    </row>
    <row r="340" spans="10:14" x14ac:dyDescent="0.4">
      <c r="J340" s="140"/>
      <c r="N340" s="211"/>
    </row>
    <row r="341" spans="10:14" x14ac:dyDescent="0.4">
      <c r="J341" s="140"/>
      <c r="N341" s="211"/>
    </row>
    <row r="342" spans="10:14" x14ac:dyDescent="0.4">
      <c r="J342" s="140"/>
      <c r="N342" s="211"/>
    </row>
    <row r="343" spans="10:14" x14ac:dyDescent="0.4">
      <c r="J343" s="140"/>
      <c r="N343" s="211"/>
    </row>
    <row r="344" spans="10:14" x14ac:dyDescent="0.4">
      <c r="J344" s="140"/>
      <c r="N344" s="211"/>
    </row>
    <row r="345" spans="10:14" x14ac:dyDescent="0.4">
      <c r="J345" s="140"/>
      <c r="N345" s="211"/>
    </row>
    <row r="346" spans="10:14" x14ac:dyDescent="0.4">
      <c r="J346" s="140"/>
      <c r="N346" s="211"/>
    </row>
    <row r="347" spans="10:14" x14ac:dyDescent="0.4">
      <c r="J347" s="140"/>
      <c r="N347" s="211"/>
    </row>
    <row r="348" spans="10:14" x14ac:dyDescent="0.4">
      <c r="J348" s="140"/>
      <c r="N348" s="211"/>
    </row>
    <row r="349" spans="10:14" x14ac:dyDescent="0.4">
      <c r="J349" s="140"/>
      <c r="N349" s="211"/>
    </row>
    <row r="350" spans="10:14" x14ac:dyDescent="0.4">
      <c r="J350" s="140"/>
      <c r="N350" s="211"/>
    </row>
    <row r="351" spans="10:14" x14ac:dyDescent="0.4">
      <c r="J351" s="140"/>
      <c r="N351" s="211"/>
    </row>
    <row r="352" spans="10:14" x14ac:dyDescent="0.4">
      <c r="J352" s="140"/>
      <c r="N352" s="211"/>
    </row>
    <row r="353" spans="10:14" x14ac:dyDescent="0.4">
      <c r="J353" s="140"/>
      <c r="N353" s="211"/>
    </row>
    <row r="354" spans="10:14" x14ac:dyDescent="0.4">
      <c r="J354" s="140"/>
      <c r="N354" s="211"/>
    </row>
    <row r="355" spans="10:14" x14ac:dyDescent="0.4">
      <c r="J355" s="140"/>
      <c r="N355" s="211"/>
    </row>
    <row r="356" spans="10:14" x14ac:dyDescent="0.4">
      <c r="J356" s="140"/>
      <c r="N356" s="211"/>
    </row>
    <row r="357" spans="10:14" x14ac:dyDescent="0.4">
      <c r="J357" s="140"/>
      <c r="N357" s="211"/>
    </row>
    <row r="358" spans="10:14" x14ac:dyDescent="0.4">
      <c r="J358" s="140"/>
      <c r="N358" s="211"/>
    </row>
    <row r="359" spans="10:14" x14ac:dyDescent="0.4">
      <c r="J359" s="140"/>
      <c r="N359" s="211"/>
    </row>
    <row r="360" spans="10:14" x14ac:dyDescent="0.4">
      <c r="J360" s="140"/>
      <c r="N360" s="211"/>
    </row>
    <row r="361" spans="10:14" x14ac:dyDescent="0.4">
      <c r="J361" s="140"/>
      <c r="N361" s="211"/>
    </row>
    <row r="362" spans="10:14" x14ac:dyDescent="0.4">
      <c r="J362" s="140"/>
      <c r="N362" s="211"/>
    </row>
    <row r="363" spans="10:14" x14ac:dyDescent="0.4">
      <c r="J363" s="140"/>
      <c r="N363" s="211"/>
    </row>
    <row r="364" spans="10:14" x14ac:dyDescent="0.4">
      <c r="J364" s="140"/>
      <c r="N364" s="211"/>
    </row>
    <row r="365" spans="10:14" x14ac:dyDescent="0.4">
      <c r="J365" s="140"/>
      <c r="N365" s="211"/>
    </row>
    <row r="366" spans="10:14" x14ac:dyDescent="0.4">
      <c r="J366" s="140"/>
      <c r="N366" s="211"/>
    </row>
    <row r="367" spans="10:14" x14ac:dyDescent="0.4">
      <c r="J367" s="140"/>
      <c r="N367" s="211"/>
    </row>
    <row r="368" spans="10:14" x14ac:dyDescent="0.4">
      <c r="J368" s="140"/>
      <c r="N368" s="211"/>
    </row>
    <row r="369" spans="10:14" x14ac:dyDescent="0.4">
      <c r="J369" s="140"/>
      <c r="N369" s="211"/>
    </row>
    <row r="370" spans="10:14" x14ac:dyDescent="0.4">
      <c r="J370" s="140"/>
      <c r="N370" s="211"/>
    </row>
    <row r="371" spans="10:14" x14ac:dyDescent="0.4">
      <c r="J371" s="140"/>
      <c r="N371" s="211"/>
    </row>
    <row r="372" spans="10:14" x14ac:dyDescent="0.4">
      <c r="J372" s="140"/>
      <c r="N372" s="211"/>
    </row>
    <row r="373" spans="10:14" x14ac:dyDescent="0.4">
      <c r="J373" s="140"/>
      <c r="N373" s="211"/>
    </row>
    <row r="374" spans="10:14" x14ac:dyDescent="0.4">
      <c r="J374" s="140"/>
      <c r="N374" s="211"/>
    </row>
    <row r="375" spans="10:14" x14ac:dyDescent="0.4">
      <c r="J375" s="140"/>
      <c r="N375" s="211"/>
    </row>
    <row r="376" spans="10:14" x14ac:dyDescent="0.4">
      <c r="J376" s="140"/>
      <c r="N376" s="211"/>
    </row>
    <row r="377" spans="10:14" x14ac:dyDescent="0.4">
      <c r="J377" s="140"/>
      <c r="N377" s="211"/>
    </row>
    <row r="378" spans="10:14" x14ac:dyDescent="0.4">
      <c r="J378" s="140"/>
      <c r="N378" s="211"/>
    </row>
    <row r="379" spans="10:14" x14ac:dyDescent="0.4">
      <c r="J379" s="140"/>
      <c r="N379" s="211"/>
    </row>
    <row r="380" spans="10:14" x14ac:dyDescent="0.4">
      <c r="J380" s="140"/>
      <c r="N380" s="211"/>
    </row>
    <row r="381" spans="10:14" x14ac:dyDescent="0.4">
      <c r="J381" s="140"/>
      <c r="N381" s="211"/>
    </row>
    <row r="382" spans="10:14" x14ac:dyDescent="0.4">
      <c r="J382" s="140"/>
      <c r="N382" s="211"/>
    </row>
    <row r="383" spans="10:14" x14ac:dyDescent="0.4">
      <c r="J383" s="140"/>
      <c r="N383" s="211"/>
    </row>
    <row r="384" spans="10:14" x14ac:dyDescent="0.4">
      <c r="J384" s="140"/>
      <c r="N384" s="211"/>
    </row>
    <row r="385" spans="10:14" x14ac:dyDescent="0.4">
      <c r="J385" s="140"/>
      <c r="N385" s="211"/>
    </row>
    <row r="386" spans="10:14" x14ac:dyDescent="0.4">
      <c r="J386" s="140"/>
      <c r="N386" s="211"/>
    </row>
    <row r="387" spans="10:14" x14ac:dyDescent="0.4">
      <c r="J387" s="140"/>
      <c r="N387" s="211"/>
    </row>
    <row r="388" spans="10:14" x14ac:dyDescent="0.4">
      <c r="J388" s="140"/>
      <c r="N388" s="211"/>
    </row>
    <row r="389" spans="10:14" x14ac:dyDescent="0.4">
      <c r="J389" s="140"/>
      <c r="N389" s="211"/>
    </row>
    <row r="390" spans="10:14" x14ac:dyDescent="0.4">
      <c r="J390" s="140"/>
      <c r="N390" s="211"/>
    </row>
    <row r="391" spans="10:14" x14ac:dyDescent="0.4">
      <c r="J391" s="140"/>
      <c r="N391" s="211"/>
    </row>
    <row r="392" spans="10:14" x14ac:dyDescent="0.4">
      <c r="J392" s="140"/>
      <c r="N392" s="211"/>
    </row>
    <row r="393" spans="10:14" x14ac:dyDescent="0.4">
      <c r="J393" s="140"/>
      <c r="N393" s="211"/>
    </row>
    <row r="394" spans="10:14" x14ac:dyDescent="0.4">
      <c r="J394" s="140"/>
      <c r="N394" s="211"/>
    </row>
    <row r="395" spans="10:14" x14ac:dyDescent="0.4">
      <c r="J395" s="140"/>
      <c r="N395" s="211"/>
    </row>
    <row r="396" spans="10:14" x14ac:dyDescent="0.4">
      <c r="J396" s="140"/>
      <c r="N396" s="211"/>
    </row>
    <row r="397" spans="10:14" x14ac:dyDescent="0.4">
      <c r="J397" s="140"/>
      <c r="N397" s="211"/>
    </row>
    <row r="398" spans="10:14" x14ac:dyDescent="0.4">
      <c r="J398" s="140"/>
      <c r="N398" s="211"/>
    </row>
    <row r="399" spans="10:14" x14ac:dyDescent="0.4">
      <c r="J399" s="140"/>
      <c r="N399" s="211"/>
    </row>
    <row r="400" spans="10:14" x14ac:dyDescent="0.4">
      <c r="J400" s="140"/>
      <c r="N400" s="211"/>
    </row>
    <row r="401" spans="10:14" x14ac:dyDescent="0.4">
      <c r="J401" s="140"/>
      <c r="N401" s="211"/>
    </row>
    <row r="402" spans="10:14" x14ac:dyDescent="0.4">
      <c r="J402" s="140"/>
      <c r="N402" s="211"/>
    </row>
    <row r="403" spans="10:14" x14ac:dyDescent="0.4">
      <c r="J403" s="140"/>
      <c r="N403" s="211"/>
    </row>
    <row r="404" spans="10:14" x14ac:dyDescent="0.4">
      <c r="J404" s="140"/>
      <c r="N404" s="211"/>
    </row>
    <row r="405" spans="10:14" x14ac:dyDescent="0.4">
      <c r="J405" s="140"/>
      <c r="N405" s="211"/>
    </row>
    <row r="406" spans="10:14" x14ac:dyDescent="0.4">
      <c r="J406" s="140"/>
      <c r="N406" s="211"/>
    </row>
    <row r="407" spans="10:14" x14ac:dyDescent="0.4">
      <c r="J407" s="140"/>
      <c r="N407" s="211"/>
    </row>
    <row r="408" spans="10:14" x14ac:dyDescent="0.4">
      <c r="J408" s="140"/>
      <c r="N408" s="211"/>
    </row>
    <row r="409" spans="10:14" x14ac:dyDescent="0.4">
      <c r="J409" s="140"/>
      <c r="N409" s="211"/>
    </row>
    <row r="410" spans="10:14" x14ac:dyDescent="0.4">
      <c r="J410" s="140"/>
      <c r="N410" s="211"/>
    </row>
    <row r="411" spans="10:14" x14ac:dyDescent="0.4">
      <c r="J411" s="140"/>
      <c r="N411" s="211"/>
    </row>
    <row r="412" spans="10:14" x14ac:dyDescent="0.4">
      <c r="J412" s="140"/>
      <c r="N412" s="211"/>
    </row>
    <row r="413" spans="10:14" x14ac:dyDescent="0.4">
      <c r="J413" s="140"/>
      <c r="N413" s="211"/>
    </row>
    <row r="414" spans="10:14" x14ac:dyDescent="0.4">
      <c r="J414" s="140"/>
      <c r="N414" s="211"/>
    </row>
    <row r="415" spans="10:14" x14ac:dyDescent="0.4">
      <c r="J415" s="140"/>
      <c r="N415" s="211"/>
    </row>
    <row r="416" spans="10:14" x14ac:dyDescent="0.4">
      <c r="J416" s="140"/>
      <c r="N416" s="211"/>
    </row>
    <row r="417" spans="10:14" x14ac:dyDescent="0.4">
      <c r="J417" s="140"/>
      <c r="N417" s="211"/>
    </row>
    <row r="418" spans="10:14" x14ac:dyDescent="0.4">
      <c r="J418" s="140"/>
      <c r="N418" s="211"/>
    </row>
    <row r="419" spans="10:14" x14ac:dyDescent="0.4">
      <c r="J419" s="140"/>
      <c r="N419" s="211"/>
    </row>
    <row r="420" spans="10:14" x14ac:dyDescent="0.4">
      <c r="J420" s="140"/>
      <c r="N420" s="211"/>
    </row>
    <row r="421" spans="10:14" x14ac:dyDescent="0.4">
      <c r="J421" s="140"/>
      <c r="N421" s="211"/>
    </row>
    <row r="422" spans="10:14" x14ac:dyDescent="0.4">
      <c r="J422" s="140"/>
      <c r="N422" s="211"/>
    </row>
    <row r="423" spans="10:14" x14ac:dyDescent="0.4">
      <c r="J423" s="140"/>
      <c r="N423" s="211"/>
    </row>
    <row r="424" spans="10:14" x14ac:dyDescent="0.4">
      <c r="J424" s="140"/>
      <c r="N424" s="211"/>
    </row>
    <row r="425" spans="10:14" x14ac:dyDescent="0.4">
      <c r="J425" s="140"/>
      <c r="N425" s="211"/>
    </row>
    <row r="426" spans="10:14" x14ac:dyDescent="0.4">
      <c r="J426" s="140"/>
      <c r="N426" s="211"/>
    </row>
    <row r="427" spans="10:14" x14ac:dyDescent="0.4">
      <c r="J427" s="140"/>
      <c r="N427" s="211"/>
    </row>
    <row r="428" spans="10:14" x14ac:dyDescent="0.4">
      <c r="J428" s="140"/>
      <c r="N428" s="211"/>
    </row>
    <row r="429" spans="10:14" x14ac:dyDescent="0.4">
      <c r="J429" s="140"/>
      <c r="N429" s="211"/>
    </row>
    <row r="430" spans="10:14" x14ac:dyDescent="0.4">
      <c r="J430" s="140"/>
      <c r="N430" s="211"/>
    </row>
    <row r="431" spans="10:14" x14ac:dyDescent="0.4">
      <c r="J431" s="140"/>
      <c r="N431" s="211"/>
    </row>
    <row r="432" spans="10:14" x14ac:dyDescent="0.4">
      <c r="J432" s="140"/>
      <c r="N432" s="211"/>
    </row>
    <row r="433" spans="10:14" x14ac:dyDescent="0.4">
      <c r="J433" s="140"/>
      <c r="N433" s="211"/>
    </row>
    <row r="434" spans="10:14" x14ac:dyDescent="0.4">
      <c r="J434" s="140"/>
      <c r="N434" s="211"/>
    </row>
    <row r="435" spans="10:14" x14ac:dyDescent="0.4">
      <c r="J435" s="140"/>
      <c r="N435" s="211"/>
    </row>
    <row r="436" spans="10:14" x14ac:dyDescent="0.4">
      <c r="J436" s="140"/>
      <c r="N436" s="211"/>
    </row>
    <row r="437" spans="10:14" x14ac:dyDescent="0.4">
      <c r="J437" s="140"/>
      <c r="N437" s="211"/>
    </row>
    <row r="438" spans="10:14" x14ac:dyDescent="0.4">
      <c r="J438" s="140"/>
      <c r="N438" s="211"/>
    </row>
    <row r="439" spans="10:14" x14ac:dyDescent="0.4">
      <c r="J439" s="140"/>
      <c r="N439" s="211"/>
    </row>
    <row r="440" spans="10:14" x14ac:dyDescent="0.4">
      <c r="J440" s="140"/>
      <c r="N440" s="211"/>
    </row>
    <row r="441" spans="10:14" x14ac:dyDescent="0.4">
      <c r="J441" s="140"/>
      <c r="N441" s="211"/>
    </row>
    <row r="442" spans="10:14" x14ac:dyDescent="0.4">
      <c r="J442" s="140"/>
      <c r="N442" s="211"/>
    </row>
    <row r="443" spans="10:14" x14ac:dyDescent="0.4">
      <c r="J443" s="140"/>
      <c r="N443" s="211"/>
    </row>
    <row r="444" spans="10:14" x14ac:dyDescent="0.4">
      <c r="J444" s="140"/>
      <c r="N444" s="211"/>
    </row>
    <row r="445" spans="10:14" x14ac:dyDescent="0.4">
      <c r="J445" s="140"/>
      <c r="N445" s="211"/>
    </row>
    <row r="446" spans="10:14" x14ac:dyDescent="0.4">
      <c r="J446" s="140"/>
      <c r="N446" s="211"/>
    </row>
    <row r="447" spans="10:14" x14ac:dyDescent="0.4">
      <c r="J447" s="140"/>
      <c r="N447" s="211"/>
    </row>
    <row r="448" spans="10:14" x14ac:dyDescent="0.4">
      <c r="J448" s="140"/>
      <c r="N448" s="211"/>
    </row>
    <row r="449" spans="10:14" x14ac:dyDescent="0.4">
      <c r="J449" s="140"/>
      <c r="N449" s="211"/>
    </row>
    <row r="450" spans="10:14" x14ac:dyDescent="0.4">
      <c r="J450" s="140"/>
      <c r="N450" s="211"/>
    </row>
    <row r="451" spans="10:14" x14ac:dyDescent="0.4">
      <c r="J451" s="140"/>
      <c r="N451" s="211"/>
    </row>
    <row r="452" spans="10:14" x14ac:dyDescent="0.4">
      <c r="J452" s="140"/>
      <c r="N452" s="211"/>
    </row>
    <row r="453" spans="10:14" x14ac:dyDescent="0.4">
      <c r="J453" s="140"/>
      <c r="N453" s="211"/>
    </row>
    <row r="454" spans="10:14" x14ac:dyDescent="0.4">
      <c r="J454" s="140"/>
      <c r="N454" s="211"/>
    </row>
    <row r="455" spans="10:14" x14ac:dyDescent="0.4">
      <c r="J455" s="140"/>
      <c r="N455" s="211"/>
    </row>
    <row r="456" spans="10:14" x14ac:dyDescent="0.4">
      <c r="J456" s="140"/>
      <c r="N456" s="211"/>
    </row>
    <row r="457" spans="10:14" x14ac:dyDescent="0.4">
      <c r="J457" s="140"/>
      <c r="N457" s="211"/>
    </row>
    <row r="458" spans="10:14" x14ac:dyDescent="0.4">
      <c r="J458" s="140"/>
      <c r="N458" s="211"/>
    </row>
    <row r="459" spans="10:14" x14ac:dyDescent="0.4">
      <c r="J459" s="140"/>
      <c r="N459" s="211"/>
    </row>
    <row r="460" spans="10:14" x14ac:dyDescent="0.4">
      <c r="J460" s="140"/>
      <c r="N460" s="211"/>
    </row>
    <row r="461" spans="10:14" x14ac:dyDescent="0.4">
      <c r="J461" s="140"/>
      <c r="N461" s="211"/>
    </row>
    <row r="462" spans="10:14" x14ac:dyDescent="0.4">
      <c r="J462" s="140"/>
      <c r="N462" s="211"/>
    </row>
    <row r="463" spans="10:14" x14ac:dyDescent="0.4">
      <c r="J463" s="140"/>
      <c r="N463" s="211"/>
    </row>
    <row r="464" spans="10:14" x14ac:dyDescent="0.4">
      <c r="J464" s="140"/>
      <c r="N464" s="211"/>
    </row>
    <row r="465" spans="10:14" x14ac:dyDescent="0.4">
      <c r="J465" s="140"/>
      <c r="N465" s="211"/>
    </row>
    <row r="466" spans="10:14" x14ac:dyDescent="0.4">
      <c r="J466" s="140"/>
      <c r="N466" s="211"/>
    </row>
    <row r="467" spans="10:14" x14ac:dyDescent="0.4">
      <c r="J467" s="140"/>
      <c r="N467" s="211"/>
    </row>
    <row r="468" spans="10:14" x14ac:dyDescent="0.4">
      <c r="J468" s="140"/>
      <c r="N468" s="211"/>
    </row>
    <row r="469" spans="10:14" x14ac:dyDescent="0.4">
      <c r="J469" s="140"/>
      <c r="N469" s="211"/>
    </row>
    <row r="470" spans="10:14" x14ac:dyDescent="0.4">
      <c r="J470" s="140"/>
      <c r="N470" s="211"/>
    </row>
    <row r="471" spans="10:14" x14ac:dyDescent="0.4">
      <c r="J471" s="140"/>
      <c r="N471" s="211"/>
    </row>
    <row r="472" spans="10:14" x14ac:dyDescent="0.4">
      <c r="J472" s="140"/>
      <c r="N472" s="211"/>
    </row>
    <row r="473" spans="10:14" x14ac:dyDescent="0.4">
      <c r="J473" s="140"/>
      <c r="N473" s="211"/>
    </row>
    <row r="474" spans="10:14" x14ac:dyDescent="0.4">
      <c r="J474" s="140"/>
      <c r="N474" s="211"/>
    </row>
    <row r="475" spans="10:14" x14ac:dyDescent="0.4">
      <c r="J475" s="140"/>
      <c r="N475" s="211"/>
    </row>
    <row r="476" spans="10:14" x14ac:dyDescent="0.4">
      <c r="J476" s="140"/>
      <c r="N476" s="211"/>
    </row>
    <row r="477" spans="10:14" x14ac:dyDescent="0.4">
      <c r="J477" s="140"/>
      <c r="N477" s="211"/>
    </row>
    <row r="478" spans="10:14" x14ac:dyDescent="0.4">
      <c r="J478" s="140"/>
      <c r="N478" s="211"/>
    </row>
    <row r="479" spans="10:14" x14ac:dyDescent="0.4">
      <c r="J479" s="140"/>
      <c r="N479" s="211"/>
    </row>
    <row r="480" spans="10:14" x14ac:dyDescent="0.4">
      <c r="J480" s="140"/>
      <c r="N480" s="211"/>
    </row>
    <row r="481" spans="10:14" x14ac:dyDescent="0.4">
      <c r="J481" s="140"/>
      <c r="N481" s="211"/>
    </row>
    <row r="482" spans="10:14" x14ac:dyDescent="0.4">
      <c r="J482" s="140"/>
      <c r="N482" s="211"/>
    </row>
    <row r="483" spans="10:14" x14ac:dyDescent="0.4">
      <c r="J483" s="140"/>
      <c r="N483" s="211"/>
    </row>
    <row r="484" spans="10:14" x14ac:dyDescent="0.4">
      <c r="J484" s="140"/>
      <c r="N484" s="211"/>
    </row>
    <row r="485" spans="10:14" x14ac:dyDescent="0.4">
      <c r="J485" s="140"/>
      <c r="N485" s="211"/>
    </row>
    <row r="486" spans="10:14" x14ac:dyDescent="0.4">
      <c r="J486" s="140"/>
      <c r="N486" s="211"/>
    </row>
    <row r="487" spans="10:14" x14ac:dyDescent="0.4">
      <c r="J487" s="140"/>
      <c r="N487" s="211"/>
    </row>
    <row r="488" spans="10:14" x14ac:dyDescent="0.4">
      <c r="J488" s="140"/>
      <c r="N488" s="211"/>
    </row>
    <row r="489" spans="10:14" x14ac:dyDescent="0.4">
      <c r="J489" s="140"/>
      <c r="N489" s="211"/>
    </row>
    <row r="490" spans="10:14" x14ac:dyDescent="0.4">
      <c r="J490" s="140"/>
      <c r="N490" s="211"/>
    </row>
    <row r="491" spans="10:14" x14ac:dyDescent="0.4">
      <c r="J491" s="140"/>
      <c r="N491" s="211"/>
    </row>
    <row r="492" spans="10:14" x14ac:dyDescent="0.4">
      <c r="J492" s="140"/>
      <c r="N492" s="211"/>
    </row>
    <row r="493" spans="10:14" x14ac:dyDescent="0.4">
      <c r="J493" s="140"/>
      <c r="N493" s="211"/>
    </row>
    <row r="494" spans="10:14" x14ac:dyDescent="0.4">
      <c r="J494" s="140"/>
      <c r="N494" s="211"/>
    </row>
    <row r="495" spans="10:14" x14ac:dyDescent="0.4">
      <c r="J495" s="140"/>
      <c r="N495" s="211"/>
    </row>
    <row r="496" spans="10:14" x14ac:dyDescent="0.4">
      <c r="J496" s="140"/>
      <c r="N496" s="211"/>
    </row>
    <row r="497" spans="10:14" x14ac:dyDescent="0.4">
      <c r="J497" s="140"/>
      <c r="N497" s="211"/>
    </row>
    <row r="498" spans="10:14" x14ac:dyDescent="0.4">
      <c r="J498" s="140"/>
      <c r="N498" s="211"/>
    </row>
    <row r="499" spans="10:14" x14ac:dyDescent="0.4">
      <c r="J499" s="140"/>
      <c r="N499" s="211"/>
    </row>
    <row r="500" spans="10:14" x14ac:dyDescent="0.4">
      <c r="J500" s="140"/>
      <c r="N500" s="211"/>
    </row>
    <row r="501" spans="10:14" x14ac:dyDescent="0.4">
      <c r="J501" s="140"/>
      <c r="N501" s="211"/>
    </row>
    <row r="502" spans="10:14" x14ac:dyDescent="0.4">
      <c r="J502" s="140"/>
      <c r="N502" s="211"/>
    </row>
    <row r="503" spans="10:14" x14ac:dyDescent="0.4">
      <c r="J503" s="140"/>
      <c r="N503" s="211"/>
    </row>
    <row r="504" spans="10:14" x14ac:dyDescent="0.4">
      <c r="J504" s="140"/>
      <c r="N504" s="211"/>
    </row>
    <row r="505" spans="10:14" x14ac:dyDescent="0.4">
      <c r="J505" s="140"/>
      <c r="N505" s="211"/>
    </row>
    <row r="506" spans="10:14" x14ac:dyDescent="0.4">
      <c r="J506" s="140"/>
      <c r="N506" s="211"/>
    </row>
    <row r="507" spans="10:14" x14ac:dyDescent="0.4">
      <c r="J507" s="140"/>
      <c r="N507" s="211"/>
    </row>
    <row r="508" spans="10:14" x14ac:dyDescent="0.4">
      <c r="J508" s="140"/>
      <c r="N508" s="211"/>
    </row>
    <row r="509" spans="10:14" x14ac:dyDescent="0.4">
      <c r="J509" s="140"/>
      <c r="N509" s="211"/>
    </row>
    <row r="510" spans="10:14" x14ac:dyDescent="0.4">
      <c r="J510" s="140"/>
      <c r="N510" s="211"/>
    </row>
    <row r="511" spans="10:14" x14ac:dyDescent="0.4">
      <c r="J511" s="140"/>
      <c r="N511" s="211"/>
    </row>
    <row r="512" spans="10:14" x14ac:dyDescent="0.4">
      <c r="J512" s="140"/>
      <c r="N512" s="211"/>
    </row>
    <row r="513" spans="10:14" x14ac:dyDescent="0.4">
      <c r="J513" s="140"/>
      <c r="N513" s="211"/>
    </row>
    <row r="514" spans="10:14" x14ac:dyDescent="0.4">
      <c r="J514" s="140"/>
      <c r="N514" s="211"/>
    </row>
    <row r="515" spans="10:14" x14ac:dyDescent="0.4">
      <c r="J515" s="140"/>
      <c r="N515" s="211"/>
    </row>
    <row r="516" spans="10:14" x14ac:dyDescent="0.4">
      <c r="J516" s="140"/>
      <c r="N516" s="211"/>
    </row>
    <row r="517" spans="10:14" x14ac:dyDescent="0.4">
      <c r="J517" s="140"/>
      <c r="N517" s="211"/>
    </row>
    <row r="518" spans="10:14" x14ac:dyDescent="0.4">
      <c r="J518" s="140"/>
      <c r="N518" s="211"/>
    </row>
    <row r="519" spans="10:14" x14ac:dyDescent="0.4">
      <c r="J519" s="140"/>
      <c r="N519" s="211"/>
    </row>
    <row r="520" spans="10:14" x14ac:dyDescent="0.4">
      <c r="J520" s="140"/>
      <c r="N520" s="211"/>
    </row>
    <row r="521" spans="10:14" x14ac:dyDescent="0.4">
      <c r="J521" s="140"/>
      <c r="N521" s="211"/>
    </row>
    <row r="522" spans="10:14" x14ac:dyDescent="0.4">
      <c r="J522" s="140"/>
      <c r="N522" s="211"/>
    </row>
    <row r="523" spans="10:14" x14ac:dyDescent="0.4">
      <c r="J523" s="140"/>
      <c r="N523" s="211"/>
    </row>
    <row r="524" spans="10:14" x14ac:dyDescent="0.4">
      <c r="J524" s="140"/>
      <c r="N524" s="211"/>
    </row>
    <row r="525" spans="10:14" x14ac:dyDescent="0.4">
      <c r="J525" s="140"/>
      <c r="N525" s="211"/>
    </row>
    <row r="526" spans="10:14" x14ac:dyDescent="0.4">
      <c r="J526" s="140"/>
      <c r="N526" s="211"/>
    </row>
    <row r="527" spans="10:14" x14ac:dyDescent="0.4">
      <c r="J527" s="140"/>
      <c r="N527" s="211"/>
    </row>
    <row r="528" spans="10:14" x14ac:dyDescent="0.4">
      <c r="J528" s="140"/>
      <c r="N528" s="211"/>
    </row>
    <row r="529" spans="10:14" x14ac:dyDescent="0.4">
      <c r="J529" s="140"/>
      <c r="N529" s="211"/>
    </row>
    <row r="530" spans="10:14" x14ac:dyDescent="0.4">
      <c r="J530" s="140"/>
      <c r="N530" s="211"/>
    </row>
    <row r="531" spans="10:14" x14ac:dyDescent="0.4">
      <c r="J531" s="140"/>
      <c r="N531" s="211"/>
    </row>
    <row r="532" spans="10:14" x14ac:dyDescent="0.4">
      <c r="J532" s="140"/>
      <c r="N532" s="211"/>
    </row>
    <row r="533" spans="10:14" x14ac:dyDescent="0.4">
      <c r="J533" s="140"/>
      <c r="N533" s="211"/>
    </row>
    <row r="534" spans="10:14" x14ac:dyDescent="0.4">
      <c r="J534" s="140"/>
      <c r="N534" s="211"/>
    </row>
    <row r="535" spans="10:14" x14ac:dyDescent="0.4">
      <c r="J535" s="140"/>
      <c r="N535" s="211"/>
    </row>
    <row r="536" spans="10:14" x14ac:dyDescent="0.4">
      <c r="J536" s="140"/>
      <c r="N536" s="211"/>
    </row>
    <row r="537" spans="10:14" x14ac:dyDescent="0.4">
      <c r="J537" s="140"/>
      <c r="N537" s="211"/>
    </row>
    <row r="538" spans="10:14" x14ac:dyDescent="0.4">
      <c r="J538" s="140"/>
      <c r="N538" s="211"/>
    </row>
    <row r="539" spans="10:14" x14ac:dyDescent="0.4">
      <c r="J539" s="140"/>
      <c r="N539" s="211"/>
    </row>
    <row r="540" spans="10:14" x14ac:dyDescent="0.4">
      <c r="J540" s="140"/>
      <c r="N540" s="211"/>
    </row>
    <row r="541" spans="10:14" x14ac:dyDescent="0.4">
      <c r="J541" s="140"/>
      <c r="N541" s="211"/>
    </row>
    <row r="542" spans="10:14" x14ac:dyDescent="0.4">
      <c r="J542" s="140"/>
      <c r="N542" s="211"/>
    </row>
    <row r="543" spans="10:14" x14ac:dyDescent="0.4">
      <c r="J543" s="140"/>
      <c r="N543" s="211"/>
    </row>
    <row r="544" spans="10:14" x14ac:dyDescent="0.4">
      <c r="J544" s="140"/>
      <c r="N544" s="211"/>
    </row>
    <row r="545" spans="10:14" x14ac:dyDescent="0.4">
      <c r="J545" s="140"/>
      <c r="N545" s="211"/>
    </row>
    <row r="546" spans="10:14" x14ac:dyDescent="0.4">
      <c r="J546" s="140"/>
      <c r="N546" s="211"/>
    </row>
    <row r="547" spans="10:14" x14ac:dyDescent="0.4">
      <c r="J547" s="140"/>
      <c r="N547" s="211"/>
    </row>
    <row r="548" spans="10:14" x14ac:dyDescent="0.4">
      <c r="J548" s="140"/>
      <c r="N548" s="211"/>
    </row>
    <row r="549" spans="10:14" x14ac:dyDescent="0.4">
      <c r="J549" s="140"/>
      <c r="N549" s="211"/>
    </row>
    <row r="550" spans="10:14" x14ac:dyDescent="0.4">
      <c r="J550" s="140"/>
      <c r="N550" s="211"/>
    </row>
    <row r="551" spans="10:14" x14ac:dyDescent="0.4">
      <c r="J551" s="140"/>
      <c r="N551" s="211"/>
    </row>
    <row r="552" spans="10:14" x14ac:dyDescent="0.4">
      <c r="J552" s="140"/>
      <c r="N552" s="211"/>
    </row>
    <row r="553" spans="10:14" x14ac:dyDescent="0.4">
      <c r="J553" s="140"/>
      <c r="N553" s="211"/>
    </row>
    <row r="554" spans="10:14" x14ac:dyDescent="0.4">
      <c r="J554" s="140"/>
      <c r="N554" s="211"/>
    </row>
    <row r="555" spans="10:14" x14ac:dyDescent="0.4">
      <c r="J555" s="140"/>
      <c r="N555" s="211"/>
    </row>
    <row r="556" spans="10:14" x14ac:dyDescent="0.4">
      <c r="J556" s="140"/>
      <c r="N556" s="211"/>
    </row>
    <row r="557" spans="10:14" x14ac:dyDescent="0.4">
      <c r="J557" s="140"/>
      <c r="N557" s="211"/>
    </row>
    <row r="558" spans="10:14" x14ac:dyDescent="0.4">
      <c r="J558" s="140"/>
      <c r="N558" s="211"/>
    </row>
    <row r="559" spans="10:14" x14ac:dyDescent="0.4">
      <c r="J559" s="140"/>
      <c r="N559" s="211"/>
    </row>
    <row r="560" spans="10:14" x14ac:dyDescent="0.4">
      <c r="J560" s="140"/>
      <c r="N560" s="211"/>
    </row>
    <row r="561" spans="10:14" x14ac:dyDescent="0.4">
      <c r="J561" s="140"/>
      <c r="N561" s="211"/>
    </row>
    <row r="562" spans="10:14" x14ac:dyDescent="0.4">
      <c r="J562" s="140"/>
      <c r="N562" s="211"/>
    </row>
    <row r="563" spans="10:14" x14ac:dyDescent="0.4">
      <c r="J563" s="140"/>
      <c r="N563" s="211"/>
    </row>
    <row r="564" spans="10:14" x14ac:dyDescent="0.4">
      <c r="J564" s="140"/>
      <c r="N564" s="211"/>
    </row>
    <row r="565" spans="10:14" x14ac:dyDescent="0.4">
      <c r="J565" s="140"/>
      <c r="N565" s="211"/>
    </row>
    <row r="566" spans="10:14" x14ac:dyDescent="0.4">
      <c r="J566" s="140"/>
      <c r="N566" s="211"/>
    </row>
    <row r="567" spans="10:14" x14ac:dyDescent="0.4">
      <c r="J567" s="140"/>
      <c r="N567" s="211"/>
    </row>
    <row r="568" spans="10:14" x14ac:dyDescent="0.4">
      <c r="J568" s="140"/>
      <c r="N568" s="211"/>
    </row>
    <row r="569" spans="10:14" x14ac:dyDescent="0.4">
      <c r="J569" s="140"/>
      <c r="N569" s="211"/>
    </row>
    <row r="570" spans="10:14" x14ac:dyDescent="0.4">
      <c r="J570" s="140"/>
      <c r="N570" s="211"/>
    </row>
    <row r="571" spans="10:14" x14ac:dyDescent="0.4">
      <c r="J571" s="140"/>
      <c r="N571" s="211"/>
    </row>
    <row r="572" spans="10:14" x14ac:dyDescent="0.4">
      <c r="J572" s="140"/>
      <c r="N572" s="211"/>
    </row>
    <row r="573" spans="10:14" x14ac:dyDescent="0.4">
      <c r="J573" s="140"/>
      <c r="N573" s="211"/>
    </row>
    <row r="574" spans="10:14" x14ac:dyDescent="0.4">
      <c r="J574" s="140"/>
      <c r="N574" s="211"/>
    </row>
    <row r="575" spans="10:14" x14ac:dyDescent="0.4">
      <c r="J575" s="140"/>
      <c r="N575" s="211"/>
    </row>
    <row r="576" spans="10:14" x14ac:dyDescent="0.4">
      <c r="J576" s="140"/>
      <c r="N576" s="211"/>
    </row>
    <row r="577" spans="10:14" x14ac:dyDescent="0.4">
      <c r="J577" s="140"/>
      <c r="N577" s="211"/>
    </row>
    <row r="578" spans="10:14" x14ac:dyDescent="0.4">
      <c r="J578" s="140"/>
      <c r="N578" s="211"/>
    </row>
    <row r="579" spans="10:14" x14ac:dyDescent="0.4">
      <c r="J579" s="140"/>
      <c r="N579" s="211"/>
    </row>
    <row r="580" spans="10:14" x14ac:dyDescent="0.4">
      <c r="J580" s="140"/>
      <c r="N580" s="211"/>
    </row>
    <row r="581" spans="10:14" x14ac:dyDescent="0.4">
      <c r="J581" s="140"/>
      <c r="N581" s="211"/>
    </row>
    <row r="582" spans="10:14" x14ac:dyDescent="0.4">
      <c r="J582" s="140"/>
      <c r="N582" s="211"/>
    </row>
    <row r="583" spans="10:14" x14ac:dyDescent="0.4">
      <c r="J583" s="140"/>
      <c r="N583" s="211"/>
    </row>
    <row r="584" spans="10:14" x14ac:dyDescent="0.4">
      <c r="J584" s="140"/>
      <c r="N584" s="211"/>
    </row>
    <row r="585" spans="10:14" x14ac:dyDescent="0.4">
      <c r="J585" s="140"/>
      <c r="N585" s="211"/>
    </row>
    <row r="586" spans="10:14" x14ac:dyDescent="0.4">
      <c r="J586" s="140"/>
      <c r="N586" s="211"/>
    </row>
    <row r="587" spans="10:14" x14ac:dyDescent="0.4">
      <c r="J587" s="140"/>
      <c r="N587" s="211"/>
    </row>
    <row r="588" spans="10:14" x14ac:dyDescent="0.4">
      <c r="J588" s="140"/>
      <c r="N588" s="211"/>
    </row>
    <row r="589" spans="10:14" x14ac:dyDescent="0.4">
      <c r="J589" s="140"/>
      <c r="N589" s="211"/>
    </row>
    <row r="590" spans="10:14" x14ac:dyDescent="0.4">
      <c r="J590" s="140"/>
      <c r="N590" s="211"/>
    </row>
    <row r="591" spans="10:14" x14ac:dyDescent="0.4">
      <c r="J591" s="140"/>
      <c r="N591" s="211"/>
    </row>
    <row r="592" spans="10:14" x14ac:dyDescent="0.4">
      <c r="J592" s="140"/>
      <c r="N592" s="211"/>
    </row>
    <row r="593" spans="10:14" x14ac:dyDescent="0.4">
      <c r="J593" s="140"/>
      <c r="N593" s="211"/>
    </row>
    <row r="594" spans="10:14" x14ac:dyDescent="0.4">
      <c r="J594" s="140"/>
      <c r="N594" s="211"/>
    </row>
    <row r="595" spans="10:14" x14ac:dyDescent="0.4">
      <c r="J595" s="140"/>
      <c r="N595" s="211"/>
    </row>
    <row r="596" spans="10:14" x14ac:dyDescent="0.4">
      <c r="J596" s="140"/>
      <c r="N596" s="211"/>
    </row>
    <row r="597" spans="10:14" x14ac:dyDescent="0.4">
      <c r="J597" s="140"/>
      <c r="N597" s="211"/>
    </row>
    <row r="598" spans="10:14" x14ac:dyDescent="0.4">
      <c r="J598" s="140"/>
      <c r="N598" s="211"/>
    </row>
    <row r="599" spans="10:14" x14ac:dyDescent="0.4">
      <c r="J599" s="140"/>
      <c r="N599" s="211"/>
    </row>
    <row r="600" spans="10:14" x14ac:dyDescent="0.4">
      <c r="J600" s="140"/>
      <c r="N600" s="211"/>
    </row>
    <row r="601" spans="10:14" x14ac:dyDescent="0.4">
      <c r="J601" s="140"/>
      <c r="N601" s="211"/>
    </row>
    <row r="602" spans="10:14" x14ac:dyDescent="0.4">
      <c r="J602" s="140"/>
      <c r="N602" s="211"/>
    </row>
    <row r="603" spans="10:14" x14ac:dyDescent="0.4">
      <c r="J603" s="140"/>
      <c r="N603" s="211"/>
    </row>
    <row r="604" spans="10:14" x14ac:dyDescent="0.4">
      <c r="J604" s="140"/>
      <c r="N604" s="211"/>
    </row>
    <row r="605" spans="10:14" x14ac:dyDescent="0.4">
      <c r="J605" s="140"/>
      <c r="N605" s="211"/>
    </row>
    <row r="606" spans="10:14" x14ac:dyDescent="0.4">
      <c r="J606" s="140"/>
      <c r="N606" s="211"/>
    </row>
    <row r="607" spans="10:14" x14ac:dyDescent="0.4">
      <c r="J607" s="140"/>
      <c r="N607" s="211"/>
    </row>
    <row r="608" spans="10:14" x14ac:dyDescent="0.4">
      <c r="J608" s="140"/>
      <c r="N608" s="211"/>
    </row>
    <row r="609" spans="10:14" x14ac:dyDescent="0.4">
      <c r="J609" s="140"/>
      <c r="N609" s="211"/>
    </row>
    <row r="610" spans="10:14" x14ac:dyDescent="0.4">
      <c r="J610" s="140"/>
      <c r="N610" s="211"/>
    </row>
    <row r="611" spans="10:14" x14ac:dyDescent="0.4">
      <c r="J611" s="140"/>
      <c r="N611" s="211"/>
    </row>
    <row r="612" spans="10:14" x14ac:dyDescent="0.4">
      <c r="J612" s="140"/>
      <c r="N612" s="211"/>
    </row>
    <row r="613" spans="10:14" x14ac:dyDescent="0.4">
      <c r="J613" s="140"/>
      <c r="N613" s="211"/>
    </row>
    <row r="614" spans="10:14" x14ac:dyDescent="0.4">
      <c r="J614" s="140"/>
      <c r="N614" s="211"/>
    </row>
    <row r="615" spans="10:14" x14ac:dyDescent="0.4">
      <c r="J615" s="140"/>
      <c r="N615" s="211"/>
    </row>
    <row r="616" spans="10:14" x14ac:dyDescent="0.4">
      <c r="J616" s="140"/>
      <c r="N616" s="211"/>
    </row>
    <row r="617" spans="10:14" x14ac:dyDescent="0.4">
      <c r="J617" s="140"/>
      <c r="N617" s="211"/>
    </row>
    <row r="618" spans="10:14" x14ac:dyDescent="0.4">
      <c r="J618" s="140"/>
      <c r="N618" s="211"/>
    </row>
    <row r="619" spans="10:14" x14ac:dyDescent="0.4">
      <c r="J619" s="140"/>
      <c r="N619" s="211"/>
    </row>
    <row r="620" spans="10:14" x14ac:dyDescent="0.4">
      <c r="J620" s="140"/>
      <c r="N620" s="211"/>
    </row>
    <row r="621" spans="10:14" x14ac:dyDescent="0.4">
      <c r="J621" s="140"/>
      <c r="N621" s="211"/>
    </row>
    <row r="622" spans="10:14" x14ac:dyDescent="0.4">
      <c r="J622" s="140"/>
      <c r="N622" s="211"/>
    </row>
    <row r="623" spans="10:14" x14ac:dyDescent="0.4">
      <c r="J623" s="140"/>
      <c r="N623" s="211"/>
    </row>
    <row r="624" spans="10:14" x14ac:dyDescent="0.4">
      <c r="J624" s="140"/>
      <c r="N624" s="211"/>
    </row>
    <row r="625" spans="10:14" x14ac:dyDescent="0.4">
      <c r="J625" s="140"/>
      <c r="N625" s="211"/>
    </row>
    <row r="626" spans="10:14" x14ac:dyDescent="0.4">
      <c r="J626" s="140"/>
      <c r="N626" s="211"/>
    </row>
    <row r="627" spans="10:14" x14ac:dyDescent="0.4">
      <c r="J627" s="140"/>
      <c r="N627" s="211"/>
    </row>
    <row r="628" spans="10:14" x14ac:dyDescent="0.4">
      <c r="J628" s="140"/>
      <c r="N628" s="211"/>
    </row>
    <row r="629" spans="10:14" x14ac:dyDescent="0.4">
      <c r="J629" s="140"/>
      <c r="N629" s="211"/>
    </row>
    <row r="630" spans="10:14" x14ac:dyDescent="0.4">
      <c r="J630" s="140"/>
      <c r="N630" s="211"/>
    </row>
    <row r="631" spans="10:14" x14ac:dyDescent="0.4">
      <c r="J631" s="140"/>
      <c r="N631" s="211"/>
    </row>
    <row r="632" spans="10:14" x14ac:dyDescent="0.4">
      <c r="J632" s="140"/>
      <c r="N632" s="211"/>
    </row>
    <row r="633" spans="10:14" x14ac:dyDescent="0.4">
      <c r="J633" s="140"/>
      <c r="N633" s="211"/>
    </row>
    <row r="634" spans="10:14" x14ac:dyDescent="0.4">
      <c r="J634" s="140"/>
      <c r="N634" s="211"/>
    </row>
    <row r="635" spans="10:14" x14ac:dyDescent="0.4">
      <c r="J635" s="140"/>
      <c r="N635" s="211"/>
    </row>
    <row r="636" spans="10:14" x14ac:dyDescent="0.4">
      <c r="J636" s="140"/>
      <c r="N636" s="211"/>
    </row>
    <row r="637" spans="10:14" x14ac:dyDescent="0.4">
      <c r="J637" s="140"/>
      <c r="N637" s="211"/>
    </row>
    <row r="638" spans="10:14" x14ac:dyDescent="0.4">
      <c r="J638" s="140"/>
      <c r="N638" s="211"/>
    </row>
    <row r="639" spans="10:14" x14ac:dyDescent="0.4">
      <c r="J639" s="140"/>
      <c r="N639" s="211"/>
    </row>
    <row r="640" spans="10:14" x14ac:dyDescent="0.4">
      <c r="J640" s="140"/>
      <c r="N640" s="211"/>
    </row>
    <row r="641" spans="10:14" x14ac:dyDescent="0.4">
      <c r="J641" s="140"/>
      <c r="N641" s="211"/>
    </row>
    <row r="642" spans="10:14" x14ac:dyDescent="0.4">
      <c r="J642" s="140"/>
      <c r="N642" s="211"/>
    </row>
    <row r="643" spans="10:14" x14ac:dyDescent="0.4">
      <c r="J643" s="140"/>
      <c r="N643" s="211"/>
    </row>
    <row r="644" spans="10:14" x14ac:dyDescent="0.4">
      <c r="J644" s="140"/>
      <c r="N644" s="211"/>
    </row>
    <row r="645" spans="10:14" x14ac:dyDescent="0.4">
      <c r="J645" s="140"/>
      <c r="N645" s="211"/>
    </row>
    <row r="646" spans="10:14" x14ac:dyDescent="0.4">
      <c r="J646" s="140"/>
      <c r="N646" s="211"/>
    </row>
    <row r="647" spans="10:14" x14ac:dyDescent="0.4">
      <c r="J647" s="140"/>
      <c r="N647" s="211"/>
    </row>
    <row r="648" spans="10:14" x14ac:dyDescent="0.4">
      <c r="J648" s="140"/>
      <c r="N648" s="211"/>
    </row>
    <row r="649" spans="10:14" x14ac:dyDescent="0.4">
      <c r="J649" s="140"/>
      <c r="N649" s="211"/>
    </row>
    <row r="650" spans="10:14" x14ac:dyDescent="0.4">
      <c r="J650" s="140"/>
      <c r="N650" s="211"/>
    </row>
    <row r="651" spans="10:14" x14ac:dyDescent="0.4">
      <c r="J651" s="140"/>
      <c r="N651" s="211"/>
    </row>
    <row r="652" spans="10:14" x14ac:dyDescent="0.4">
      <c r="J652" s="140"/>
      <c r="N652" s="211"/>
    </row>
    <row r="653" spans="10:14" x14ac:dyDescent="0.4">
      <c r="J653" s="140"/>
      <c r="N653" s="211"/>
    </row>
    <row r="654" spans="10:14" x14ac:dyDescent="0.4">
      <c r="J654" s="140"/>
      <c r="N654" s="211"/>
    </row>
    <row r="655" spans="10:14" x14ac:dyDescent="0.4">
      <c r="J655" s="140"/>
      <c r="N655" s="211"/>
    </row>
    <row r="656" spans="10:14" x14ac:dyDescent="0.4">
      <c r="J656" s="140"/>
      <c r="N656" s="211"/>
    </row>
    <row r="657" spans="10:14" x14ac:dyDescent="0.4">
      <c r="J657" s="140"/>
      <c r="N657" s="211"/>
    </row>
    <row r="658" spans="10:14" x14ac:dyDescent="0.4">
      <c r="J658" s="140"/>
      <c r="N658" s="211"/>
    </row>
    <row r="659" spans="10:14" x14ac:dyDescent="0.4">
      <c r="J659" s="140"/>
      <c r="N659" s="211"/>
    </row>
    <row r="660" spans="10:14" x14ac:dyDescent="0.4">
      <c r="J660" s="140"/>
      <c r="N660" s="211"/>
    </row>
    <row r="661" spans="10:14" x14ac:dyDescent="0.4">
      <c r="J661" s="140"/>
      <c r="N661" s="211"/>
    </row>
    <row r="662" spans="10:14" x14ac:dyDescent="0.4">
      <c r="J662" s="140"/>
      <c r="N662" s="211"/>
    </row>
    <row r="663" spans="10:14" x14ac:dyDescent="0.4">
      <c r="J663" s="140"/>
      <c r="N663" s="211"/>
    </row>
    <row r="664" spans="10:14" x14ac:dyDescent="0.4">
      <c r="J664" s="140"/>
      <c r="N664" s="211"/>
    </row>
    <row r="665" spans="10:14" x14ac:dyDescent="0.4">
      <c r="J665" s="140"/>
      <c r="N665" s="211"/>
    </row>
    <row r="666" spans="10:14" x14ac:dyDescent="0.4">
      <c r="J666" s="140"/>
      <c r="N666" s="211"/>
    </row>
    <row r="667" spans="10:14" x14ac:dyDescent="0.4">
      <c r="J667" s="140"/>
      <c r="N667" s="211"/>
    </row>
    <row r="668" spans="10:14" x14ac:dyDescent="0.4">
      <c r="J668" s="140"/>
      <c r="N668" s="211"/>
    </row>
    <row r="669" spans="10:14" x14ac:dyDescent="0.4">
      <c r="J669" s="140"/>
      <c r="N669" s="211"/>
    </row>
    <row r="670" spans="10:14" x14ac:dyDescent="0.4">
      <c r="J670" s="140"/>
      <c r="N670" s="211"/>
    </row>
    <row r="671" spans="10:14" x14ac:dyDescent="0.4">
      <c r="J671" s="140"/>
      <c r="N671" s="211"/>
    </row>
    <row r="672" spans="10:14" x14ac:dyDescent="0.4">
      <c r="J672" s="140"/>
      <c r="N672" s="211"/>
    </row>
    <row r="673" spans="10:14" x14ac:dyDescent="0.4">
      <c r="J673" s="140"/>
      <c r="N673" s="211"/>
    </row>
    <row r="674" spans="10:14" x14ac:dyDescent="0.4">
      <c r="J674" s="140"/>
      <c r="N674" s="211"/>
    </row>
    <row r="675" spans="10:14" x14ac:dyDescent="0.4">
      <c r="J675" s="140"/>
      <c r="N675" s="211"/>
    </row>
    <row r="676" spans="10:14" x14ac:dyDescent="0.4">
      <c r="J676" s="140"/>
      <c r="N676" s="211"/>
    </row>
    <row r="677" spans="10:14" x14ac:dyDescent="0.4">
      <c r="J677" s="140"/>
      <c r="N677" s="211"/>
    </row>
    <row r="678" spans="10:14" x14ac:dyDescent="0.4">
      <c r="J678" s="140"/>
      <c r="N678" s="211"/>
    </row>
    <row r="679" spans="10:14" x14ac:dyDescent="0.4">
      <c r="J679" s="140"/>
      <c r="N679" s="211"/>
    </row>
    <row r="680" spans="10:14" x14ac:dyDescent="0.4">
      <c r="J680" s="140"/>
      <c r="N680" s="211"/>
    </row>
    <row r="681" spans="10:14" x14ac:dyDescent="0.4">
      <c r="J681" s="140"/>
      <c r="N681" s="211"/>
    </row>
    <row r="682" spans="10:14" x14ac:dyDescent="0.4">
      <c r="J682" s="140"/>
      <c r="N682" s="211"/>
    </row>
    <row r="683" spans="10:14" x14ac:dyDescent="0.4">
      <c r="J683" s="140"/>
      <c r="N683" s="211"/>
    </row>
    <row r="684" spans="10:14" x14ac:dyDescent="0.4">
      <c r="J684" s="140"/>
      <c r="N684" s="211"/>
    </row>
    <row r="685" spans="10:14" x14ac:dyDescent="0.4">
      <c r="J685" s="140"/>
      <c r="N685" s="211"/>
    </row>
    <row r="686" spans="10:14" x14ac:dyDescent="0.4">
      <c r="J686" s="140"/>
      <c r="N686" s="211"/>
    </row>
    <row r="687" spans="10:14" x14ac:dyDescent="0.4">
      <c r="J687" s="140"/>
      <c r="N687" s="211"/>
    </row>
    <row r="688" spans="10:14" x14ac:dyDescent="0.4">
      <c r="J688" s="140"/>
      <c r="N688" s="211"/>
    </row>
    <row r="689" spans="10:14" x14ac:dyDescent="0.4">
      <c r="J689" s="140"/>
      <c r="N689" s="211"/>
    </row>
    <row r="690" spans="10:14" x14ac:dyDescent="0.4">
      <c r="J690" s="140"/>
      <c r="N690" s="211"/>
    </row>
    <row r="691" spans="10:14" x14ac:dyDescent="0.4">
      <c r="J691" s="140"/>
      <c r="N691" s="211"/>
    </row>
    <row r="692" spans="10:14" x14ac:dyDescent="0.4">
      <c r="J692" s="140"/>
      <c r="N692" s="211"/>
    </row>
    <row r="693" spans="10:14" x14ac:dyDescent="0.4">
      <c r="J693" s="140"/>
      <c r="N693" s="211"/>
    </row>
    <row r="694" spans="10:14" x14ac:dyDescent="0.4">
      <c r="J694" s="140"/>
      <c r="N694" s="211"/>
    </row>
    <row r="695" spans="10:14" x14ac:dyDescent="0.4">
      <c r="J695" s="140"/>
      <c r="N695" s="211"/>
    </row>
    <row r="696" spans="10:14" x14ac:dyDescent="0.4">
      <c r="J696" s="140"/>
      <c r="N696" s="211"/>
    </row>
    <row r="697" spans="10:14" x14ac:dyDescent="0.4">
      <c r="J697" s="140"/>
      <c r="N697" s="211"/>
    </row>
    <row r="698" spans="10:14" x14ac:dyDescent="0.4">
      <c r="J698" s="140"/>
      <c r="N698" s="211"/>
    </row>
    <row r="699" spans="10:14" x14ac:dyDescent="0.4">
      <c r="J699" s="140"/>
      <c r="N699" s="211"/>
    </row>
    <row r="700" spans="10:14" x14ac:dyDescent="0.4">
      <c r="J700" s="140"/>
      <c r="N700" s="211"/>
    </row>
    <row r="701" spans="10:14" x14ac:dyDescent="0.4">
      <c r="J701" s="140"/>
      <c r="N701" s="211"/>
    </row>
    <row r="702" spans="10:14" x14ac:dyDescent="0.4">
      <c r="J702" s="140"/>
      <c r="N702" s="211"/>
    </row>
    <row r="703" spans="10:14" x14ac:dyDescent="0.4">
      <c r="J703" s="140"/>
      <c r="N703" s="211"/>
    </row>
    <row r="704" spans="10:14" x14ac:dyDescent="0.4">
      <c r="J704" s="140"/>
      <c r="N704" s="211"/>
    </row>
    <row r="705" spans="10:14" x14ac:dyDescent="0.4">
      <c r="J705" s="140"/>
      <c r="N705" s="211"/>
    </row>
    <row r="706" spans="10:14" x14ac:dyDescent="0.4">
      <c r="J706" s="140"/>
      <c r="N706" s="211"/>
    </row>
    <row r="707" spans="10:14" x14ac:dyDescent="0.4">
      <c r="J707" s="140"/>
      <c r="N707" s="211"/>
    </row>
    <row r="708" spans="10:14" x14ac:dyDescent="0.4">
      <c r="J708" s="140"/>
      <c r="N708" s="211"/>
    </row>
    <row r="709" spans="10:14" x14ac:dyDescent="0.4">
      <c r="J709" s="140"/>
      <c r="N709" s="211"/>
    </row>
    <row r="710" spans="10:14" x14ac:dyDescent="0.4">
      <c r="J710" s="140"/>
      <c r="N710" s="211"/>
    </row>
    <row r="711" spans="10:14" x14ac:dyDescent="0.4">
      <c r="J711" s="140"/>
      <c r="N711" s="211"/>
    </row>
    <row r="712" spans="10:14" x14ac:dyDescent="0.4">
      <c r="J712" s="140"/>
      <c r="N712" s="211"/>
    </row>
    <row r="713" spans="10:14" x14ac:dyDescent="0.4">
      <c r="J713" s="140"/>
      <c r="N713" s="211"/>
    </row>
    <row r="714" spans="10:14" x14ac:dyDescent="0.4">
      <c r="J714" s="140"/>
      <c r="N714" s="211"/>
    </row>
    <row r="715" spans="10:14" x14ac:dyDescent="0.4">
      <c r="J715" s="140"/>
      <c r="N715" s="211"/>
    </row>
    <row r="716" spans="10:14" x14ac:dyDescent="0.4">
      <c r="J716" s="140"/>
      <c r="N716" s="211"/>
    </row>
    <row r="717" spans="10:14" x14ac:dyDescent="0.4">
      <c r="J717" s="140"/>
      <c r="N717" s="211"/>
    </row>
    <row r="718" spans="10:14" x14ac:dyDescent="0.4">
      <c r="J718" s="140"/>
      <c r="N718" s="211"/>
    </row>
    <row r="719" spans="10:14" x14ac:dyDescent="0.4">
      <c r="J719" s="140"/>
      <c r="N719" s="211"/>
    </row>
    <row r="720" spans="10:14" x14ac:dyDescent="0.4">
      <c r="J720" s="140"/>
      <c r="N720" s="211"/>
    </row>
    <row r="721" spans="10:14" x14ac:dyDescent="0.4">
      <c r="J721" s="140"/>
      <c r="N721" s="211"/>
    </row>
    <row r="722" spans="10:14" x14ac:dyDescent="0.4">
      <c r="J722" s="140"/>
      <c r="N722" s="211"/>
    </row>
    <row r="723" spans="10:14" x14ac:dyDescent="0.4">
      <c r="J723" s="140"/>
      <c r="N723" s="211"/>
    </row>
    <row r="724" spans="10:14" x14ac:dyDescent="0.4">
      <c r="J724" s="140"/>
      <c r="N724" s="211"/>
    </row>
    <row r="725" spans="10:14" x14ac:dyDescent="0.4">
      <c r="J725" s="140"/>
      <c r="N725" s="211"/>
    </row>
    <row r="726" spans="10:14" x14ac:dyDescent="0.4">
      <c r="J726" s="140"/>
      <c r="N726" s="211"/>
    </row>
    <row r="727" spans="10:14" x14ac:dyDescent="0.4">
      <c r="J727" s="140"/>
      <c r="N727" s="211"/>
    </row>
    <row r="728" spans="10:14" x14ac:dyDescent="0.4">
      <c r="J728" s="140"/>
      <c r="N728" s="211"/>
    </row>
    <row r="729" spans="10:14" x14ac:dyDescent="0.4">
      <c r="J729" s="140"/>
      <c r="N729" s="211"/>
    </row>
    <row r="730" spans="10:14" x14ac:dyDescent="0.4">
      <c r="J730" s="140"/>
      <c r="N730" s="211"/>
    </row>
    <row r="731" spans="10:14" x14ac:dyDescent="0.4">
      <c r="J731" s="140"/>
      <c r="N731" s="211"/>
    </row>
    <row r="732" spans="10:14" x14ac:dyDescent="0.4">
      <c r="J732" s="140"/>
      <c r="N732" s="211"/>
    </row>
    <row r="733" spans="10:14" x14ac:dyDescent="0.4">
      <c r="J733" s="140"/>
      <c r="N733" s="211"/>
    </row>
    <row r="734" spans="10:14" x14ac:dyDescent="0.4">
      <c r="J734" s="140"/>
      <c r="N734" s="211"/>
    </row>
    <row r="735" spans="10:14" x14ac:dyDescent="0.4">
      <c r="J735" s="140"/>
      <c r="N735" s="211"/>
    </row>
    <row r="736" spans="10:14" x14ac:dyDescent="0.4">
      <c r="J736" s="140"/>
      <c r="N736" s="211"/>
    </row>
    <row r="737" spans="10:14" x14ac:dyDescent="0.4">
      <c r="J737" s="140"/>
      <c r="N737" s="211"/>
    </row>
    <row r="738" spans="10:14" x14ac:dyDescent="0.4">
      <c r="J738" s="140"/>
      <c r="N738" s="211"/>
    </row>
    <row r="739" spans="10:14" x14ac:dyDescent="0.4">
      <c r="J739" s="140"/>
      <c r="N739" s="211"/>
    </row>
    <row r="740" spans="10:14" x14ac:dyDescent="0.4">
      <c r="J740" s="140"/>
      <c r="N740" s="211"/>
    </row>
    <row r="741" spans="10:14" x14ac:dyDescent="0.4">
      <c r="J741" s="140"/>
      <c r="N741" s="211"/>
    </row>
    <row r="742" spans="10:14" x14ac:dyDescent="0.4">
      <c r="J742" s="140"/>
      <c r="N742" s="211"/>
    </row>
    <row r="743" spans="10:14" x14ac:dyDescent="0.4">
      <c r="J743" s="140"/>
      <c r="N743" s="211"/>
    </row>
    <row r="744" spans="10:14" x14ac:dyDescent="0.4">
      <c r="J744" s="140"/>
      <c r="N744" s="211"/>
    </row>
    <row r="745" spans="10:14" x14ac:dyDescent="0.4">
      <c r="J745" s="140"/>
      <c r="N745" s="211"/>
    </row>
    <row r="746" spans="10:14" x14ac:dyDescent="0.4">
      <c r="J746" s="140"/>
      <c r="N746" s="211"/>
    </row>
    <row r="747" spans="10:14" x14ac:dyDescent="0.4">
      <c r="J747" s="140"/>
      <c r="N747" s="211"/>
    </row>
    <row r="748" spans="10:14" x14ac:dyDescent="0.4">
      <c r="J748" s="140"/>
      <c r="N748" s="211"/>
    </row>
    <row r="749" spans="10:14" x14ac:dyDescent="0.4">
      <c r="J749" s="140"/>
      <c r="N749" s="211"/>
    </row>
    <row r="750" spans="10:14" x14ac:dyDescent="0.4">
      <c r="J750" s="140"/>
      <c r="N750" s="211"/>
    </row>
    <row r="751" spans="10:14" x14ac:dyDescent="0.4">
      <c r="J751" s="140"/>
      <c r="N751" s="211"/>
    </row>
    <row r="752" spans="10:14" x14ac:dyDescent="0.4">
      <c r="J752" s="140"/>
      <c r="N752" s="211"/>
    </row>
    <row r="753" spans="10:14" x14ac:dyDescent="0.4">
      <c r="J753" s="140"/>
      <c r="N753" s="211"/>
    </row>
    <row r="754" spans="10:14" x14ac:dyDescent="0.4">
      <c r="J754" s="140"/>
      <c r="N754" s="211"/>
    </row>
    <row r="755" spans="10:14" x14ac:dyDescent="0.4">
      <c r="J755" s="140"/>
      <c r="N755" s="211"/>
    </row>
    <row r="756" spans="10:14" x14ac:dyDescent="0.4">
      <c r="J756" s="140"/>
      <c r="N756" s="211"/>
    </row>
    <row r="757" spans="10:14" x14ac:dyDescent="0.4">
      <c r="J757" s="140"/>
      <c r="N757" s="211"/>
    </row>
    <row r="758" spans="10:14" x14ac:dyDescent="0.4">
      <c r="J758" s="140"/>
      <c r="N758" s="211"/>
    </row>
    <row r="759" spans="10:14" x14ac:dyDescent="0.4">
      <c r="J759" s="140"/>
      <c r="N759" s="211"/>
    </row>
    <row r="760" spans="10:14" x14ac:dyDescent="0.4">
      <c r="J760" s="140"/>
      <c r="N760" s="211"/>
    </row>
    <row r="761" spans="10:14" x14ac:dyDescent="0.4">
      <c r="J761" s="140"/>
      <c r="N761" s="211"/>
    </row>
    <row r="762" spans="10:14" x14ac:dyDescent="0.4">
      <c r="J762" s="140"/>
      <c r="N762" s="211"/>
    </row>
    <row r="763" spans="10:14" x14ac:dyDescent="0.4">
      <c r="J763" s="140"/>
      <c r="N763" s="211"/>
    </row>
    <row r="764" spans="10:14" x14ac:dyDescent="0.4">
      <c r="J764" s="140"/>
      <c r="N764" s="211"/>
    </row>
    <row r="765" spans="10:14" x14ac:dyDescent="0.4">
      <c r="J765" s="140"/>
      <c r="N765" s="211"/>
    </row>
    <row r="766" spans="10:14" x14ac:dyDescent="0.4">
      <c r="J766" s="140"/>
      <c r="N766" s="211"/>
    </row>
    <row r="767" spans="10:14" x14ac:dyDescent="0.4">
      <c r="J767" s="140"/>
      <c r="N767" s="211"/>
    </row>
    <row r="768" spans="10:14" x14ac:dyDescent="0.4">
      <c r="J768" s="140"/>
      <c r="N768" s="211"/>
    </row>
    <row r="769" spans="10:14" x14ac:dyDescent="0.4">
      <c r="J769" s="140"/>
      <c r="N769" s="211"/>
    </row>
    <row r="770" spans="10:14" x14ac:dyDescent="0.4">
      <c r="J770" s="140"/>
      <c r="N770" s="211"/>
    </row>
    <row r="771" spans="10:14" x14ac:dyDescent="0.4">
      <c r="J771" s="140"/>
      <c r="N771" s="211"/>
    </row>
    <row r="772" spans="10:14" x14ac:dyDescent="0.4">
      <c r="J772" s="140"/>
      <c r="N772" s="211"/>
    </row>
    <row r="773" spans="10:14" x14ac:dyDescent="0.4">
      <c r="J773" s="140"/>
      <c r="N773" s="211"/>
    </row>
    <row r="774" spans="10:14" x14ac:dyDescent="0.4">
      <c r="J774" s="140"/>
      <c r="N774" s="211"/>
    </row>
    <row r="775" spans="10:14" x14ac:dyDescent="0.4">
      <c r="J775" s="140"/>
      <c r="N775" s="211"/>
    </row>
    <row r="776" spans="10:14" x14ac:dyDescent="0.4">
      <c r="J776" s="140"/>
      <c r="N776" s="211"/>
    </row>
    <row r="777" spans="10:14" x14ac:dyDescent="0.4">
      <c r="J777" s="140"/>
      <c r="N777" s="211"/>
    </row>
    <row r="778" spans="10:14" x14ac:dyDescent="0.4">
      <c r="J778" s="140"/>
      <c r="N778" s="211"/>
    </row>
    <row r="779" spans="10:14" x14ac:dyDescent="0.4">
      <c r="J779" s="140"/>
      <c r="N779" s="211"/>
    </row>
    <row r="780" spans="10:14" x14ac:dyDescent="0.4">
      <c r="J780" s="140"/>
      <c r="N780" s="211"/>
    </row>
    <row r="781" spans="10:14" x14ac:dyDescent="0.4">
      <c r="J781" s="140"/>
      <c r="N781" s="211"/>
    </row>
    <row r="782" spans="10:14" x14ac:dyDescent="0.4">
      <c r="J782" s="140"/>
      <c r="N782" s="211"/>
    </row>
    <row r="783" spans="10:14" x14ac:dyDescent="0.4">
      <c r="J783" s="140"/>
      <c r="N783" s="211"/>
    </row>
    <row r="784" spans="10:14" x14ac:dyDescent="0.4">
      <c r="J784" s="140"/>
      <c r="N784" s="211"/>
    </row>
    <row r="785" spans="10:14" x14ac:dyDescent="0.4">
      <c r="J785" s="140"/>
      <c r="N785" s="211"/>
    </row>
    <row r="786" spans="10:14" x14ac:dyDescent="0.4">
      <c r="J786" s="140"/>
      <c r="N786" s="211"/>
    </row>
    <row r="787" spans="10:14" x14ac:dyDescent="0.4">
      <c r="J787" s="140"/>
      <c r="N787" s="211"/>
    </row>
    <row r="788" spans="10:14" x14ac:dyDescent="0.4">
      <c r="J788" s="140"/>
      <c r="N788" s="211"/>
    </row>
    <row r="789" spans="10:14" x14ac:dyDescent="0.4">
      <c r="J789" s="140"/>
      <c r="N789" s="211"/>
    </row>
    <row r="790" spans="10:14" x14ac:dyDescent="0.4">
      <c r="J790" s="140"/>
      <c r="N790" s="211"/>
    </row>
    <row r="791" spans="10:14" x14ac:dyDescent="0.4">
      <c r="J791" s="140"/>
      <c r="N791" s="211"/>
    </row>
    <row r="792" spans="10:14" x14ac:dyDescent="0.4">
      <c r="J792" s="140"/>
      <c r="N792" s="211"/>
    </row>
    <row r="793" spans="10:14" x14ac:dyDescent="0.4">
      <c r="J793" s="140"/>
      <c r="N793" s="211"/>
    </row>
    <row r="794" spans="10:14" x14ac:dyDescent="0.4">
      <c r="J794" s="140"/>
      <c r="N794" s="211"/>
    </row>
    <row r="795" spans="10:14" x14ac:dyDescent="0.4">
      <c r="J795" s="140"/>
      <c r="N795" s="211"/>
    </row>
    <row r="796" spans="10:14" x14ac:dyDescent="0.4">
      <c r="J796" s="140"/>
      <c r="N796" s="211"/>
    </row>
    <row r="797" spans="10:14" x14ac:dyDescent="0.4">
      <c r="J797" s="140"/>
      <c r="N797" s="211"/>
    </row>
    <row r="798" spans="10:14" x14ac:dyDescent="0.4">
      <c r="J798" s="140"/>
      <c r="N798" s="211"/>
    </row>
    <row r="799" spans="10:14" x14ac:dyDescent="0.4">
      <c r="J799" s="140"/>
      <c r="N799" s="211"/>
    </row>
    <row r="800" spans="10:14" x14ac:dyDescent="0.4">
      <c r="J800" s="140"/>
      <c r="N800" s="211"/>
    </row>
    <row r="801" spans="10:14" x14ac:dyDescent="0.4">
      <c r="J801" s="140"/>
      <c r="N801" s="211"/>
    </row>
    <row r="802" spans="10:14" x14ac:dyDescent="0.4">
      <c r="J802" s="140"/>
      <c r="N802" s="211"/>
    </row>
    <row r="803" spans="10:14" x14ac:dyDescent="0.4">
      <c r="J803" s="140"/>
      <c r="N803" s="211"/>
    </row>
    <row r="804" spans="10:14" x14ac:dyDescent="0.4">
      <c r="J804" s="140"/>
      <c r="N804" s="211"/>
    </row>
    <row r="805" spans="10:14" x14ac:dyDescent="0.4">
      <c r="J805" s="140"/>
      <c r="N805" s="211"/>
    </row>
    <row r="806" spans="10:14" x14ac:dyDescent="0.4">
      <c r="J806" s="140"/>
      <c r="N806" s="211"/>
    </row>
    <row r="807" spans="10:14" x14ac:dyDescent="0.4">
      <c r="J807" s="140"/>
      <c r="N807" s="211"/>
    </row>
    <row r="808" spans="10:14" x14ac:dyDescent="0.4">
      <c r="J808" s="140"/>
      <c r="N808" s="211"/>
    </row>
    <row r="809" spans="10:14" x14ac:dyDescent="0.4">
      <c r="J809" s="140"/>
      <c r="N809" s="211"/>
    </row>
    <row r="810" spans="10:14" x14ac:dyDescent="0.4">
      <c r="J810" s="140"/>
      <c r="N810" s="211"/>
    </row>
    <row r="811" spans="10:14" x14ac:dyDescent="0.4">
      <c r="J811" s="140"/>
      <c r="N811" s="211"/>
    </row>
    <row r="812" spans="10:14" x14ac:dyDescent="0.4">
      <c r="J812" s="140"/>
      <c r="N812" s="211"/>
    </row>
    <row r="813" spans="10:14" x14ac:dyDescent="0.4">
      <c r="J813" s="140"/>
      <c r="N813" s="211"/>
    </row>
    <row r="814" spans="10:14" x14ac:dyDescent="0.4">
      <c r="J814" s="140"/>
      <c r="N814" s="211"/>
    </row>
    <row r="815" spans="10:14" x14ac:dyDescent="0.4">
      <c r="J815" s="140"/>
      <c r="N815" s="211"/>
    </row>
    <row r="816" spans="10:14" x14ac:dyDescent="0.4">
      <c r="J816" s="140"/>
      <c r="N816" s="211"/>
    </row>
    <row r="817" spans="10:14" x14ac:dyDescent="0.4">
      <c r="J817" s="140"/>
      <c r="N817" s="211"/>
    </row>
    <row r="818" spans="10:14" x14ac:dyDescent="0.4">
      <c r="J818" s="140"/>
      <c r="N818" s="211"/>
    </row>
    <row r="819" spans="10:14" x14ac:dyDescent="0.4">
      <c r="J819" s="140"/>
      <c r="N819" s="211"/>
    </row>
    <row r="820" spans="10:14" x14ac:dyDescent="0.4">
      <c r="J820" s="140"/>
      <c r="N820" s="211"/>
    </row>
    <row r="821" spans="10:14" x14ac:dyDescent="0.4">
      <c r="J821" s="140"/>
      <c r="N821" s="211"/>
    </row>
    <row r="822" spans="10:14" x14ac:dyDescent="0.4">
      <c r="J822" s="140"/>
      <c r="N822" s="211"/>
    </row>
    <row r="823" spans="10:14" x14ac:dyDescent="0.4">
      <c r="J823" s="140"/>
      <c r="N823" s="211"/>
    </row>
    <row r="824" spans="10:14" x14ac:dyDescent="0.4">
      <c r="J824" s="140"/>
      <c r="N824" s="211"/>
    </row>
    <row r="825" spans="10:14" x14ac:dyDescent="0.4">
      <c r="J825" s="140"/>
      <c r="N825" s="211"/>
    </row>
    <row r="826" spans="10:14" x14ac:dyDescent="0.4">
      <c r="J826" s="140"/>
      <c r="N826" s="211"/>
    </row>
    <row r="827" spans="10:14" x14ac:dyDescent="0.4">
      <c r="J827" s="140"/>
      <c r="N827" s="211"/>
    </row>
    <row r="828" spans="10:14" x14ac:dyDescent="0.4">
      <c r="J828" s="140"/>
      <c r="N828" s="211"/>
    </row>
    <row r="829" spans="10:14" x14ac:dyDescent="0.4">
      <c r="J829" s="140"/>
      <c r="N829" s="211"/>
    </row>
    <row r="830" spans="10:14" x14ac:dyDescent="0.4">
      <c r="J830" s="140"/>
      <c r="N830" s="211"/>
    </row>
    <row r="831" spans="10:14" x14ac:dyDescent="0.4">
      <c r="J831" s="140"/>
      <c r="N831" s="211"/>
    </row>
    <row r="832" spans="10:14" x14ac:dyDescent="0.4">
      <c r="J832" s="140"/>
      <c r="N832" s="211"/>
    </row>
    <row r="833" spans="10:14" x14ac:dyDescent="0.4">
      <c r="J833" s="140"/>
      <c r="N833" s="211"/>
    </row>
    <row r="834" spans="10:14" x14ac:dyDescent="0.4">
      <c r="J834" s="140"/>
      <c r="N834" s="211"/>
    </row>
    <row r="835" spans="10:14" x14ac:dyDescent="0.4">
      <c r="J835" s="140"/>
      <c r="N835" s="211"/>
    </row>
    <row r="836" spans="10:14" x14ac:dyDescent="0.4">
      <c r="J836" s="140"/>
      <c r="N836" s="211"/>
    </row>
    <row r="837" spans="10:14" x14ac:dyDescent="0.4">
      <c r="J837" s="140"/>
      <c r="N837" s="211"/>
    </row>
    <row r="838" spans="10:14" x14ac:dyDescent="0.4">
      <c r="J838" s="140"/>
      <c r="N838" s="211"/>
    </row>
    <row r="839" spans="10:14" x14ac:dyDescent="0.4">
      <c r="J839" s="140"/>
      <c r="N839" s="211"/>
    </row>
    <row r="840" spans="10:14" x14ac:dyDescent="0.4">
      <c r="J840" s="140"/>
      <c r="N840" s="211"/>
    </row>
    <row r="841" spans="10:14" x14ac:dyDescent="0.4">
      <c r="J841" s="140"/>
      <c r="N841" s="211"/>
    </row>
    <row r="842" spans="10:14" x14ac:dyDescent="0.4">
      <c r="J842" s="140"/>
      <c r="N842" s="211"/>
    </row>
    <row r="843" spans="10:14" x14ac:dyDescent="0.4">
      <c r="J843" s="140"/>
      <c r="N843" s="211"/>
    </row>
    <row r="844" spans="10:14" x14ac:dyDescent="0.4">
      <c r="J844" s="140"/>
      <c r="N844" s="211"/>
    </row>
    <row r="845" spans="10:14" x14ac:dyDescent="0.4">
      <c r="J845" s="140"/>
      <c r="N845" s="211"/>
    </row>
    <row r="846" spans="10:14" x14ac:dyDescent="0.4">
      <c r="J846" s="140"/>
      <c r="N846" s="211"/>
    </row>
    <row r="847" spans="10:14" x14ac:dyDescent="0.4">
      <c r="J847" s="140"/>
      <c r="N847" s="211"/>
    </row>
    <row r="848" spans="10:14" x14ac:dyDescent="0.4">
      <c r="J848" s="140"/>
      <c r="N848" s="211"/>
    </row>
    <row r="849" spans="10:14" x14ac:dyDescent="0.4">
      <c r="J849" s="140"/>
      <c r="N849" s="211"/>
    </row>
    <row r="850" spans="10:14" x14ac:dyDescent="0.4">
      <c r="J850" s="140"/>
      <c r="N850" s="211"/>
    </row>
    <row r="851" spans="10:14" x14ac:dyDescent="0.4">
      <c r="J851" s="140"/>
      <c r="N851" s="211"/>
    </row>
    <row r="852" spans="10:14" x14ac:dyDescent="0.4">
      <c r="J852" s="140"/>
      <c r="N852" s="211"/>
    </row>
    <row r="853" spans="10:14" x14ac:dyDescent="0.4">
      <c r="J853" s="140"/>
      <c r="N853" s="211"/>
    </row>
    <row r="854" spans="10:14" x14ac:dyDescent="0.4">
      <c r="J854" s="140"/>
      <c r="N854" s="211"/>
    </row>
    <row r="855" spans="10:14" x14ac:dyDescent="0.4">
      <c r="J855" s="140"/>
      <c r="N855" s="211"/>
    </row>
    <row r="856" spans="10:14" x14ac:dyDescent="0.4">
      <c r="J856" s="140"/>
      <c r="N856" s="211"/>
    </row>
    <row r="857" spans="10:14" x14ac:dyDescent="0.4">
      <c r="J857" s="140"/>
      <c r="N857" s="211"/>
    </row>
    <row r="858" spans="10:14" x14ac:dyDescent="0.4">
      <c r="J858" s="140"/>
      <c r="N858" s="211"/>
    </row>
    <row r="859" spans="10:14" x14ac:dyDescent="0.4">
      <c r="J859" s="140"/>
      <c r="N859" s="211"/>
    </row>
    <row r="860" spans="10:14" x14ac:dyDescent="0.4">
      <c r="J860" s="140"/>
      <c r="N860" s="211"/>
    </row>
    <row r="861" spans="10:14" x14ac:dyDescent="0.4">
      <c r="J861" s="140"/>
      <c r="N861" s="211"/>
    </row>
    <row r="862" spans="10:14" x14ac:dyDescent="0.4">
      <c r="J862" s="140"/>
      <c r="N862" s="211"/>
    </row>
    <row r="863" spans="10:14" x14ac:dyDescent="0.4">
      <c r="J863" s="140"/>
      <c r="N863" s="211"/>
    </row>
    <row r="864" spans="10:14" x14ac:dyDescent="0.4">
      <c r="J864" s="140"/>
      <c r="N864" s="211"/>
    </row>
    <row r="865" spans="10:14" x14ac:dyDescent="0.4">
      <c r="J865" s="140"/>
      <c r="N865" s="211"/>
    </row>
    <row r="866" spans="10:14" x14ac:dyDescent="0.4">
      <c r="J866" s="140"/>
      <c r="N866" s="211"/>
    </row>
    <row r="867" spans="10:14" x14ac:dyDescent="0.4">
      <c r="J867" s="140"/>
      <c r="N867" s="211"/>
    </row>
    <row r="868" spans="10:14" x14ac:dyDescent="0.4">
      <c r="J868" s="140"/>
      <c r="N868" s="211"/>
    </row>
    <row r="869" spans="10:14" x14ac:dyDescent="0.4">
      <c r="J869" s="140"/>
      <c r="N869" s="211"/>
    </row>
    <row r="870" spans="10:14" x14ac:dyDescent="0.4">
      <c r="J870" s="140"/>
      <c r="N870" s="211"/>
    </row>
    <row r="871" spans="10:14" x14ac:dyDescent="0.4">
      <c r="J871" s="140"/>
      <c r="N871" s="211"/>
    </row>
    <row r="872" spans="10:14" x14ac:dyDescent="0.4">
      <c r="J872" s="140"/>
      <c r="N872" s="211"/>
    </row>
    <row r="873" spans="10:14" x14ac:dyDescent="0.4">
      <c r="J873" s="140"/>
      <c r="N873" s="211"/>
    </row>
    <row r="874" spans="10:14" x14ac:dyDescent="0.4">
      <c r="J874" s="140"/>
      <c r="N874" s="211"/>
    </row>
    <row r="875" spans="10:14" x14ac:dyDescent="0.4">
      <c r="J875" s="140"/>
      <c r="N875" s="211"/>
    </row>
    <row r="876" spans="10:14" x14ac:dyDescent="0.4">
      <c r="J876" s="140"/>
      <c r="N876" s="211"/>
    </row>
    <row r="877" spans="10:14" x14ac:dyDescent="0.4">
      <c r="J877" s="140"/>
      <c r="N877" s="211"/>
    </row>
    <row r="878" spans="10:14" x14ac:dyDescent="0.4">
      <c r="J878" s="140"/>
      <c r="N878" s="211"/>
    </row>
    <row r="879" spans="10:14" x14ac:dyDescent="0.4">
      <c r="J879" s="140"/>
      <c r="N879" s="211"/>
    </row>
    <row r="880" spans="10:14" x14ac:dyDescent="0.4">
      <c r="J880" s="140"/>
      <c r="N880" s="211"/>
    </row>
    <row r="881" spans="10:14" x14ac:dyDescent="0.4">
      <c r="J881" s="140"/>
      <c r="N881" s="211"/>
    </row>
    <row r="882" spans="10:14" x14ac:dyDescent="0.4">
      <c r="J882" s="140"/>
      <c r="N882" s="211"/>
    </row>
    <row r="883" spans="10:14" x14ac:dyDescent="0.4">
      <c r="J883" s="140"/>
      <c r="N883" s="211"/>
    </row>
    <row r="884" spans="10:14" x14ac:dyDescent="0.4">
      <c r="J884" s="140"/>
      <c r="N884" s="211"/>
    </row>
    <row r="885" spans="10:14" x14ac:dyDescent="0.4">
      <c r="J885" s="140"/>
      <c r="N885" s="211"/>
    </row>
    <row r="886" spans="10:14" x14ac:dyDescent="0.4">
      <c r="J886" s="140"/>
      <c r="N886" s="211"/>
    </row>
    <row r="887" spans="10:14" x14ac:dyDescent="0.4">
      <c r="J887" s="140"/>
      <c r="N887" s="211"/>
    </row>
    <row r="888" spans="10:14" x14ac:dyDescent="0.4">
      <c r="J888" s="140"/>
      <c r="N888" s="211"/>
    </row>
    <row r="889" spans="10:14" x14ac:dyDescent="0.4">
      <c r="J889" s="140"/>
      <c r="N889" s="211"/>
    </row>
    <row r="890" spans="10:14" x14ac:dyDescent="0.4">
      <c r="J890" s="140"/>
      <c r="N890" s="211"/>
    </row>
    <row r="891" spans="10:14" x14ac:dyDescent="0.4">
      <c r="J891" s="140"/>
      <c r="N891" s="211"/>
    </row>
    <row r="892" spans="10:14" x14ac:dyDescent="0.4">
      <c r="J892" s="140"/>
      <c r="N892" s="211"/>
    </row>
    <row r="893" spans="10:14" x14ac:dyDescent="0.4">
      <c r="J893" s="140"/>
      <c r="N893" s="211"/>
    </row>
    <row r="894" spans="10:14" x14ac:dyDescent="0.4">
      <c r="J894" s="140"/>
      <c r="N894" s="211"/>
    </row>
    <row r="895" spans="10:14" x14ac:dyDescent="0.4">
      <c r="J895" s="140"/>
      <c r="N895" s="211"/>
    </row>
    <row r="896" spans="10:14" x14ac:dyDescent="0.4">
      <c r="J896" s="140"/>
      <c r="N896" s="211"/>
    </row>
    <row r="897" spans="10:14" x14ac:dyDescent="0.4">
      <c r="J897" s="140"/>
      <c r="N897" s="211"/>
    </row>
    <row r="898" spans="10:14" x14ac:dyDescent="0.4">
      <c r="J898" s="140"/>
      <c r="N898" s="211"/>
    </row>
    <row r="899" spans="10:14" x14ac:dyDescent="0.4">
      <c r="J899" s="140"/>
      <c r="N899" s="211"/>
    </row>
    <row r="900" spans="10:14" x14ac:dyDescent="0.4">
      <c r="J900" s="140"/>
      <c r="N900" s="211"/>
    </row>
    <row r="901" spans="10:14" x14ac:dyDescent="0.4">
      <c r="J901" s="140"/>
      <c r="N901" s="211"/>
    </row>
    <row r="902" spans="10:14" x14ac:dyDescent="0.4">
      <c r="J902" s="140"/>
      <c r="N902" s="211"/>
    </row>
    <row r="903" spans="10:14" x14ac:dyDescent="0.4">
      <c r="J903" s="140"/>
      <c r="N903" s="211"/>
    </row>
    <row r="904" spans="10:14" x14ac:dyDescent="0.4">
      <c r="J904" s="140"/>
      <c r="N904" s="211"/>
    </row>
    <row r="905" spans="10:14" x14ac:dyDescent="0.4">
      <c r="J905" s="140"/>
      <c r="N905" s="211"/>
    </row>
    <row r="906" spans="10:14" x14ac:dyDescent="0.4">
      <c r="J906" s="140"/>
      <c r="N906" s="211"/>
    </row>
    <row r="907" spans="10:14" x14ac:dyDescent="0.4">
      <c r="J907" s="140"/>
      <c r="N907" s="211"/>
    </row>
    <row r="908" spans="10:14" x14ac:dyDescent="0.4">
      <c r="J908" s="140"/>
      <c r="N908" s="211"/>
    </row>
    <row r="909" spans="10:14" x14ac:dyDescent="0.4">
      <c r="J909" s="140"/>
      <c r="N909" s="211"/>
    </row>
    <row r="910" spans="10:14" x14ac:dyDescent="0.4">
      <c r="J910" s="140"/>
      <c r="N910" s="211"/>
    </row>
    <row r="911" spans="10:14" x14ac:dyDescent="0.4">
      <c r="J911" s="140"/>
      <c r="N911" s="211"/>
    </row>
    <row r="912" spans="10:14" x14ac:dyDescent="0.4">
      <c r="J912" s="140"/>
      <c r="N912" s="211"/>
    </row>
    <row r="913" spans="10:14" x14ac:dyDescent="0.4">
      <c r="J913" s="140"/>
      <c r="N913" s="211"/>
    </row>
    <row r="914" spans="10:14" x14ac:dyDescent="0.4">
      <c r="J914" s="140"/>
      <c r="N914" s="211"/>
    </row>
    <row r="915" spans="10:14" x14ac:dyDescent="0.4">
      <c r="J915" s="140"/>
      <c r="N915" s="211"/>
    </row>
    <row r="916" spans="10:14" x14ac:dyDescent="0.4">
      <c r="J916" s="140"/>
      <c r="N916" s="211"/>
    </row>
    <row r="917" spans="10:14" x14ac:dyDescent="0.4">
      <c r="J917" s="140"/>
      <c r="N917" s="211"/>
    </row>
    <row r="918" spans="10:14" x14ac:dyDescent="0.4">
      <c r="J918" s="140"/>
      <c r="N918" s="211"/>
    </row>
    <row r="919" spans="10:14" x14ac:dyDescent="0.4">
      <c r="J919" s="140"/>
      <c r="N919" s="211"/>
    </row>
    <row r="920" spans="10:14" x14ac:dyDescent="0.4">
      <c r="J920" s="140"/>
      <c r="N920" s="211"/>
    </row>
    <row r="921" spans="10:14" x14ac:dyDescent="0.4">
      <c r="J921" s="140"/>
      <c r="N921" s="211"/>
    </row>
    <row r="922" spans="10:14" x14ac:dyDescent="0.4">
      <c r="J922" s="140"/>
      <c r="N922" s="211"/>
    </row>
    <row r="923" spans="10:14" x14ac:dyDescent="0.4">
      <c r="J923" s="140"/>
      <c r="N923" s="211"/>
    </row>
    <row r="924" spans="10:14" x14ac:dyDescent="0.4">
      <c r="J924" s="140"/>
      <c r="N924" s="211"/>
    </row>
    <row r="925" spans="10:14" x14ac:dyDescent="0.4">
      <c r="J925" s="140"/>
      <c r="N925" s="211"/>
    </row>
    <row r="926" spans="10:14" x14ac:dyDescent="0.4">
      <c r="J926" s="140"/>
      <c r="N926" s="211"/>
    </row>
    <row r="927" spans="10:14" x14ac:dyDescent="0.4">
      <c r="J927" s="140"/>
      <c r="N927" s="211"/>
    </row>
    <row r="928" spans="10:14" x14ac:dyDescent="0.4">
      <c r="J928" s="140"/>
      <c r="N928" s="211"/>
    </row>
    <row r="929" spans="10:14" x14ac:dyDescent="0.4">
      <c r="J929" s="140"/>
      <c r="N929" s="211"/>
    </row>
    <row r="930" spans="10:14" x14ac:dyDescent="0.4">
      <c r="J930" s="140"/>
      <c r="N930" s="211"/>
    </row>
    <row r="931" spans="10:14" x14ac:dyDescent="0.4">
      <c r="J931" s="140"/>
      <c r="N931" s="211"/>
    </row>
    <row r="932" spans="10:14" x14ac:dyDescent="0.4">
      <c r="J932" s="140"/>
      <c r="N932" s="211"/>
    </row>
    <row r="933" spans="10:14" x14ac:dyDescent="0.4">
      <c r="J933" s="140"/>
      <c r="N933" s="211"/>
    </row>
    <row r="934" spans="10:14" x14ac:dyDescent="0.4">
      <c r="J934" s="140"/>
      <c r="N934" s="211"/>
    </row>
    <row r="935" spans="10:14" x14ac:dyDescent="0.4">
      <c r="J935" s="140"/>
      <c r="N935" s="211"/>
    </row>
    <row r="936" spans="10:14" x14ac:dyDescent="0.4">
      <c r="J936" s="140"/>
      <c r="N936" s="211"/>
    </row>
    <row r="937" spans="10:14" x14ac:dyDescent="0.4">
      <c r="J937" s="140"/>
      <c r="N937" s="211"/>
    </row>
    <row r="938" spans="10:14" x14ac:dyDescent="0.4">
      <c r="J938" s="140"/>
      <c r="N938" s="211"/>
    </row>
    <row r="939" spans="10:14" x14ac:dyDescent="0.4">
      <c r="J939" s="140"/>
      <c r="N939" s="211"/>
    </row>
    <row r="940" spans="10:14" x14ac:dyDescent="0.4">
      <c r="J940" s="140"/>
      <c r="N940" s="211"/>
    </row>
    <row r="941" spans="10:14" x14ac:dyDescent="0.4">
      <c r="J941" s="140"/>
      <c r="N941" s="211"/>
    </row>
    <row r="942" spans="10:14" x14ac:dyDescent="0.4">
      <c r="J942" s="140"/>
      <c r="N942" s="211"/>
    </row>
    <row r="943" spans="10:14" x14ac:dyDescent="0.4">
      <c r="J943" s="140"/>
      <c r="N943" s="211"/>
    </row>
    <row r="944" spans="10:14" x14ac:dyDescent="0.4">
      <c r="J944" s="140"/>
      <c r="N944" s="211"/>
    </row>
    <row r="945" spans="10:14" x14ac:dyDescent="0.4">
      <c r="J945" s="140"/>
      <c r="N945" s="211"/>
    </row>
    <row r="946" spans="10:14" x14ac:dyDescent="0.4">
      <c r="J946" s="140"/>
      <c r="N946" s="211"/>
    </row>
    <row r="947" spans="10:14" x14ac:dyDescent="0.4">
      <c r="J947" s="140"/>
      <c r="N947" s="211"/>
    </row>
    <row r="948" spans="10:14" x14ac:dyDescent="0.4">
      <c r="J948" s="140"/>
      <c r="N948" s="211"/>
    </row>
    <row r="949" spans="10:14" x14ac:dyDescent="0.4">
      <c r="J949" s="140"/>
      <c r="N949" s="211"/>
    </row>
    <row r="950" spans="10:14" x14ac:dyDescent="0.4">
      <c r="J950" s="140"/>
      <c r="N950" s="211"/>
    </row>
    <row r="951" spans="10:14" x14ac:dyDescent="0.4">
      <c r="J951" s="140"/>
      <c r="N951" s="211"/>
    </row>
    <row r="952" spans="10:14" x14ac:dyDescent="0.4">
      <c r="J952" s="140"/>
      <c r="N952" s="211"/>
    </row>
    <row r="953" spans="10:14" x14ac:dyDescent="0.4">
      <c r="J953" s="140"/>
      <c r="N953" s="211"/>
    </row>
    <row r="954" spans="10:14" x14ac:dyDescent="0.4">
      <c r="J954" s="140"/>
      <c r="N954" s="211"/>
    </row>
    <row r="955" spans="10:14" x14ac:dyDescent="0.4">
      <c r="J955" s="140"/>
      <c r="N955" s="211"/>
    </row>
    <row r="956" spans="10:14" x14ac:dyDescent="0.4">
      <c r="J956" s="140"/>
      <c r="N956" s="211"/>
    </row>
    <row r="957" spans="10:14" x14ac:dyDescent="0.4">
      <c r="J957" s="140"/>
      <c r="N957" s="211"/>
    </row>
    <row r="958" spans="10:14" x14ac:dyDescent="0.4">
      <c r="J958" s="140"/>
      <c r="N958" s="211"/>
    </row>
    <row r="959" spans="10:14" x14ac:dyDescent="0.4">
      <c r="J959" s="140"/>
      <c r="N959" s="211"/>
    </row>
    <row r="960" spans="10:14" x14ac:dyDescent="0.4">
      <c r="J960" s="140"/>
      <c r="N960" s="211"/>
    </row>
    <row r="961" spans="10:14" x14ac:dyDescent="0.4">
      <c r="J961" s="140"/>
      <c r="N961" s="211"/>
    </row>
    <row r="962" spans="10:14" x14ac:dyDescent="0.4">
      <c r="J962" s="140"/>
      <c r="N962" s="211"/>
    </row>
    <row r="963" spans="10:14" x14ac:dyDescent="0.4">
      <c r="J963" s="140"/>
      <c r="N963" s="211"/>
    </row>
    <row r="964" spans="10:14" x14ac:dyDescent="0.4">
      <c r="J964" s="140"/>
      <c r="N964" s="211"/>
    </row>
    <row r="965" spans="10:14" x14ac:dyDescent="0.4">
      <c r="J965" s="140"/>
      <c r="N965" s="211"/>
    </row>
    <row r="966" spans="10:14" x14ac:dyDescent="0.4">
      <c r="J966" s="140"/>
      <c r="N966" s="211"/>
    </row>
    <row r="967" spans="10:14" x14ac:dyDescent="0.4">
      <c r="J967" s="140"/>
      <c r="N967" s="211"/>
    </row>
    <row r="968" spans="10:14" x14ac:dyDescent="0.4">
      <c r="J968" s="140"/>
      <c r="N968" s="211"/>
    </row>
    <row r="969" spans="10:14" x14ac:dyDescent="0.4">
      <c r="J969" s="140"/>
      <c r="N969" s="211"/>
    </row>
    <row r="970" spans="10:14" x14ac:dyDescent="0.4">
      <c r="J970" s="140"/>
      <c r="N970" s="211"/>
    </row>
    <row r="971" spans="10:14" x14ac:dyDescent="0.4">
      <c r="J971" s="140"/>
      <c r="N971" s="211"/>
    </row>
    <row r="972" spans="10:14" x14ac:dyDescent="0.4">
      <c r="J972" s="140"/>
      <c r="N972" s="211"/>
    </row>
    <row r="973" spans="10:14" x14ac:dyDescent="0.4">
      <c r="J973" s="140"/>
      <c r="N973" s="211"/>
    </row>
    <row r="974" spans="10:14" x14ac:dyDescent="0.4">
      <c r="J974" s="140"/>
      <c r="N974" s="211"/>
    </row>
    <row r="975" spans="10:14" x14ac:dyDescent="0.4">
      <c r="J975" s="140"/>
      <c r="N975" s="211"/>
    </row>
    <row r="976" spans="10:14" x14ac:dyDescent="0.4">
      <c r="J976" s="140"/>
      <c r="N976" s="211"/>
    </row>
    <row r="977" spans="10:14" x14ac:dyDescent="0.4">
      <c r="J977" s="140"/>
      <c r="N977" s="211"/>
    </row>
    <row r="978" spans="10:14" x14ac:dyDescent="0.4">
      <c r="J978" s="140"/>
      <c r="N978" s="211"/>
    </row>
    <row r="979" spans="10:14" x14ac:dyDescent="0.4">
      <c r="J979" s="140"/>
      <c r="N979" s="211"/>
    </row>
    <row r="980" spans="10:14" x14ac:dyDescent="0.4">
      <c r="J980" s="140"/>
      <c r="N980" s="211"/>
    </row>
    <row r="981" spans="10:14" x14ac:dyDescent="0.4">
      <c r="J981" s="140"/>
      <c r="N981" s="211"/>
    </row>
    <row r="982" spans="10:14" x14ac:dyDescent="0.4">
      <c r="J982" s="140"/>
      <c r="N982" s="211"/>
    </row>
    <row r="983" spans="10:14" x14ac:dyDescent="0.4">
      <c r="J983" s="140"/>
      <c r="N983" s="211"/>
    </row>
    <row r="984" spans="10:14" x14ac:dyDescent="0.4">
      <c r="J984" s="140"/>
      <c r="N984" s="211"/>
    </row>
    <row r="985" spans="10:14" x14ac:dyDescent="0.4">
      <c r="J985" s="140"/>
      <c r="N985" s="211"/>
    </row>
    <row r="986" spans="10:14" x14ac:dyDescent="0.4">
      <c r="J986" s="140"/>
      <c r="N986" s="211"/>
    </row>
    <row r="987" spans="10:14" x14ac:dyDescent="0.4">
      <c r="J987" s="140"/>
      <c r="N987" s="211"/>
    </row>
    <row r="988" spans="10:14" x14ac:dyDescent="0.4">
      <c r="J988" s="140"/>
      <c r="N988" s="211"/>
    </row>
    <row r="989" spans="10:14" x14ac:dyDescent="0.4">
      <c r="J989" s="140"/>
      <c r="N989" s="211"/>
    </row>
    <row r="990" spans="10:14" x14ac:dyDescent="0.4">
      <c r="J990" s="140"/>
      <c r="N990" s="211"/>
    </row>
    <row r="991" spans="10:14" x14ac:dyDescent="0.4">
      <c r="J991" s="140"/>
      <c r="N991" s="211"/>
    </row>
    <row r="992" spans="10:14" x14ac:dyDescent="0.4">
      <c r="J992" s="140"/>
      <c r="N992" s="211"/>
    </row>
    <row r="993" spans="10:14" x14ac:dyDescent="0.4">
      <c r="J993" s="140"/>
      <c r="N993" s="211"/>
    </row>
    <row r="994" spans="10:14" x14ac:dyDescent="0.4">
      <c r="J994" s="140"/>
      <c r="N994" s="211"/>
    </row>
    <row r="995" spans="10:14" x14ac:dyDescent="0.4">
      <c r="J995" s="140"/>
      <c r="N995" s="211"/>
    </row>
    <row r="996" spans="10:14" x14ac:dyDescent="0.4">
      <c r="J996" s="140"/>
      <c r="N996" s="211"/>
    </row>
    <row r="997" spans="10:14" x14ac:dyDescent="0.4">
      <c r="J997" s="140"/>
      <c r="N997" s="211"/>
    </row>
    <row r="998" spans="10:14" x14ac:dyDescent="0.4">
      <c r="J998" s="140"/>
      <c r="N998" s="211"/>
    </row>
    <row r="999" spans="10:14" x14ac:dyDescent="0.4">
      <c r="J999" s="140"/>
      <c r="N999" s="211"/>
    </row>
    <row r="1000" spans="10:14" x14ac:dyDescent="0.4">
      <c r="J1000" s="140"/>
      <c r="N1000" s="211"/>
    </row>
    <row r="1001" spans="10:14" x14ac:dyDescent="0.4">
      <c r="J1001" s="140"/>
      <c r="N1001" s="211"/>
    </row>
    <row r="1002" spans="10:14" x14ac:dyDescent="0.4">
      <c r="J1002" s="140"/>
      <c r="N1002" s="211"/>
    </row>
    <row r="1003" spans="10:14" x14ac:dyDescent="0.4">
      <c r="J1003" s="140"/>
      <c r="N1003" s="211"/>
    </row>
    <row r="1004" spans="10:14" x14ac:dyDescent="0.4">
      <c r="J1004" s="140"/>
      <c r="N1004" s="211"/>
    </row>
    <row r="1005" spans="10:14" x14ac:dyDescent="0.4">
      <c r="J1005" s="140"/>
      <c r="N1005" s="211"/>
    </row>
    <row r="1006" spans="10:14" x14ac:dyDescent="0.4">
      <c r="J1006" s="140"/>
      <c r="N1006" s="211"/>
    </row>
    <row r="1007" spans="10:14" x14ac:dyDescent="0.4">
      <c r="J1007" s="140"/>
      <c r="N1007" s="211"/>
    </row>
    <row r="1008" spans="10:14" x14ac:dyDescent="0.4">
      <c r="J1008" s="140"/>
      <c r="N1008" s="211"/>
    </row>
    <row r="1009" spans="10:14" x14ac:dyDescent="0.4">
      <c r="J1009" s="140"/>
      <c r="N1009" s="211"/>
    </row>
    <row r="1010" spans="10:14" x14ac:dyDescent="0.4">
      <c r="J1010" s="140"/>
      <c r="N1010" s="211"/>
    </row>
    <row r="1011" spans="10:14" x14ac:dyDescent="0.4">
      <c r="J1011" s="140"/>
      <c r="N1011" s="211"/>
    </row>
    <row r="1012" spans="10:14" x14ac:dyDescent="0.4">
      <c r="J1012" s="140"/>
      <c r="N1012" s="211"/>
    </row>
    <row r="1013" spans="10:14" x14ac:dyDescent="0.4">
      <c r="J1013" s="140"/>
      <c r="N1013" s="211"/>
    </row>
    <row r="1014" spans="10:14" x14ac:dyDescent="0.4">
      <c r="J1014" s="140"/>
      <c r="N1014" s="211"/>
    </row>
    <row r="1015" spans="10:14" x14ac:dyDescent="0.4">
      <c r="J1015" s="140"/>
      <c r="N1015" s="211"/>
    </row>
    <row r="1016" spans="10:14" x14ac:dyDescent="0.4">
      <c r="J1016" s="140"/>
      <c r="N1016" s="211"/>
    </row>
    <row r="1017" spans="10:14" x14ac:dyDescent="0.4">
      <c r="J1017" s="140"/>
      <c r="N1017" s="211"/>
    </row>
    <row r="1018" spans="10:14" x14ac:dyDescent="0.4">
      <c r="J1018" s="140"/>
      <c r="N1018" s="211"/>
    </row>
    <row r="1019" spans="10:14" x14ac:dyDescent="0.4">
      <c r="J1019" s="140"/>
      <c r="N1019" s="211"/>
    </row>
    <row r="1020" spans="10:14" x14ac:dyDescent="0.4">
      <c r="J1020" s="140"/>
      <c r="N1020" s="211"/>
    </row>
    <row r="1021" spans="10:14" x14ac:dyDescent="0.4">
      <c r="J1021" s="140"/>
      <c r="N1021" s="211"/>
    </row>
    <row r="1022" spans="10:14" x14ac:dyDescent="0.4">
      <c r="J1022" s="140"/>
      <c r="N1022" s="211"/>
    </row>
    <row r="1023" spans="10:14" x14ac:dyDescent="0.4">
      <c r="J1023" s="140"/>
      <c r="N1023" s="211"/>
    </row>
    <row r="1024" spans="10:14" x14ac:dyDescent="0.4">
      <c r="J1024" s="140"/>
      <c r="N1024" s="211"/>
    </row>
    <row r="1025" spans="10:14" x14ac:dyDescent="0.4">
      <c r="J1025" s="140"/>
      <c r="N1025" s="211"/>
    </row>
    <row r="1026" spans="10:14" x14ac:dyDescent="0.4">
      <c r="J1026" s="140"/>
      <c r="N1026" s="211"/>
    </row>
    <row r="1027" spans="10:14" x14ac:dyDescent="0.4">
      <c r="J1027" s="140"/>
      <c r="N1027" s="211"/>
    </row>
    <row r="1028" spans="10:14" x14ac:dyDescent="0.4">
      <c r="J1028" s="140"/>
      <c r="N1028" s="211"/>
    </row>
    <row r="1029" spans="10:14" x14ac:dyDescent="0.4">
      <c r="J1029" s="140"/>
      <c r="N1029" s="211"/>
    </row>
    <row r="1030" spans="10:14" x14ac:dyDescent="0.4">
      <c r="J1030" s="140"/>
      <c r="N1030" s="211"/>
    </row>
    <row r="1031" spans="10:14" x14ac:dyDescent="0.4">
      <c r="J1031" s="140"/>
      <c r="N1031" s="211"/>
    </row>
    <row r="1032" spans="10:14" x14ac:dyDescent="0.4">
      <c r="J1032" s="140"/>
      <c r="N1032" s="211"/>
    </row>
    <row r="1033" spans="10:14" x14ac:dyDescent="0.4">
      <c r="J1033" s="140"/>
      <c r="N1033" s="211"/>
    </row>
    <row r="1034" spans="10:14" x14ac:dyDescent="0.4">
      <c r="J1034" s="140"/>
      <c r="N1034" s="211"/>
    </row>
    <row r="1035" spans="10:14" x14ac:dyDescent="0.4">
      <c r="J1035" s="140"/>
      <c r="N1035" s="211"/>
    </row>
    <row r="1036" spans="10:14" x14ac:dyDescent="0.4">
      <c r="J1036" s="140"/>
      <c r="N1036" s="211"/>
    </row>
    <row r="1037" spans="10:14" x14ac:dyDescent="0.4">
      <c r="J1037" s="140"/>
      <c r="N1037" s="211"/>
    </row>
    <row r="1038" spans="10:14" x14ac:dyDescent="0.4">
      <c r="J1038" s="140"/>
      <c r="N1038" s="211"/>
    </row>
    <row r="1039" spans="10:14" x14ac:dyDescent="0.4">
      <c r="J1039" s="140"/>
      <c r="N1039" s="211"/>
    </row>
    <row r="1040" spans="10:14" x14ac:dyDescent="0.4">
      <c r="J1040" s="140"/>
      <c r="N1040" s="211"/>
    </row>
    <row r="1041" spans="10:14" x14ac:dyDescent="0.4">
      <c r="J1041" s="140"/>
      <c r="N1041" s="211"/>
    </row>
    <row r="1042" spans="10:14" x14ac:dyDescent="0.4">
      <c r="J1042" s="140"/>
      <c r="N1042" s="211"/>
    </row>
    <row r="1043" spans="10:14" x14ac:dyDescent="0.4">
      <c r="J1043" s="140"/>
      <c r="N1043" s="211"/>
    </row>
    <row r="1044" spans="10:14" x14ac:dyDescent="0.4">
      <c r="J1044" s="140"/>
      <c r="N1044" s="211"/>
    </row>
    <row r="1045" spans="10:14" x14ac:dyDescent="0.4">
      <c r="J1045" s="140"/>
      <c r="N1045" s="211"/>
    </row>
    <row r="1046" spans="10:14" x14ac:dyDescent="0.4">
      <c r="J1046" s="140"/>
      <c r="N1046" s="211"/>
    </row>
    <row r="1047" spans="10:14" x14ac:dyDescent="0.4">
      <c r="J1047" s="140"/>
      <c r="N1047" s="211"/>
    </row>
    <row r="1048" spans="10:14" x14ac:dyDescent="0.4">
      <c r="J1048" s="140"/>
      <c r="N1048" s="211"/>
    </row>
    <row r="1049" spans="10:14" x14ac:dyDescent="0.4">
      <c r="J1049" s="140"/>
      <c r="N1049" s="211"/>
    </row>
    <row r="1050" spans="10:14" x14ac:dyDescent="0.4">
      <c r="J1050" s="140"/>
      <c r="N1050" s="211"/>
    </row>
    <row r="1051" spans="10:14" x14ac:dyDescent="0.4">
      <c r="J1051" s="140"/>
      <c r="N1051" s="211"/>
    </row>
    <row r="1052" spans="10:14" x14ac:dyDescent="0.4">
      <c r="J1052" s="140"/>
      <c r="N1052" s="211"/>
    </row>
    <row r="1053" spans="10:14" x14ac:dyDescent="0.4">
      <c r="J1053" s="140"/>
      <c r="N1053" s="211"/>
    </row>
    <row r="1054" spans="10:14" x14ac:dyDescent="0.4">
      <c r="J1054" s="140"/>
      <c r="N1054" s="211"/>
    </row>
    <row r="1055" spans="10:14" x14ac:dyDescent="0.4">
      <c r="J1055" s="140"/>
      <c r="N1055" s="211"/>
    </row>
    <row r="1056" spans="10:14" x14ac:dyDescent="0.4">
      <c r="J1056" s="140"/>
      <c r="N1056" s="211"/>
    </row>
    <row r="1057" spans="10:14" x14ac:dyDescent="0.4">
      <c r="J1057" s="140"/>
      <c r="N1057" s="211"/>
    </row>
    <row r="1058" spans="10:14" x14ac:dyDescent="0.4">
      <c r="J1058" s="140"/>
      <c r="N1058" s="211"/>
    </row>
    <row r="1059" spans="10:14" x14ac:dyDescent="0.4">
      <c r="J1059" s="140"/>
      <c r="N1059" s="211"/>
    </row>
    <row r="1060" spans="10:14" x14ac:dyDescent="0.4">
      <c r="J1060" s="140"/>
      <c r="N1060" s="211"/>
    </row>
    <row r="1061" spans="10:14" x14ac:dyDescent="0.4">
      <c r="J1061" s="140"/>
      <c r="N1061" s="211"/>
    </row>
    <row r="1062" spans="10:14" x14ac:dyDescent="0.4">
      <c r="J1062" s="140"/>
      <c r="N1062" s="211"/>
    </row>
    <row r="1063" spans="10:14" x14ac:dyDescent="0.4">
      <c r="J1063" s="140"/>
      <c r="N1063" s="211"/>
    </row>
    <row r="1064" spans="10:14" x14ac:dyDescent="0.4">
      <c r="J1064" s="140"/>
      <c r="N1064" s="211"/>
    </row>
    <row r="1065" spans="10:14" x14ac:dyDescent="0.4">
      <c r="J1065" s="140"/>
      <c r="N1065" s="211"/>
    </row>
    <row r="1066" spans="10:14" x14ac:dyDescent="0.4">
      <c r="J1066" s="140"/>
      <c r="N1066" s="211"/>
    </row>
    <row r="1067" spans="10:14" x14ac:dyDescent="0.4">
      <c r="J1067" s="140"/>
      <c r="N1067" s="211"/>
    </row>
    <row r="1068" spans="10:14" x14ac:dyDescent="0.4">
      <c r="J1068" s="140"/>
      <c r="N1068" s="211"/>
    </row>
    <row r="1069" spans="10:14" x14ac:dyDescent="0.4">
      <c r="J1069" s="140"/>
      <c r="N1069" s="211"/>
    </row>
    <row r="1070" spans="10:14" x14ac:dyDescent="0.4">
      <c r="J1070" s="140"/>
      <c r="N1070" s="211"/>
    </row>
    <row r="1071" spans="10:14" x14ac:dyDescent="0.4">
      <c r="J1071" s="140"/>
      <c r="N1071" s="211"/>
    </row>
    <row r="1072" spans="10:14" x14ac:dyDescent="0.4">
      <c r="J1072" s="140"/>
      <c r="N1072" s="211"/>
    </row>
    <row r="1073" spans="10:14" x14ac:dyDescent="0.4">
      <c r="J1073" s="140"/>
      <c r="N1073" s="211"/>
    </row>
    <row r="1074" spans="10:14" x14ac:dyDescent="0.4">
      <c r="J1074" s="140"/>
      <c r="N1074" s="211"/>
    </row>
    <row r="1075" spans="10:14" x14ac:dyDescent="0.4">
      <c r="J1075" s="140"/>
      <c r="N1075" s="211"/>
    </row>
    <row r="1076" spans="10:14" x14ac:dyDescent="0.4">
      <c r="J1076" s="140"/>
      <c r="N1076" s="211"/>
    </row>
    <row r="1077" spans="10:14" x14ac:dyDescent="0.4">
      <c r="J1077" s="140"/>
      <c r="N1077" s="211"/>
    </row>
    <row r="1078" spans="10:14" x14ac:dyDescent="0.4">
      <c r="J1078" s="140"/>
      <c r="N1078" s="211"/>
    </row>
    <row r="1079" spans="10:14" x14ac:dyDescent="0.4">
      <c r="J1079" s="140"/>
      <c r="N1079" s="211"/>
    </row>
    <row r="1080" spans="10:14" x14ac:dyDescent="0.4">
      <c r="J1080" s="140"/>
      <c r="N1080" s="211"/>
    </row>
    <row r="1081" spans="10:14" x14ac:dyDescent="0.4">
      <c r="J1081" s="140"/>
      <c r="N1081" s="211"/>
    </row>
    <row r="1082" spans="10:14" x14ac:dyDescent="0.4">
      <c r="J1082" s="140"/>
      <c r="N1082" s="211"/>
    </row>
    <row r="1083" spans="10:14" x14ac:dyDescent="0.4">
      <c r="J1083" s="140"/>
      <c r="N1083" s="211"/>
    </row>
    <row r="1084" spans="10:14" x14ac:dyDescent="0.4">
      <c r="J1084" s="140"/>
      <c r="N1084" s="211"/>
    </row>
    <row r="1085" spans="10:14" x14ac:dyDescent="0.4">
      <c r="J1085" s="140"/>
      <c r="N1085" s="211"/>
    </row>
    <row r="1086" spans="10:14" x14ac:dyDescent="0.4">
      <c r="J1086" s="140"/>
      <c r="N1086" s="211"/>
    </row>
    <row r="1087" spans="10:14" x14ac:dyDescent="0.4">
      <c r="J1087" s="140"/>
      <c r="N1087" s="211"/>
    </row>
    <row r="1088" spans="10:14" x14ac:dyDescent="0.4">
      <c r="J1088" s="140"/>
      <c r="N1088" s="211"/>
    </row>
    <row r="1089" spans="10:14" x14ac:dyDescent="0.4">
      <c r="J1089" s="140"/>
      <c r="N1089" s="211"/>
    </row>
    <row r="1090" spans="10:14" x14ac:dyDescent="0.4">
      <c r="J1090" s="140"/>
      <c r="N1090" s="211"/>
    </row>
    <row r="1091" spans="10:14" x14ac:dyDescent="0.4">
      <c r="J1091" s="140"/>
      <c r="N1091" s="211"/>
    </row>
    <row r="1092" spans="10:14" x14ac:dyDescent="0.4">
      <c r="J1092" s="140"/>
      <c r="N1092" s="211"/>
    </row>
    <row r="1093" spans="10:14" x14ac:dyDescent="0.4">
      <c r="J1093" s="140"/>
      <c r="N1093" s="211"/>
    </row>
    <row r="1094" spans="10:14" x14ac:dyDescent="0.4">
      <c r="J1094" s="140"/>
      <c r="N1094" s="211"/>
    </row>
    <row r="1095" spans="10:14" x14ac:dyDescent="0.4">
      <c r="J1095" s="140"/>
      <c r="N1095" s="211"/>
    </row>
    <row r="1096" spans="10:14" x14ac:dyDescent="0.4">
      <c r="J1096" s="140"/>
      <c r="N1096" s="211"/>
    </row>
    <row r="1097" spans="10:14" x14ac:dyDescent="0.4">
      <c r="J1097" s="140"/>
      <c r="N1097" s="211"/>
    </row>
    <row r="1098" spans="10:14" x14ac:dyDescent="0.4">
      <c r="J1098" s="140"/>
      <c r="N1098" s="211"/>
    </row>
    <row r="1099" spans="10:14" x14ac:dyDescent="0.4">
      <c r="J1099" s="140"/>
      <c r="N1099" s="211"/>
    </row>
    <row r="1100" spans="10:14" x14ac:dyDescent="0.4">
      <c r="J1100" s="140"/>
      <c r="N1100" s="211"/>
    </row>
    <row r="1101" spans="10:14" x14ac:dyDescent="0.4">
      <c r="J1101" s="140"/>
      <c r="N1101" s="211"/>
    </row>
    <row r="1102" spans="10:14" x14ac:dyDescent="0.4">
      <c r="J1102" s="140"/>
      <c r="N1102" s="211"/>
    </row>
    <row r="1103" spans="10:14" x14ac:dyDescent="0.4">
      <c r="J1103" s="140"/>
      <c r="N1103" s="211"/>
    </row>
    <row r="1104" spans="10:14" x14ac:dyDescent="0.4">
      <c r="J1104" s="140"/>
      <c r="N1104" s="211"/>
    </row>
    <row r="1105" spans="10:14" x14ac:dyDescent="0.4">
      <c r="J1105" s="140"/>
      <c r="N1105" s="211"/>
    </row>
    <row r="1106" spans="10:14" x14ac:dyDescent="0.4">
      <c r="J1106" s="140"/>
      <c r="N1106" s="211"/>
    </row>
    <row r="1107" spans="10:14" x14ac:dyDescent="0.4">
      <c r="J1107" s="140"/>
      <c r="N1107" s="211"/>
    </row>
    <row r="1108" spans="10:14" x14ac:dyDescent="0.4">
      <c r="J1108" s="140"/>
      <c r="N1108" s="211"/>
    </row>
    <row r="1109" spans="10:14" x14ac:dyDescent="0.4">
      <c r="J1109" s="140"/>
      <c r="N1109" s="211"/>
    </row>
    <row r="1110" spans="10:14" x14ac:dyDescent="0.4">
      <c r="J1110" s="140"/>
      <c r="N1110" s="211"/>
    </row>
    <row r="1111" spans="10:14" x14ac:dyDescent="0.4">
      <c r="J1111" s="140"/>
      <c r="N1111" s="211"/>
    </row>
    <row r="1112" spans="10:14" x14ac:dyDescent="0.4">
      <c r="J1112" s="140"/>
      <c r="N1112" s="211"/>
    </row>
    <row r="1113" spans="10:14" x14ac:dyDescent="0.4">
      <c r="J1113" s="140"/>
      <c r="N1113" s="211"/>
    </row>
    <row r="1114" spans="10:14" x14ac:dyDescent="0.4">
      <c r="J1114" s="140"/>
      <c r="N1114" s="211"/>
    </row>
    <row r="1115" spans="10:14" x14ac:dyDescent="0.4">
      <c r="J1115" s="140"/>
      <c r="N1115" s="211"/>
    </row>
    <row r="1116" spans="10:14" x14ac:dyDescent="0.4">
      <c r="J1116" s="140"/>
      <c r="N1116" s="211"/>
    </row>
    <row r="1117" spans="10:14" x14ac:dyDescent="0.4">
      <c r="J1117" s="140"/>
      <c r="N1117" s="211"/>
    </row>
    <row r="1118" spans="10:14" x14ac:dyDescent="0.4">
      <c r="J1118" s="140"/>
      <c r="N1118" s="211"/>
    </row>
    <row r="1119" spans="10:14" x14ac:dyDescent="0.4">
      <c r="J1119" s="140"/>
      <c r="N1119" s="211"/>
    </row>
    <row r="1120" spans="10:14" x14ac:dyDescent="0.4">
      <c r="J1120" s="140"/>
      <c r="N1120" s="211"/>
    </row>
    <row r="1121" spans="10:14" x14ac:dyDescent="0.4">
      <c r="J1121" s="140"/>
      <c r="N1121" s="211"/>
    </row>
    <row r="1122" spans="10:14" x14ac:dyDescent="0.4">
      <c r="J1122" s="140"/>
      <c r="N1122" s="211"/>
    </row>
    <row r="1123" spans="10:14" x14ac:dyDescent="0.4">
      <c r="J1123" s="140"/>
      <c r="N1123" s="211"/>
    </row>
    <row r="1124" spans="10:14" x14ac:dyDescent="0.4">
      <c r="J1124" s="140"/>
      <c r="N1124" s="211"/>
    </row>
    <row r="1125" spans="10:14" x14ac:dyDescent="0.4">
      <c r="J1125" s="140"/>
      <c r="N1125" s="211"/>
    </row>
    <row r="1126" spans="10:14" x14ac:dyDescent="0.4">
      <c r="J1126" s="140"/>
      <c r="N1126" s="211"/>
    </row>
    <row r="1127" spans="10:14" x14ac:dyDescent="0.4">
      <c r="J1127" s="140"/>
      <c r="N1127" s="211"/>
    </row>
    <row r="1128" spans="10:14" x14ac:dyDescent="0.4">
      <c r="J1128" s="140"/>
      <c r="N1128" s="211"/>
    </row>
    <row r="1129" spans="10:14" x14ac:dyDescent="0.4">
      <c r="J1129" s="140"/>
      <c r="N1129" s="211"/>
    </row>
    <row r="1130" spans="10:14" x14ac:dyDescent="0.4">
      <c r="J1130" s="140"/>
      <c r="N1130" s="211"/>
    </row>
    <row r="1131" spans="10:14" x14ac:dyDescent="0.4">
      <c r="J1131" s="140"/>
      <c r="N1131" s="211"/>
    </row>
    <row r="1132" spans="10:14" x14ac:dyDescent="0.4">
      <c r="J1132" s="140"/>
      <c r="N1132" s="211"/>
    </row>
    <row r="1133" spans="10:14" x14ac:dyDescent="0.4">
      <c r="J1133" s="140"/>
      <c r="N1133" s="211"/>
    </row>
    <row r="1134" spans="10:14" x14ac:dyDescent="0.4">
      <c r="J1134" s="140"/>
      <c r="N1134" s="211"/>
    </row>
    <row r="1135" spans="10:14" x14ac:dyDescent="0.4">
      <c r="J1135" s="140"/>
      <c r="N1135" s="211"/>
    </row>
    <row r="1136" spans="10:14" x14ac:dyDescent="0.4">
      <c r="J1136" s="140"/>
      <c r="N1136" s="211"/>
    </row>
    <row r="1137" spans="10:14" x14ac:dyDescent="0.4">
      <c r="J1137" s="140"/>
      <c r="N1137" s="211"/>
    </row>
    <row r="1138" spans="10:14" x14ac:dyDescent="0.4">
      <c r="J1138" s="140"/>
      <c r="N1138" s="211"/>
    </row>
    <row r="1139" spans="10:14" x14ac:dyDescent="0.4">
      <c r="J1139" s="140"/>
      <c r="N1139" s="211"/>
    </row>
    <row r="1140" spans="10:14" x14ac:dyDescent="0.4">
      <c r="J1140" s="140"/>
      <c r="N1140" s="211"/>
    </row>
    <row r="1141" spans="10:14" x14ac:dyDescent="0.4">
      <c r="J1141" s="140"/>
      <c r="N1141" s="211"/>
    </row>
    <row r="1142" spans="10:14" x14ac:dyDescent="0.4">
      <c r="J1142" s="140"/>
      <c r="N1142" s="211"/>
    </row>
    <row r="1143" spans="10:14" x14ac:dyDescent="0.4">
      <c r="J1143" s="140"/>
      <c r="N1143" s="211"/>
    </row>
    <row r="1144" spans="10:14" x14ac:dyDescent="0.4">
      <c r="J1144" s="140"/>
      <c r="N1144" s="211"/>
    </row>
    <row r="1145" spans="10:14" x14ac:dyDescent="0.4">
      <c r="J1145" s="140"/>
      <c r="N1145" s="211"/>
    </row>
    <row r="1146" spans="10:14" x14ac:dyDescent="0.4">
      <c r="J1146" s="140"/>
      <c r="N1146" s="211"/>
    </row>
    <row r="1147" spans="10:14" x14ac:dyDescent="0.4">
      <c r="J1147" s="140"/>
      <c r="N1147" s="211"/>
    </row>
    <row r="1148" spans="10:14" x14ac:dyDescent="0.4">
      <c r="J1148" s="140"/>
      <c r="N1148" s="211"/>
    </row>
    <row r="1149" spans="10:14" x14ac:dyDescent="0.4">
      <c r="J1149" s="140"/>
      <c r="N1149" s="211"/>
    </row>
    <row r="1150" spans="10:14" x14ac:dyDescent="0.4">
      <c r="J1150" s="140"/>
      <c r="N1150" s="211"/>
    </row>
    <row r="1151" spans="10:14" x14ac:dyDescent="0.4">
      <c r="J1151" s="140"/>
      <c r="N1151" s="211"/>
    </row>
    <row r="1152" spans="10:14" x14ac:dyDescent="0.4">
      <c r="J1152" s="140"/>
      <c r="N1152" s="211"/>
    </row>
    <row r="1153" spans="10:14" x14ac:dyDescent="0.4">
      <c r="J1153" s="140"/>
      <c r="N1153" s="211"/>
    </row>
    <row r="1154" spans="10:14" x14ac:dyDescent="0.4">
      <c r="J1154" s="140"/>
      <c r="N1154" s="211"/>
    </row>
    <row r="1155" spans="10:14" x14ac:dyDescent="0.4">
      <c r="J1155" s="140"/>
      <c r="N1155" s="211"/>
    </row>
    <row r="1156" spans="10:14" x14ac:dyDescent="0.4">
      <c r="J1156" s="140"/>
      <c r="N1156" s="211"/>
    </row>
    <row r="1157" spans="10:14" x14ac:dyDescent="0.4">
      <c r="J1157" s="140"/>
      <c r="N1157" s="211"/>
    </row>
    <row r="1158" spans="10:14" x14ac:dyDescent="0.4">
      <c r="J1158" s="140"/>
      <c r="N1158" s="211"/>
    </row>
    <row r="1159" spans="10:14" x14ac:dyDescent="0.4">
      <c r="J1159" s="140"/>
      <c r="N1159" s="211"/>
    </row>
    <row r="1160" spans="10:14" x14ac:dyDescent="0.4">
      <c r="J1160" s="140"/>
      <c r="N1160" s="211"/>
    </row>
    <row r="1161" spans="10:14" x14ac:dyDescent="0.4">
      <c r="J1161" s="140"/>
      <c r="N1161" s="211"/>
    </row>
    <row r="1162" spans="10:14" x14ac:dyDescent="0.4">
      <c r="J1162" s="140"/>
      <c r="N1162" s="211"/>
    </row>
    <row r="1163" spans="10:14" x14ac:dyDescent="0.4">
      <c r="J1163" s="140"/>
      <c r="N1163" s="211"/>
    </row>
    <row r="1164" spans="10:14" x14ac:dyDescent="0.4">
      <c r="J1164" s="140"/>
      <c r="N1164" s="211"/>
    </row>
    <row r="1165" spans="10:14" x14ac:dyDescent="0.4">
      <c r="J1165" s="140"/>
      <c r="N1165" s="211"/>
    </row>
    <row r="1166" spans="10:14" x14ac:dyDescent="0.4">
      <c r="J1166" s="140"/>
      <c r="N1166" s="211"/>
    </row>
    <row r="1167" spans="10:14" x14ac:dyDescent="0.4">
      <c r="J1167" s="140"/>
      <c r="N1167" s="211"/>
    </row>
    <row r="1168" spans="10:14" x14ac:dyDescent="0.4">
      <c r="J1168" s="140"/>
      <c r="N1168" s="211"/>
    </row>
    <row r="1169" spans="10:14" x14ac:dyDescent="0.4">
      <c r="J1169" s="140"/>
      <c r="N1169" s="211"/>
    </row>
    <row r="1170" spans="10:14" x14ac:dyDescent="0.4">
      <c r="J1170" s="140"/>
      <c r="N1170" s="211"/>
    </row>
    <row r="1171" spans="10:14" x14ac:dyDescent="0.4">
      <c r="J1171" s="140"/>
      <c r="N1171" s="211"/>
    </row>
    <row r="1172" spans="10:14" x14ac:dyDescent="0.4">
      <c r="J1172" s="140"/>
      <c r="N1172" s="211"/>
    </row>
    <row r="1173" spans="10:14" x14ac:dyDescent="0.4">
      <c r="J1173" s="140"/>
      <c r="N1173" s="211"/>
    </row>
    <row r="1174" spans="10:14" x14ac:dyDescent="0.4">
      <c r="J1174" s="140"/>
      <c r="N1174" s="211"/>
    </row>
    <row r="1175" spans="10:14" x14ac:dyDescent="0.4">
      <c r="J1175" s="140"/>
      <c r="N1175" s="211"/>
    </row>
    <row r="1176" spans="10:14" x14ac:dyDescent="0.4">
      <c r="J1176" s="140"/>
      <c r="N1176" s="211"/>
    </row>
    <row r="1177" spans="10:14" x14ac:dyDescent="0.4">
      <c r="J1177" s="140"/>
      <c r="N1177" s="211"/>
    </row>
    <row r="1178" spans="10:14" x14ac:dyDescent="0.4">
      <c r="J1178" s="140"/>
      <c r="N1178" s="211"/>
    </row>
    <row r="1179" spans="10:14" x14ac:dyDescent="0.4">
      <c r="J1179" s="140"/>
      <c r="N1179" s="211"/>
    </row>
    <row r="1180" spans="10:14" x14ac:dyDescent="0.4">
      <c r="J1180" s="140"/>
      <c r="N1180" s="211"/>
    </row>
    <row r="1181" spans="10:14" x14ac:dyDescent="0.4">
      <c r="J1181" s="140"/>
      <c r="N1181" s="211"/>
    </row>
    <row r="1182" spans="10:14" x14ac:dyDescent="0.4">
      <c r="J1182" s="140"/>
      <c r="N1182" s="211"/>
    </row>
    <row r="1183" spans="10:14" x14ac:dyDescent="0.4">
      <c r="J1183" s="140"/>
      <c r="N1183" s="211"/>
    </row>
    <row r="1184" spans="10:14" x14ac:dyDescent="0.4">
      <c r="J1184" s="140"/>
      <c r="N1184" s="211"/>
    </row>
    <row r="1185" spans="10:14" x14ac:dyDescent="0.4">
      <c r="J1185" s="140"/>
      <c r="N1185" s="211"/>
    </row>
    <row r="1186" spans="10:14" x14ac:dyDescent="0.4">
      <c r="J1186" s="140"/>
      <c r="N1186" s="211"/>
    </row>
    <row r="1187" spans="10:14" x14ac:dyDescent="0.4">
      <c r="J1187" s="140"/>
      <c r="N1187" s="211"/>
    </row>
    <row r="1188" spans="10:14" x14ac:dyDescent="0.4">
      <c r="J1188" s="140"/>
      <c r="N1188" s="211"/>
    </row>
    <row r="1189" spans="10:14" x14ac:dyDescent="0.4">
      <c r="J1189" s="140"/>
      <c r="N1189" s="211"/>
    </row>
    <row r="1190" spans="10:14" x14ac:dyDescent="0.4">
      <c r="J1190" s="140"/>
      <c r="N1190" s="211"/>
    </row>
    <row r="1191" spans="10:14" x14ac:dyDescent="0.4">
      <c r="J1191" s="140"/>
      <c r="N1191" s="211"/>
    </row>
    <row r="1192" spans="10:14" x14ac:dyDescent="0.4">
      <c r="J1192" s="140"/>
      <c r="N1192" s="211"/>
    </row>
    <row r="1193" spans="10:14" x14ac:dyDescent="0.4">
      <c r="J1193" s="140"/>
      <c r="N1193" s="211"/>
    </row>
    <row r="1194" spans="10:14" x14ac:dyDescent="0.4">
      <c r="J1194" s="140"/>
      <c r="N1194" s="211"/>
    </row>
    <row r="1195" spans="10:14" x14ac:dyDescent="0.4">
      <c r="J1195" s="140"/>
      <c r="N1195" s="211"/>
    </row>
    <row r="1196" spans="10:14" x14ac:dyDescent="0.4">
      <c r="J1196" s="140"/>
      <c r="N1196" s="211"/>
    </row>
    <row r="1197" spans="10:14" x14ac:dyDescent="0.4">
      <c r="J1197" s="140"/>
      <c r="N1197" s="211"/>
    </row>
    <row r="1198" spans="10:14" x14ac:dyDescent="0.4">
      <c r="J1198" s="140"/>
      <c r="N1198" s="211"/>
    </row>
    <row r="1199" spans="10:14" x14ac:dyDescent="0.4">
      <c r="J1199" s="140"/>
      <c r="N1199" s="211"/>
    </row>
    <row r="1200" spans="10:14" x14ac:dyDescent="0.4">
      <c r="J1200" s="140"/>
      <c r="N1200" s="211"/>
    </row>
    <row r="1201" spans="10:14" x14ac:dyDescent="0.4">
      <c r="J1201" s="140"/>
      <c r="N1201" s="211"/>
    </row>
    <row r="1202" spans="10:14" x14ac:dyDescent="0.4">
      <c r="J1202" s="140"/>
      <c r="N1202" s="211"/>
    </row>
    <row r="1203" spans="10:14" x14ac:dyDescent="0.4">
      <c r="J1203" s="140"/>
      <c r="N1203" s="211"/>
    </row>
    <row r="1204" spans="10:14" x14ac:dyDescent="0.4">
      <c r="J1204" s="140"/>
      <c r="N1204" s="211"/>
    </row>
    <row r="1205" spans="10:14" x14ac:dyDescent="0.4">
      <c r="J1205" s="140"/>
      <c r="N1205" s="211"/>
    </row>
    <row r="1206" spans="10:14" x14ac:dyDescent="0.4">
      <c r="J1206" s="140"/>
      <c r="N1206" s="211"/>
    </row>
    <row r="1207" spans="10:14" x14ac:dyDescent="0.4">
      <c r="J1207" s="140"/>
      <c r="N1207" s="211"/>
    </row>
    <row r="1208" spans="10:14" x14ac:dyDescent="0.4">
      <c r="J1208" s="140"/>
      <c r="N1208" s="211"/>
    </row>
    <row r="1209" spans="10:14" x14ac:dyDescent="0.4">
      <c r="J1209" s="140"/>
      <c r="N1209" s="211"/>
    </row>
    <row r="1210" spans="10:14" x14ac:dyDescent="0.4">
      <c r="J1210" s="140"/>
      <c r="N1210" s="211"/>
    </row>
    <row r="1211" spans="10:14" x14ac:dyDescent="0.4">
      <c r="J1211" s="140"/>
      <c r="N1211" s="211"/>
    </row>
    <row r="1212" spans="10:14" x14ac:dyDescent="0.4">
      <c r="J1212" s="140"/>
      <c r="N1212" s="211"/>
    </row>
    <row r="1213" spans="10:14" x14ac:dyDescent="0.4">
      <c r="J1213" s="140"/>
      <c r="N1213" s="211"/>
    </row>
    <row r="1214" spans="10:14" x14ac:dyDescent="0.4">
      <c r="J1214" s="140"/>
      <c r="N1214" s="211"/>
    </row>
    <row r="1215" spans="10:14" x14ac:dyDescent="0.4">
      <c r="J1215" s="140"/>
      <c r="N1215" s="211"/>
    </row>
    <row r="1216" spans="10:14" x14ac:dyDescent="0.4">
      <c r="J1216" s="140"/>
      <c r="N1216" s="211"/>
    </row>
    <row r="1217" spans="10:14" x14ac:dyDescent="0.4">
      <c r="J1217" s="140"/>
      <c r="N1217" s="211"/>
    </row>
    <row r="1218" spans="10:14" x14ac:dyDescent="0.4">
      <c r="J1218" s="140"/>
      <c r="N1218" s="211"/>
    </row>
    <row r="1219" spans="10:14" x14ac:dyDescent="0.4">
      <c r="J1219" s="140"/>
      <c r="N1219" s="211"/>
    </row>
    <row r="1220" spans="10:14" x14ac:dyDescent="0.4">
      <c r="J1220" s="140"/>
      <c r="N1220" s="211"/>
    </row>
    <row r="1221" spans="10:14" x14ac:dyDescent="0.4">
      <c r="J1221" s="140"/>
      <c r="N1221" s="211"/>
    </row>
    <row r="1222" spans="10:14" x14ac:dyDescent="0.4">
      <c r="J1222" s="140"/>
      <c r="N1222" s="211"/>
    </row>
    <row r="1223" spans="10:14" x14ac:dyDescent="0.4">
      <c r="J1223" s="140"/>
      <c r="N1223" s="211"/>
    </row>
    <row r="1224" spans="10:14" x14ac:dyDescent="0.4">
      <c r="J1224" s="140"/>
      <c r="N1224" s="211"/>
    </row>
    <row r="1225" spans="10:14" x14ac:dyDescent="0.4">
      <c r="J1225" s="140"/>
      <c r="N1225" s="211"/>
    </row>
    <row r="1226" spans="10:14" x14ac:dyDescent="0.4">
      <c r="J1226" s="140"/>
      <c r="N1226" s="211"/>
    </row>
    <row r="1227" spans="10:14" x14ac:dyDescent="0.4">
      <c r="J1227" s="140"/>
      <c r="N1227" s="211"/>
    </row>
    <row r="1228" spans="10:14" x14ac:dyDescent="0.4">
      <c r="J1228" s="140"/>
      <c r="N1228" s="211"/>
    </row>
    <row r="1229" spans="10:14" x14ac:dyDescent="0.4">
      <c r="J1229" s="140"/>
      <c r="N1229" s="211"/>
    </row>
    <row r="1230" spans="10:14" x14ac:dyDescent="0.4">
      <c r="J1230" s="140"/>
      <c r="N1230" s="211"/>
    </row>
    <row r="1231" spans="10:14" x14ac:dyDescent="0.4">
      <c r="J1231" s="140"/>
      <c r="N1231" s="211"/>
    </row>
    <row r="1232" spans="10:14" x14ac:dyDescent="0.4">
      <c r="J1232" s="140"/>
      <c r="N1232" s="211"/>
    </row>
    <row r="1233" spans="10:14" x14ac:dyDescent="0.4">
      <c r="J1233" s="140"/>
      <c r="N1233" s="211"/>
    </row>
    <row r="1234" spans="10:14" x14ac:dyDescent="0.4">
      <c r="J1234" s="140"/>
      <c r="N1234" s="211"/>
    </row>
    <row r="1235" spans="10:14" x14ac:dyDescent="0.4">
      <c r="J1235" s="140"/>
      <c r="N1235" s="211"/>
    </row>
    <row r="1236" spans="10:14" x14ac:dyDescent="0.4">
      <c r="J1236" s="140"/>
      <c r="N1236" s="211"/>
    </row>
    <row r="1237" spans="10:14" x14ac:dyDescent="0.4">
      <c r="J1237" s="140"/>
      <c r="N1237" s="211"/>
    </row>
    <row r="1238" spans="10:14" x14ac:dyDescent="0.4">
      <c r="J1238" s="140"/>
      <c r="N1238" s="211"/>
    </row>
    <row r="1239" spans="10:14" x14ac:dyDescent="0.4">
      <c r="J1239" s="140"/>
      <c r="N1239" s="211"/>
    </row>
    <row r="1240" spans="10:14" x14ac:dyDescent="0.4">
      <c r="J1240" s="140"/>
      <c r="N1240" s="211"/>
    </row>
    <row r="1241" spans="10:14" x14ac:dyDescent="0.4">
      <c r="J1241" s="140"/>
      <c r="N1241" s="211"/>
    </row>
    <row r="1242" spans="10:14" x14ac:dyDescent="0.4">
      <c r="J1242" s="140"/>
      <c r="N1242" s="211"/>
    </row>
    <row r="1243" spans="10:14" x14ac:dyDescent="0.4">
      <c r="J1243" s="140"/>
      <c r="N1243" s="211"/>
    </row>
    <row r="1244" spans="10:14" x14ac:dyDescent="0.4">
      <c r="J1244" s="140"/>
      <c r="N1244" s="211"/>
    </row>
    <row r="1245" spans="10:14" x14ac:dyDescent="0.4">
      <c r="J1245" s="140"/>
      <c r="N1245" s="211"/>
    </row>
    <row r="1246" spans="10:14" x14ac:dyDescent="0.4">
      <c r="J1246" s="140"/>
      <c r="N1246" s="211"/>
    </row>
    <row r="1247" spans="10:14" x14ac:dyDescent="0.4">
      <c r="J1247" s="140"/>
      <c r="N1247" s="211"/>
    </row>
    <row r="1248" spans="10:14" x14ac:dyDescent="0.4">
      <c r="J1248" s="140"/>
      <c r="N1248" s="211"/>
    </row>
    <row r="1249" spans="10:14" x14ac:dyDescent="0.4">
      <c r="J1249" s="140"/>
      <c r="N1249" s="211"/>
    </row>
    <row r="1250" spans="10:14" x14ac:dyDescent="0.4">
      <c r="J1250" s="140"/>
      <c r="N1250" s="211"/>
    </row>
    <row r="1251" spans="10:14" x14ac:dyDescent="0.4">
      <c r="J1251" s="140"/>
      <c r="N1251" s="211"/>
    </row>
    <row r="1252" spans="10:14" x14ac:dyDescent="0.4">
      <c r="J1252" s="140"/>
      <c r="N1252" s="211"/>
    </row>
    <row r="1253" spans="10:14" x14ac:dyDescent="0.4">
      <c r="J1253" s="140"/>
      <c r="N1253" s="211"/>
    </row>
    <row r="1254" spans="10:14" x14ac:dyDescent="0.4">
      <c r="J1254" s="140"/>
      <c r="N1254" s="211"/>
    </row>
    <row r="1255" spans="10:14" x14ac:dyDescent="0.4">
      <c r="J1255" s="140"/>
      <c r="N1255" s="211"/>
    </row>
    <row r="1256" spans="10:14" x14ac:dyDescent="0.4">
      <c r="J1256" s="140"/>
      <c r="N1256" s="211"/>
    </row>
    <row r="1257" spans="10:14" x14ac:dyDescent="0.4">
      <c r="J1257" s="140"/>
      <c r="N1257" s="211"/>
    </row>
    <row r="1258" spans="10:14" x14ac:dyDescent="0.4">
      <c r="J1258" s="140"/>
      <c r="N1258" s="211"/>
    </row>
    <row r="1259" spans="10:14" x14ac:dyDescent="0.4">
      <c r="J1259" s="140"/>
      <c r="N1259" s="211"/>
    </row>
    <row r="1260" spans="10:14" x14ac:dyDescent="0.4">
      <c r="J1260" s="140"/>
      <c r="N1260" s="211"/>
    </row>
    <row r="1261" spans="10:14" x14ac:dyDescent="0.4">
      <c r="J1261" s="140"/>
      <c r="N1261" s="211"/>
    </row>
    <row r="1262" spans="10:14" x14ac:dyDescent="0.4">
      <c r="J1262" s="140"/>
      <c r="N1262" s="211"/>
    </row>
    <row r="1263" spans="10:14" x14ac:dyDescent="0.4">
      <c r="J1263" s="140"/>
      <c r="N1263" s="211"/>
    </row>
    <row r="1264" spans="10:14" x14ac:dyDescent="0.4">
      <c r="J1264" s="140"/>
      <c r="N1264" s="211"/>
    </row>
    <row r="1265" spans="10:14" x14ac:dyDescent="0.4">
      <c r="J1265" s="140"/>
      <c r="N1265" s="211"/>
    </row>
    <row r="1266" spans="10:14" x14ac:dyDescent="0.4">
      <c r="J1266" s="140"/>
      <c r="N1266" s="211"/>
    </row>
    <row r="1267" spans="10:14" x14ac:dyDescent="0.4">
      <c r="J1267" s="140"/>
      <c r="N1267" s="211"/>
    </row>
    <row r="1268" spans="10:14" x14ac:dyDescent="0.4">
      <c r="J1268" s="140"/>
      <c r="N1268" s="211"/>
    </row>
    <row r="1269" spans="10:14" x14ac:dyDescent="0.4">
      <c r="J1269" s="140"/>
      <c r="N1269" s="211"/>
    </row>
    <row r="1270" spans="10:14" x14ac:dyDescent="0.4">
      <c r="J1270" s="140"/>
      <c r="N1270" s="211"/>
    </row>
    <row r="1271" spans="10:14" x14ac:dyDescent="0.4">
      <c r="J1271" s="140"/>
      <c r="N1271" s="211"/>
    </row>
    <row r="1272" spans="10:14" x14ac:dyDescent="0.4">
      <c r="J1272" s="140"/>
      <c r="N1272" s="211"/>
    </row>
    <row r="1273" spans="10:14" x14ac:dyDescent="0.4">
      <c r="J1273" s="140"/>
      <c r="N1273" s="211"/>
    </row>
    <row r="1274" spans="10:14" x14ac:dyDescent="0.4">
      <c r="J1274" s="140"/>
      <c r="N1274" s="211"/>
    </row>
    <row r="1275" spans="10:14" x14ac:dyDescent="0.4">
      <c r="J1275" s="140"/>
      <c r="N1275" s="211"/>
    </row>
    <row r="1276" spans="10:14" x14ac:dyDescent="0.4">
      <c r="J1276" s="140"/>
      <c r="N1276" s="211"/>
    </row>
    <row r="1277" spans="10:14" x14ac:dyDescent="0.4">
      <c r="J1277" s="140"/>
      <c r="N1277" s="211"/>
    </row>
    <row r="1278" spans="10:14" x14ac:dyDescent="0.4">
      <c r="J1278" s="140"/>
      <c r="N1278" s="211"/>
    </row>
    <row r="1279" spans="10:14" x14ac:dyDescent="0.4">
      <c r="J1279" s="140"/>
      <c r="N1279" s="211"/>
    </row>
    <row r="1280" spans="10:14" x14ac:dyDescent="0.4">
      <c r="J1280" s="140"/>
      <c r="N1280" s="211"/>
    </row>
    <row r="1281" spans="10:14" x14ac:dyDescent="0.4">
      <c r="J1281" s="140"/>
      <c r="N1281" s="211"/>
    </row>
    <row r="1282" spans="10:14" x14ac:dyDescent="0.4">
      <c r="J1282" s="140"/>
      <c r="N1282" s="211"/>
    </row>
    <row r="1283" spans="10:14" x14ac:dyDescent="0.4">
      <c r="J1283" s="140"/>
      <c r="N1283" s="211"/>
    </row>
    <row r="1284" spans="10:14" x14ac:dyDescent="0.4">
      <c r="J1284" s="140"/>
      <c r="N1284" s="211"/>
    </row>
    <row r="1285" spans="10:14" x14ac:dyDescent="0.4">
      <c r="J1285" s="140"/>
      <c r="N1285" s="211"/>
    </row>
    <row r="1286" spans="10:14" x14ac:dyDescent="0.4">
      <c r="J1286" s="140"/>
      <c r="N1286" s="211"/>
    </row>
    <row r="1287" spans="10:14" x14ac:dyDescent="0.4">
      <c r="J1287" s="140"/>
      <c r="N1287" s="211"/>
    </row>
    <row r="1288" spans="10:14" x14ac:dyDescent="0.4">
      <c r="J1288" s="140"/>
      <c r="N1288" s="211"/>
    </row>
    <row r="1289" spans="10:14" x14ac:dyDescent="0.4">
      <c r="J1289" s="140"/>
      <c r="N1289" s="211"/>
    </row>
    <row r="1290" spans="10:14" x14ac:dyDescent="0.4">
      <c r="J1290" s="140"/>
      <c r="N1290" s="211"/>
    </row>
    <row r="1291" spans="10:14" x14ac:dyDescent="0.4">
      <c r="J1291" s="140"/>
      <c r="N1291" s="211"/>
    </row>
    <row r="1292" spans="10:14" x14ac:dyDescent="0.4">
      <c r="J1292" s="140"/>
      <c r="N1292" s="211"/>
    </row>
    <row r="1293" spans="10:14" x14ac:dyDescent="0.4">
      <c r="J1293" s="140"/>
      <c r="N1293" s="211"/>
    </row>
    <row r="1294" spans="10:14" x14ac:dyDescent="0.4">
      <c r="J1294" s="140"/>
      <c r="N1294" s="211"/>
    </row>
    <row r="1295" spans="10:14" x14ac:dyDescent="0.4">
      <c r="J1295" s="140"/>
      <c r="N1295" s="211"/>
    </row>
    <row r="1296" spans="10:14" x14ac:dyDescent="0.4">
      <c r="J1296" s="140"/>
      <c r="N1296" s="211"/>
    </row>
    <row r="1297" spans="10:14" x14ac:dyDescent="0.4">
      <c r="J1297" s="140"/>
      <c r="N1297" s="211"/>
    </row>
    <row r="1298" spans="10:14" x14ac:dyDescent="0.4">
      <c r="J1298" s="140"/>
      <c r="N1298" s="211"/>
    </row>
    <row r="1299" spans="10:14" x14ac:dyDescent="0.4">
      <c r="J1299" s="140"/>
      <c r="N1299" s="211"/>
    </row>
    <row r="1300" spans="10:14" x14ac:dyDescent="0.4">
      <c r="J1300" s="140"/>
      <c r="N1300" s="211"/>
    </row>
    <row r="1301" spans="10:14" x14ac:dyDescent="0.4">
      <c r="J1301" s="140"/>
      <c r="N1301" s="211"/>
    </row>
    <row r="1302" spans="10:14" x14ac:dyDescent="0.4">
      <c r="J1302" s="140"/>
      <c r="N1302" s="211"/>
    </row>
    <row r="1303" spans="10:14" x14ac:dyDescent="0.4">
      <c r="J1303" s="140"/>
      <c r="N1303" s="211"/>
    </row>
    <row r="1304" spans="10:14" x14ac:dyDescent="0.4">
      <c r="J1304" s="140"/>
      <c r="N1304" s="211"/>
    </row>
    <row r="1305" spans="10:14" x14ac:dyDescent="0.4">
      <c r="J1305" s="140"/>
      <c r="N1305" s="211"/>
    </row>
    <row r="1306" spans="10:14" x14ac:dyDescent="0.4">
      <c r="J1306" s="140"/>
      <c r="N1306" s="211"/>
    </row>
    <row r="1307" spans="10:14" x14ac:dyDescent="0.4">
      <c r="J1307" s="140"/>
      <c r="N1307" s="211"/>
    </row>
    <row r="1308" spans="10:14" x14ac:dyDescent="0.4">
      <c r="J1308" s="140"/>
      <c r="N1308" s="211"/>
    </row>
    <row r="1309" spans="10:14" x14ac:dyDescent="0.4">
      <c r="J1309" s="140"/>
      <c r="N1309" s="211"/>
    </row>
    <row r="1310" spans="10:14" x14ac:dyDescent="0.4">
      <c r="J1310" s="140"/>
      <c r="N1310" s="211"/>
    </row>
    <row r="1311" spans="10:14" x14ac:dyDescent="0.4">
      <c r="J1311" s="140"/>
      <c r="N1311" s="211"/>
    </row>
    <row r="1312" spans="10:14" x14ac:dyDescent="0.4">
      <c r="J1312" s="140"/>
      <c r="N1312" s="211"/>
    </row>
    <row r="1313" spans="10:14" x14ac:dyDescent="0.4">
      <c r="J1313" s="140"/>
      <c r="N1313" s="211"/>
    </row>
    <row r="1314" spans="10:14" x14ac:dyDescent="0.4">
      <c r="J1314" s="140"/>
      <c r="N1314" s="211"/>
    </row>
    <row r="1315" spans="10:14" x14ac:dyDescent="0.4">
      <c r="J1315" s="140"/>
      <c r="N1315" s="211"/>
    </row>
    <row r="1316" spans="10:14" x14ac:dyDescent="0.4">
      <c r="J1316" s="140"/>
      <c r="N1316" s="211"/>
    </row>
    <row r="1317" spans="10:14" x14ac:dyDescent="0.4">
      <c r="J1317" s="140"/>
      <c r="N1317" s="211"/>
    </row>
    <row r="1318" spans="10:14" x14ac:dyDescent="0.4">
      <c r="J1318" s="140"/>
      <c r="N1318" s="211"/>
    </row>
    <row r="1319" spans="10:14" x14ac:dyDescent="0.4">
      <c r="J1319" s="140"/>
      <c r="N1319" s="211"/>
    </row>
    <row r="1320" spans="10:14" x14ac:dyDescent="0.4">
      <c r="J1320" s="140"/>
      <c r="N1320" s="211"/>
    </row>
    <row r="1321" spans="10:14" x14ac:dyDescent="0.4">
      <c r="J1321" s="140"/>
      <c r="N1321" s="211"/>
    </row>
    <row r="1322" spans="10:14" x14ac:dyDescent="0.4">
      <c r="J1322" s="140"/>
      <c r="N1322" s="211"/>
    </row>
    <row r="1323" spans="10:14" x14ac:dyDescent="0.4">
      <c r="J1323" s="140"/>
      <c r="N1323" s="211"/>
    </row>
    <row r="1324" spans="10:14" x14ac:dyDescent="0.4">
      <c r="J1324" s="140"/>
      <c r="N1324" s="211"/>
    </row>
    <row r="1325" spans="10:14" x14ac:dyDescent="0.4">
      <c r="J1325" s="140"/>
      <c r="N1325" s="211"/>
    </row>
    <row r="1326" spans="10:14" x14ac:dyDescent="0.4">
      <c r="J1326" s="140"/>
      <c r="N1326" s="211"/>
    </row>
    <row r="1327" spans="10:14" x14ac:dyDescent="0.4">
      <c r="J1327" s="140"/>
      <c r="N1327" s="211"/>
    </row>
    <row r="1328" spans="10:14" x14ac:dyDescent="0.4">
      <c r="J1328" s="140"/>
      <c r="N1328" s="211"/>
    </row>
    <row r="1329" spans="10:14" x14ac:dyDescent="0.4">
      <c r="J1329" s="140"/>
      <c r="N1329" s="211"/>
    </row>
    <row r="1330" spans="10:14" x14ac:dyDescent="0.4">
      <c r="J1330" s="140"/>
      <c r="N1330" s="211"/>
    </row>
    <row r="1331" spans="10:14" x14ac:dyDescent="0.4">
      <c r="J1331" s="140"/>
      <c r="N1331" s="211"/>
    </row>
    <row r="1332" spans="10:14" x14ac:dyDescent="0.4">
      <c r="J1332" s="140"/>
      <c r="N1332" s="211"/>
    </row>
    <row r="1333" spans="10:14" x14ac:dyDescent="0.4">
      <c r="J1333" s="140"/>
      <c r="N1333" s="211"/>
    </row>
    <row r="1334" spans="10:14" x14ac:dyDescent="0.4">
      <c r="J1334" s="140"/>
      <c r="N1334" s="211"/>
    </row>
    <row r="1335" spans="10:14" x14ac:dyDescent="0.4">
      <c r="J1335" s="140"/>
      <c r="N1335" s="211"/>
    </row>
    <row r="1336" spans="10:14" x14ac:dyDescent="0.4">
      <c r="J1336" s="140"/>
      <c r="N1336" s="211"/>
    </row>
    <row r="1337" spans="10:14" x14ac:dyDescent="0.4">
      <c r="J1337" s="140"/>
      <c r="N1337" s="211"/>
    </row>
    <row r="1338" spans="10:14" x14ac:dyDescent="0.4">
      <c r="J1338" s="140"/>
      <c r="N1338" s="211"/>
    </row>
    <row r="1339" spans="10:14" x14ac:dyDescent="0.4">
      <c r="J1339" s="140"/>
      <c r="N1339" s="211"/>
    </row>
    <row r="1340" spans="10:14" x14ac:dyDescent="0.4">
      <c r="J1340" s="140"/>
      <c r="N1340" s="211"/>
    </row>
    <row r="1341" spans="10:14" x14ac:dyDescent="0.4">
      <c r="J1341" s="140"/>
      <c r="N1341" s="211"/>
    </row>
    <row r="1342" spans="10:14" x14ac:dyDescent="0.4">
      <c r="J1342" s="140"/>
      <c r="N1342" s="211"/>
    </row>
    <row r="1343" spans="10:14" x14ac:dyDescent="0.4">
      <c r="J1343" s="140"/>
      <c r="N1343" s="211"/>
    </row>
    <row r="1344" spans="10:14" x14ac:dyDescent="0.4">
      <c r="J1344" s="140"/>
      <c r="N1344" s="211"/>
    </row>
    <row r="1345" spans="10:14" x14ac:dyDescent="0.4">
      <c r="J1345" s="140"/>
      <c r="N1345" s="211"/>
    </row>
    <row r="1346" spans="10:14" x14ac:dyDescent="0.4">
      <c r="J1346" s="140"/>
      <c r="N1346" s="211"/>
    </row>
    <row r="1347" spans="10:14" x14ac:dyDescent="0.4">
      <c r="J1347" s="140"/>
      <c r="N1347" s="211"/>
    </row>
    <row r="1348" spans="10:14" x14ac:dyDescent="0.4">
      <c r="J1348" s="140"/>
      <c r="N1348" s="211"/>
    </row>
    <row r="1349" spans="10:14" x14ac:dyDescent="0.4">
      <c r="J1349" s="140"/>
      <c r="N1349" s="211"/>
    </row>
    <row r="1350" spans="10:14" x14ac:dyDescent="0.4">
      <c r="J1350" s="140"/>
      <c r="N1350" s="211"/>
    </row>
    <row r="1351" spans="10:14" x14ac:dyDescent="0.4">
      <c r="J1351" s="140"/>
      <c r="N1351" s="211"/>
    </row>
    <row r="1352" spans="10:14" x14ac:dyDescent="0.4">
      <c r="J1352" s="140"/>
      <c r="N1352" s="211"/>
    </row>
    <row r="1353" spans="10:14" x14ac:dyDescent="0.4">
      <c r="J1353" s="140"/>
      <c r="N1353" s="211"/>
    </row>
    <row r="1354" spans="10:14" x14ac:dyDescent="0.4">
      <c r="J1354" s="140"/>
      <c r="N1354" s="211"/>
    </row>
    <row r="1355" spans="10:14" x14ac:dyDescent="0.4">
      <c r="J1355" s="140"/>
      <c r="N1355" s="211"/>
    </row>
    <row r="1356" spans="10:14" x14ac:dyDescent="0.4">
      <c r="J1356" s="140"/>
      <c r="N1356" s="211"/>
    </row>
    <row r="1357" spans="10:14" x14ac:dyDescent="0.4">
      <c r="J1357" s="140"/>
      <c r="N1357" s="211"/>
    </row>
    <row r="1358" spans="10:14" x14ac:dyDescent="0.4">
      <c r="J1358" s="140"/>
      <c r="N1358" s="211"/>
    </row>
    <row r="1359" spans="10:14" x14ac:dyDescent="0.4">
      <c r="J1359" s="140"/>
      <c r="N1359" s="211"/>
    </row>
    <row r="1360" spans="10:14" x14ac:dyDescent="0.4">
      <c r="J1360" s="140"/>
      <c r="N1360" s="211"/>
    </row>
    <row r="1361" spans="10:14" x14ac:dyDescent="0.4">
      <c r="J1361" s="140"/>
      <c r="N1361" s="211"/>
    </row>
    <row r="1362" spans="10:14" x14ac:dyDescent="0.4">
      <c r="J1362" s="140"/>
      <c r="N1362" s="211"/>
    </row>
    <row r="1363" spans="10:14" x14ac:dyDescent="0.4">
      <c r="J1363" s="140"/>
      <c r="N1363" s="211"/>
    </row>
    <row r="1364" spans="10:14" x14ac:dyDescent="0.4">
      <c r="J1364" s="140"/>
      <c r="N1364" s="211"/>
    </row>
    <row r="1365" spans="10:14" x14ac:dyDescent="0.4">
      <c r="J1365" s="140"/>
      <c r="N1365" s="211"/>
    </row>
    <row r="1366" spans="10:14" x14ac:dyDescent="0.4">
      <c r="J1366" s="140"/>
      <c r="N1366" s="211"/>
    </row>
    <row r="1367" spans="10:14" x14ac:dyDescent="0.4">
      <c r="J1367" s="140"/>
      <c r="N1367" s="211"/>
    </row>
    <row r="1368" spans="10:14" x14ac:dyDescent="0.4">
      <c r="J1368" s="140"/>
      <c r="N1368" s="211"/>
    </row>
    <row r="1369" spans="10:14" x14ac:dyDescent="0.4">
      <c r="J1369" s="140"/>
      <c r="N1369" s="211"/>
    </row>
    <row r="1370" spans="10:14" x14ac:dyDescent="0.4">
      <c r="J1370" s="140"/>
      <c r="N1370" s="211"/>
    </row>
    <row r="1371" spans="10:14" x14ac:dyDescent="0.4">
      <c r="J1371" s="140"/>
      <c r="N1371" s="211"/>
    </row>
    <row r="1372" spans="10:14" x14ac:dyDescent="0.4">
      <c r="J1372" s="140"/>
      <c r="N1372" s="211"/>
    </row>
    <row r="1373" spans="10:14" x14ac:dyDescent="0.4">
      <c r="J1373" s="140"/>
      <c r="N1373" s="211"/>
    </row>
    <row r="1374" spans="10:14" x14ac:dyDescent="0.4">
      <c r="J1374" s="140"/>
      <c r="N1374" s="211"/>
    </row>
    <row r="1375" spans="10:14" x14ac:dyDescent="0.4">
      <c r="J1375" s="140"/>
      <c r="N1375" s="211"/>
    </row>
    <row r="1376" spans="10:14" x14ac:dyDescent="0.4">
      <c r="J1376" s="140"/>
      <c r="N1376" s="211"/>
    </row>
    <row r="1377" spans="10:14" x14ac:dyDescent="0.4">
      <c r="J1377" s="140"/>
      <c r="N1377" s="211"/>
    </row>
    <row r="1378" spans="10:14" x14ac:dyDescent="0.4">
      <c r="J1378" s="140"/>
      <c r="N1378" s="211"/>
    </row>
    <row r="1379" spans="10:14" x14ac:dyDescent="0.4">
      <c r="J1379" s="140"/>
      <c r="N1379" s="211"/>
    </row>
    <row r="1380" spans="10:14" x14ac:dyDescent="0.4">
      <c r="J1380" s="140"/>
      <c r="N1380" s="211"/>
    </row>
    <row r="1381" spans="10:14" x14ac:dyDescent="0.4">
      <c r="J1381" s="140"/>
      <c r="N1381" s="211"/>
    </row>
    <row r="1382" spans="10:14" x14ac:dyDescent="0.4">
      <c r="J1382" s="140"/>
      <c r="N1382" s="211"/>
    </row>
    <row r="1383" spans="10:14" x14ac:dyDescent="0.4">
      <c r="J1383" s="140"/>
      <c r="N1383" s="211"/>
    </row>
    <row r="1384" spans="10:14" x14ac:dyDescent="0.4">
      <c r="J1384" s="140"/>
      <c r="N1384" s="211"/>
    </row>
    <row r="1385" spans="10:14" x14ac:dyDescent="0.4">
      <c r="J1385" s="140"/>
      <c r="N1385" s="211"/>
    </row>
    <row r="1386" spans="10:14" x14ac:dyDescent="0.4">
      <c r="J1386" s="140"/>
      <c r="N1386" s="211"/>
    </row>
    <row r="1387" spans="10:14" x14ac:dyDescent="0.4">
      <c r="J1387" s="140"/>
      <c r="N1387" s="211"/>
    </row>
    <row r="1388" spans="10:14" x14ac:dyDescent="0.4">
      <c r="J1388" s="140"/>
      <c r="N1388" s="211"/>
    </row>
    <row r="1389" spans="10:14" x14ac:dyDescent="0.4">
      <c r="J1389" s="140"/>
      <c r="N1389" s="211"/>
    </row>
    <row r="1390" spans="10:14" x14ac:dyDescent="0.4">
      <c r="J1390" s="140"/>
      <c r="N1390" s="211"/>
    </row>
    <row r="1391" spans="10:14" x14ac:dyDescent="0.4">
      <c r="J1391" s="140"/>
      <c r="N1391" s="211"/>
    </row>
    <row r="1392" spans="10:14" x14ac:dyDescent="0.4">
      <c r="J1392" s="140"/>
      <c r="N1392" s="211"/>
    </row>
    <row r="1393" spans="10:14" x14ac:dyDescent="0.4">
      <c r="J1393" s="140"/>
      <c r="N1393" s="211"/>
    </row>
    <row r="1394" spans="10:14" x14ac:dyDescent="0.4">
      <c r="J1394" s="140"/>
      <c r="N1394" s="211"/>
    </row>
    <row r="1395" spans="10:14" x14ac:dyDescent="0.4">
      <c r="J1395" s="140"/>
      <c r="N1395" s="211"/>
    </row>
    <row r="1396" spans="10:14" x14ac:dyDescent="0.4">
      <c r="J1396" s="140"/>
      <c r="N1396" s="211"/>
    </row>
    <row r="1397" spans="10:14" x14ac:dyDescent="0.4">
      <c r="J1397" s="140"/>
      <c r="N1397" s="211"/>
    </row>
    <row r="1398" spans="10:14" x14ac:dyDescent="0.4">
      <c r="J1398" s="140"/>
      <c r="N1398" s="211"/>
    </row>
    <row r="1399" spans="10:14" x14ac:dyDescent="0.4">
      <c r="J1399" s="140"/>
      <c r="N1399" s="211"/>
    </row>
    <row r="1400" spans="10:14" x14ac:dyDescent="0.4">
      <c r="J1400" s="140"/>
      <c r="N1400" s="211"/>
    </row>
    <row r="1401" spans="10:14" x14ac:dyDescent="0.4">
      <c r="J1401" s="140"/>
      <c r="N1401" s="211"/>
    </row>
    <row r="1402" spans="10:14" x14ac:dyDescent="0.4">
      <c r="J1402" s="140"/>
      <c r="N1402" s="211"/>
    </row>
    <row r="1403" spans="10:14" x14ac:dyDescent="0.4">
      <c r="J1403" s="140"/>
      <c r="N1403" s="211"/>
    </row>
    <row r="1404" spans="10:14" x14ac:dyDescent="0.4">
      <c r="J1404" s="140"/>
      <c r="N1404" s="211"/>
    </row>
    <row r="1405" spans="10:14" x14ac:dyDescent="0.4">
      <c r="J1405" s="140"/>
      <c r="N1405" s="211"/>
    </row>
    <row r="1406" spans="10:14" x14ac:dyDescent="0.4">
      <c r="J1406" s="140"/>
      <c r="N1406" s="211"/>
    </row>
    <row r="1407" spans="10:14" x14ac:dyDescent="0.4">
      <c r="J1407" s="140"/>
      <c r="N1407" s="211"/>
    </row>
    <row r="1408" spans="10:14" x14ac:dyDescent="0.4">
      <c r="J1408" s="140"/>
      <c r="N1408" s="211"/>
    </row>
    <row r="1409" spans="10:14" x14ac:dyDescent="0.4">
      <c r="J1409" s="140"/>
      <c r="N1409" s="211"/>
    </row>
    <row r="1410" spans="10:14" x14ac:dyDescent="0.4">
      <c r="J1410" s="140"/>
      <c r="N1410" s="211"/>
    </row>
    <row r="1411" spans="10:14" x14ac:dyDescent="0.4">
      <c r="J1411" s="140"/>
      <c r="N1411" s="211"/>
    </row>
    <row r="1412" spans="10:14" x14ac:dyDescent="0.4">
      <c r="J1412" s="140"/>
      <c r="N1412" s="211"/>
    </row>
    <row r="1413" spans="10:14" x14ac:dyDescent="0.4">
      <c r="J1413" s="140"/>
      <c r="N1413" s="211"/>
    </row>
    <row r="1414" spans="10:14" x14ac:dyDescent="0.4">
      <c r="J1414" s="140"/>
      <c r="N1414" s="211"/>
    </row>
    <row r="1415" spans="10:14" x14ac:dyDescent="0.4">
      <c r="J1415" s="140"/>
      <c r="N1415" s="211"/>
    </row>
    <row r="1416" spans="10:14" x14ac:dyDescent="0.4">
      <c r="J1416" s="140"/>
      <c r="N1416" s="211"/>
    </row>
    <row r="1417" spans="10:14" x14ac:dyDescent="0.4">
      <c r="J1417" s="140"/>
      <c r="N1417" s="211"/>
    </row>
    <row r="1418" spans="10:14" x14ac:dyDescent="0.4">
      <c r="J1418" s="140"/>
      <c r="N1418" s="211"/>
    </row>
    <row r="1419" spans="10:14" x14ac:dyDescent="0.4">
      <c r="J1419" s="140"/>
      <c r="N1419" s="211"/>
    </row>
    <row r="1420" spans="10:14" x14ac:dyDescent="0.4">
      <c r="J1420" s="140"/>
      <c r="N1420" s="211"/>
    </row>
    <row r="1421" spans="10:14" x14ac:dyDescent="0.4">
      <c r="J1421" s="140"/>
      <c r="N1421" s="211"/>
    </row>
    <row r="1422" spans="10:14" x14ac:dyDescent="0.4">
      <c r="J1422" s="140"/>
      <c r="N1422" s="211"/>
    </row>
    <row r="1423" spans="10:14" x14ac:dyDescent="0.4">
      <c r="J1423" s="140"/>
      <c r="N1423" s="211"/>
    </row>
    <row r="1424" spans="10:14" x14ac:dyDescent="0.4">
      <c r="J1424" s="140"/>
      <c r="N1424" s="211"/>
    </row>
    <row r="1425" spans="10:14" x14ac:dyDescent="0.4">
      <c r="J1425" s="140"/>
      <c r="N1425" s="211"/>
    </row>
    <row r="1426" spans="10:14" x14ac:dyDescent="0.4">
      <c r="J1426" s="140"/>
      <c r="N1426" s="211"/>
    </row>
    <row r="1427" spans="10:14" x14ac:dyDescent="0.4">
      <c r="J1427" s="140"/>
      <c r="N1427" s="211"/>
    </row>
    <row r="1428" spans="10:14" x14ac:dyDescent="0.4">
      <c r="J1428" s="140"/>
      <c r="N1428" s="211"/>
    </row>
    <row r="1429" spans="10:14" x14ac:dyDescent="0.4">
      <c r="J1429" s="140"/>
      <c r="N1429" s="211"/>
    </row>
    <row r="1430" spans="10:14" x14ac:dyDescent="0.4">
      <c r="J1430" s="140"/>
      <c r="N1430" s="211"/>
    </row>
    <row r="1431" spans="10:14" x14ac:dyDescent="0.4">
      <c r="J1431" s="140"/>
      <c r="N1431" s="211"/>
    </row>
    <row r="1432" spans="10:14" x14ac:dyDescent="0.4">
      <c r="J1432" s="140"/>
      <c r="N1432" s="211"/>
    </row>
    <row r="1433" spans="10:14" x14ac:dyDescent="0.4">
      <c r="J1433" s="140"/>
      <c r="N1433" s="211"/>
    </row>
    <row r="1434" spans="10:14" x14ac:dyDescent="0.4">
      <c r="J1434" s="140"/>
      <c r="N1434" s="211"/>
    </row>
    <row r="1435" spans="10:14" x14ac:dyDescent="0.4">
      <c r="J1435" s="140"/>
      <c r="N1435" s="211"/>
    </row>
    <row r="1436" spans="10:14" x14ac:dyDescent="0.4">
      <c r="J1436" s="140"/>
      <c r="N1436" s="211"/>
    </row>
    <row r="1437" spans="10:14" x14ac:dyDescent="0.4">
      <c r="J1437" s="140"/>
      <c r="N1437" s="211"/>
    </row>
    <row r="1438" spans="10:14" x14ac:dyDescent="0.4">
      <c r="J1438" s="140"/>
      <c r="N1438" s="211"/>
    </row>
    <row r="1439" spans="10:14" x14ac:dyDescent="0.4">
      <c r="J1439" s="140"/>
      <c r="N1439" s="211"/>
    </row>
    <row r="1440" spans="10:14" x14ac:dyDescent="0.4">
      <c r="J1440" s="140"/>
      <c r="N1440" s="211"/>
    </row>
    <row r="1441" spans="10:14" x14ac:dyDescent="0.4">
      <c r="J1441" s="140"/>
      <c r="N1441" s="211"/>
    </row>
    <row r="1442" spans="10:14" x14ac:dyDescent="0.4">
      <c r="J1442" s="140"/>
      <c r="N1442" s="211"/>
    </row>
    <row r="1443" spans="10:14" x14ac:dyDescent="0.4">
      <c r="J1443" s="140"/>
      <c r="N1443" s="211"/>
    </row>
    <row r="1444" spans="10:14" x14ac:dyDescent="0.4">
      <c r="J1444" s="140"/>
      <c r="N1444" s="211"/>
    </row>
    <row r="1445" spans="10:14" x14ac:dyDescent="0.4">
      <c r="J1445" s="140"/>
      <c r="N1445" s="211"/>
    </row>
    <row r="1446" spans="10:14" x14ac:dyDescent="0.4">
      <c r="J1446" s="140"/>
      <c r="N1446" s="211"/>
    </row>
    <row r="1447" spans="10:14" x14ac:dyDescent="0.4">
      <c r="J1447" s="140"/>
      <c r="N1447" s="211"/>
    </row>
    <row r="1448" spans="10:14" x14ac:dyDescent="0.4">
      <c r="J1448" s="140"/>
      <c r="N1448" s="211"/>
    </row>
    <row r="1449" spans="10:14" x14ac:dyDescent="0.4">
      <c r="J1449" s="140"/>
      <c r="N1449" s="211"/>
    </row>
    <row r="1450" spans="10:14" x14ac:dyDescent="0.4">
      <c r="J1450" s="140"/>
      <c r="N1450" s="211"/>
    </row>
    <row r="1451" spans="10:14" x14ac:dyDescent="0.4">
      <c r="J1451" s="140"/>
      <c r="N1451" s="211"/>
    </row>
    <row r="1452" spans="10:14" x14ac:dyDescent="0.4">
      <c r="J1452" s="140"/>
      <c r="N1452" s="211"/>
    </row>
    <row r="1453" spans="10:14" x14ac:dyDescent="0.4">
      <c r="J1453" s="140"/>
      <c r="N1453" s="211"/>
    </row>
    <row r="1454" spans="10:14" x14ac:dyDescent="0.4">
      <c r="J1454" s="140"/>
      <c r="N1454" s="211"/>
    </row>
    <row r="1455" spans="10:14" x14ac:dyDescent="0.4">
      <c r="J1455" s="140"/>
      <c r="N1455" s="211"/>
    </row>
    <row r="1456" spans="10:14" x14ac:dyDescent="0.4">
      <c r="J1456" s="140"/>
      <c r="N1456" s="211"/>
    </row>
    <row r="1457" spans="10:14" x14ac:dyDescent="0.4">
      <c r="J1457" s="140"/>
      <c r="N1457" s="211"/>
    </row>
    <row r="1458" spans="10:14" x14ac:dyDescent="0.4">
      <c r="J1458" s="140"/>
      <c r="N1458" s="211"/>
    </row>
    <row r="1459" spans="10:14" x14ac:dyDescent="0.4">
      <c r="J1459" s="140"/>
      <c r="N1459" s="211"/>
    </row>
    <row r="1460" spans="10:14" x14ac:dyDescent="0.4">
      <c r="J1460" s="140"/>
      <c r="N1460" s="211"/>
    </row>
    <row r="1461" spans="10:14" x14ac:dyDescent="0.4">
      <c r="J1461" s="140"/>
      <c r="N1461" s="211"/>
    </row>
    <row r="1462" spans="10:14" x14ac:dyDescent="0.4">
      <c r="J1462" s="140"/>
      <c r="N1462" s="211"/>
    </row>
    <row r="1463" spans="10:14" x14ac:dyDescent="0.4">
      <c r="J1463" s="140"/>
      <c r="N1463" s="211"/>
    </row>
    <row r="1464" spans="10:14" x14ac:dyDescent="0.4">
      <c r="J1464" s="140"/>
      <c r="N1464" s="211"/>
    </row>
    <row r="1465" spans="10:14" x14ac:dyDescent="0.4">
      <c r="J1465" s="140"/>
      <c r="N1465" s="211"/>
    </row>
    <row r="1466" spans="10:14" x14ac:dyDescent="0.4">
      <c r="J1466" s="140"/>
      <c r="N1466" s="211"/>
    </row>
    <row r="1467" spans="10:14" x14ac:dyDescent="0.4">
      <c r="J1467" s="140"/>
      <c r="N1467" s="211"/>
    </row>
    <row r="1468" spans="10:14" x14ac:dyDescent="0.4">
      <c r="J1468" s="140"/>
      <c r="N1468" s="211"/>
    </row>
    <row r="1469" spans="10:14" x14ac:dyDescent="0.4">
      <c r="J1469" s="140"/>
      <c r="N1469" s="211"/>
    </row>
    <row r="1470" spans="10:14" x14ac:dyDescent="0.4">
      <c r="J1470" s="140"/>
      <c r="N1470" s="211"/>
    </row>
    <row r="1471" spans="10:14" x14ac:dyDescent="0.4">
      <c r="J1471" s="140"/>
      <c r="N1471" s="211"/>
    </row>
    <row r="1472" spans="10:14" x14ac:dyDescent="0.4">
      <c r="J1472" s="140"/>
      <c r="N1472" s="211"/>
    </row>
    <row r="1473" spans="10:14" x14ac:dyDescent="0.4">
      <c r="J1473" s="140"/>
      <c r="N1473" s="211"/>
    </row>
    <row r="1474" spans="10:14" x14ac:dyDescent="0.4">
      <c r="J1474" s="140"/>
      <c r="N1474" s="211"/>
    </row>
    <row r="1475" spans="10:14" x14ac:dyDescent="0.4">
      <c r="J1475" s="140"/>
      <c r="N1475" s="211"/>
    </row>
    <row r="1476" spans="10:14" x14ac:dyDescent="0.4">
      <c r="J1476" s="140"/>
      <c r="N1476" s="211"/>
    </row>
    <row r="1477" spans="10:14" x14ac:dyDescent="0.4">
      <c r="J1477" s="140"/>
      <c r="N1477" s="211"/>
    </row>
    <row r="1478" spans="10:14" x14ac:dyDescent="0.4">
      <c r="J1478" s="140"/>
      <c r="N1478" s="211"/>
    </row>
    <row r="1479" spans="10:14" x14ac:dyDescent="0.4">
      <c r="J1479" s="140"/>
      <c r="N1479" s="211"/>
    </row>
    <row r="1480" spans="10:14" x14ac:dyDescent="0.4">
      <c r="J1480" s="140"/>
      <c r="N1480" s="211"/>
    </row>
    <row r="1481" spans="10:14" x14ac:dyDescent="0.4">
      <c r="J1481" s="140"/>
      <c r="N1481" s="211"/>
    </row>
    <row r="1482" spans="10:14" x14ac:dyDescent="0.4">
      <c r="J1482" s="140"/>
      <c r="N1482" s="211"/>
    </row>
    <row r="1483" spans="10:14" x14ac:dyDescent="0.4">
      <c r="J1483" s="140"/>
      <c r="N1483" s="211"/>
    </row>
    <row r="1484" spans="10:14" x14ac:dyDescent="0.4">
      <c r="J1484" s="140"/>
      <c r="N1484" s="211"/>
    </row>
    <row r="1485" spans="10:14" x14ac:dyDescent="0.4">
      <c r="J1485" s="140"/>
      <c r="N1485" s="211"/>
    </row>
    <row r="1486" spans="10:14" x14ac:dyDescent="0.4">
      <c r="J1486" s="140"/>
      <c r="N1486" s="211"/>
    </row>
    <row r="1487" spans="10:14" x14ac:dyDescent="0.4">
      <c r="J1487" s="140"/>
      <c r="N1487" s="211"/>
    </row>
    <row r="1488" spans="10:14" x14ac:dyDescent="0.4">
      <c r="J1488" s="140"/>
      <c r="N1488" s="211"/>
    </row>
    <row r="1489" spans="10:14" x14ac:dyDescent="0.4">
      <c r="J1489" s="140"/>
      <c r="N1489" s="211"/>
    </row>
    <row r="1490" spans="10:14" x14ac:dyDescent="0.4">
      <c r="J1490" s="140"/>
      <c r="N1490" s="211"/>
    </row>
    <row r="1491" spans="10:14" x14ac:dyDescent="0.4">
      <c r="J1491" s="140"/>
      <c r="N1491" s="211"/>
    </row>
    <row r="1492" spans="10:14" x14ac:dyDescent="0.4">
      <c r="J1492" s="140"/>
      <c r="N1492" s="211"/>
    </row>
    <row r="1493" spans="10:14" x14ac:dyDescent="0.4">
      <c r="J1493" s="140"/>
      <c r="N1493" s="211"/>
    </row>
    <row r="1494" spans="10:14" x14ac:dyDescent="0.4">
      <c r="J1494" s="140"/>
      <c r="N1494" s="211"/>
    </row>
    <row r="1495" spans="10:14" x14ac:dyDescent="0.4">
      <c r="J1495" s="140"/>
      <c r="N1495" s="211"/>
    </row>
    <row r="1496" spans="10:14" x14ac:dyDescent="0.4">
      <c r="J1496" s="140"/>
      <c r="N1496" s="211"/>
    </row>
    <row r="1497" spans="10:14" x14ac:dyDescent="0.4">
      <c r="J1497" s="140"/>
      <c r="N1497" s="211"/>
    </row>
    <row r="1498" spans="10:14" x14ac:dyDescent="0.4">
      <c r="J1498" s="140"/>
      <c r="N1498" s="211"/>
    </row>
    <row r="1499" spans="10:14" x14ac:dyDescent="0.4">
      <c r="J1499" s="140"/>
      <c r="N1499" s="211"/>
    </row>
    <row r="1500" spans="10:14" x14ac:dyDescent="0.4">
      <c r="J1500" s="140"/>
      <c r="N1500" s="211"/>
    </row>
    <row r="1501" spans="10:14" x14ac:dyDescent="0.4">
      <c r="J1501" s="140"/>
      <c r="N1501" s="211"/>
    </row>
    <row r="1502" spans="10:14" x14ac:dyDescent="0.4">
      <c r="J1502" s="140"/>
      <c r="N1502" s="211"/>
    </row>
    <row r="1503" spans="10:14" x14ac:dyDescent="0.4">
      <c r="J1503" s="140"/>
      <c r="N1503" s="211"/>
    </row>
    <row r="1504" spans="10:14" x14ac:dyDescent="0.4">
      <c r="J1504" s="140"/>
      <c r="N1504" s="211"/>
    </row>
    <row r="1505" spans="10:14" x14ac:dyDescent="0.4">
      <c r="J1505" s="140"/>
      <c r="N1505" s="211"/>
    </row>
    <row r="1506" spans="10:14" x14ac:dyDescent="0.4">
      <c r="J1506" s="140"/>
      <c r="N1506" s="211"/>
    </row>
    <row r="1507" spans="10:14" x14ac:dyDescent="0.4">
      <c r="J1507" s="140"/>
      <c r="N1507" s="211"/>
    </row>
    <row r="1508" spans="10:14" x14ac:dyDescent="0.4">
      <c r="J1508" s="140"/>
      <c r="N1508" s="211"/>
    </row>
    <row r="1509" spans="10:14" x14ac:dyDescent="0.4">
      <c r="J1509" s="140"/>
      <c r="N1509" s="211"/>
    </row>
    <row r="1510" spans="10:14" x14ac:dyDescent="0.4">
      <c r="J1510" s="140"/>
      <c r="N1510" s="211"/>
    </row>
    <row r="1511" spans="10:14" x14ac:dyDescent="0.4">
      <c r="J1511" s="140"/>
      <c r="N1511" s="211"/>
    </row>
    <row r="1512" spans="10:14" x14ac:dyDescent="0.4">
      <c r="J1512" s="140"/>
      <c r="N1512" s="211"/>
    </row>
    <row r="1513" spans="10:14" x14ac:dyDescent="0.4">
      <c r="J1513" s="140"/>
      <c r="N1513" s="211"/>
    </row>
    <row r="1514" spans="10:14" x14ac:dyDescent="0.4">
      <c r="J1514" s="140"/>
      <c r="N1514" s="211"/>
    </row>
    <row r="1515" spans="10:14" x14ac:dyDescent="0.4">
      <c r="J1515" s="140"/>
      <c r="N1515" s="211"/>
    </row>
    <row r="1516" spans="10:14" x14ac:dyDescent="0.4">
      <c r="J1516" s="140"/>
      <c r="N1516" s="211"/>
    </row>
    <row r="1517" spans="10:14" x14ac:dyDescent="0.4">
      <c r="J1517" s="140"/>
      <c r="N1517" s="211"/>
    </row>
    <row r="1518" spans="10:14" x14ac:dyDescent="0.4">
      <c r="J1518" s="140"/>
      <c r="N1518" s="211"/>
    </row>
    <row r="1519" spans="10:14" x14ac:dyDescent="0.4">
      <c r="J1519" s="140"/>
      <c r="N1519" s="211"/>
    </row>
    <row r="1520" spans="10:14" x14ac:dyDescent="0.4">
      <c r="J1520" s="140"/>
      <c r="N1520" s="211"/>
    </row>
    <row r="1521" spans="10:14" x14ac:dyDescent="0.4">
      <c r="J1521" s="140"/>
      <c r="N1521" s="211"/>
    </row>
    <row r="1522" spans="10:14" x14ac:dyDescent="0.4">
      <c r="J1522" s="140"/>
      <c r="N1522" s="211"/>
    </row>
    <row r="1523" spans="10:14" x14ac:dyDescent="0.4">
      <c r="J1523" s="140"/>
      <c r="N1523" s="211"/>
    </row>
    <row r="1524" spans="10:14" x14ac:dyDescent="0.4">
      <c r="J1524" s="140"/>
      <c r="N1524" s="211"/>
    </row>
    <row r="1525" spans="10:14" x14ac:dyDescent="0.4">
      <c r="J1525" s="140"/>
      <c r="N1525" s="211"/>
    </row>
    <row r="1526" spans="10:14" x14ac:dyDescent="0.4">
      <c r="J1526" s="140"/>
      <c r="N1526" s="211"/>
    </row>
    <row r="1527" spans="10:14" x14ac:dyDescent="0.4">
      <c r="J1527" s="140"/>
      <c r="N1527" s="211"/>
    </row>
    <row r="1528" spans="10:14" x14ac:dyDescent="0.4">
      <c r="J1528" s="140"/>
      <c r="N1528" s="211"/>
    </row>
    <row r="1529" spans="10:14" x14ac:dyDescent="0.4">
      <c r="J1529" s="140"/>
      <c r="N1529" s="211"/>
    </row>
    <row r="1530" spans="10:14" x14ac:dyDescent="0.4">
      <c r="J1530" s="140"/>
      <c r="N1530" s="211"/>
    </row>
    <row r="1531" spans="10:14" x14ac:dyDescent="0.4">
      <c r="J1531" s="140"/>
      <c r="N1531" s="211"/>
    </row>
    <row r="1532" spans="10:14" x14ac:dyDescent="0.4">
      <c r="J1532" s="140"/>
      <c r="N1532" s="211"/>
    </row>
    <row r="1533" spans="10:14" x14ac:dyDescent="0.4">
      <c r="J1533" s="140"/>
      <c r="N1533" s="211"/>
    </row>
    <row r="1534" spans="10:14" x14ac:dyDescent="0.4">
      <c r="J1534" s="140"/>
      <c r="N1534" s="211"/>
    </row>
    <row r="1535" spans="10:14" x14ac:dyDescent="0.4">
      <c r="J1535" s="140"/>
      <c r="N1535" s="211"/>
    </row>
    <row r="1536" spans="10:14" x14ac:dyDescent="0.4">
      <c r="J1536" s="140"/>
      <c r="N1536" s="211"/>
    </row>
    <row r="1537" spans="10:14" x14ac:dyDescent="0.4">
      <c r="J1537" s="140"/>
      <c r="N1537" s="211"/>
    </row>
    <row r="1538" spans="10:14" x14ac:dyDescent="0.4">
      <c r="J1538" s="140"/>
      <c r="N1538" s="211"/>
    </row>
    <row r="1539" spans="10:14" x14ac:dyDescent="0.4">
      <c r="J1539" s="140"/>
      <c r="N1539" s="211"/>
    </row>
    <row r="1540" spans="10:14" x14ac:dyDescent="0.4">
      <c r="J1540" s="140"/>
      <c r="N1540" s="211"/>
    </row>
    <row r="1541" spans="10:14" x14ac:dyDescent="0.4">
      <c r="J1541" s="140"/>
      <c r="N1541" s="211"/>
    </row>
    <row r="1542" spans="10:14" x14ac:dyDescent="0.4">
      <c r="J1542" s="140"/>
      <c r="N1542" s="211"/>
    </row>
    <row r="1543" spans="10:14" x14ac:dyDescent="0.4">
      <c r="J1543" s="140"/>
      <c r="N1543" s="211"/>
    </row>
    <row r="1544" spans="10:14" x14ac:dyDescent="0.4">
      <c r="J1544" s="140"/>
      <c r="N1544" s="211"/>
    </row>
    <row r="1545" spans="10:14" x14ac:dyDescent="0.4">
      <c r="J1545" s="140"/>
      <c r="N1545" s="211"/>
    </row>
    <row r="1546" spans="10:14" x14ac:dyDescent="0.4">
      <c r="J1546" s="140"/>
      <c r="N1546" s="211"/>
    </row>
    <row r="1547" spans="10:14" x14ac:dyDescent="0.4">
      <c r="J1547" s="140"/>
      <c r="N1547" s="211"/>
    </row>
    <row r="1548" spans="10:14" x14ac:dyDescent="0.4">
      <c r="J1548" s="140"/>
      <c r="N1548" s="211"/>
    </row>
    <row r="1549" spans="10:14" x14ac:dyDescent="0.4">
      <c r="J1549" s="140"/>
      <c r="N1549" s="211"/>
    </row>
    <row r="1550" spans="10:14" x14ac:dyDescent="0.4">
      <c r="J1550" s="140"/>
      <c r="N1550" s="211"/>
    </row>
    <row r="1551" spans="10:14" x14ac:dyDescent="0.4">
      <c r="J1551" s="140"/>
      <c r="N1551" s="211"/>
    </row>
    <row r="1552" spans="10:14" x14ac:dyDescent="0.4">
      <c r="J1552" s="140"/>
      <c r="N1552" s="211"/>
    </row>
    <row r="1553" spans="10:14" x14ac:dyDescent="0.4">
      <c r="J1553" s="140"/>
      <c r="N1553" s="211"/>
    </row>
    <row r="1554" spans="10:14" x14ac:dyDescent="0.4">
      <c r="J1554" s="140"/>
      <c r="N1554" s="211"/>
    </row>
    <row r="1555" spans="10:14" x14ac:dyDescent="0.4">
      <c r="J1555" s="140"/>
      <c r="N1555" s="211"/>
    </row>
    <row r="1556" spans="10:14" x14ac:dyDescent="0.4">
      <c r="J1556" s="140"/>
      <c r="N1556" s="211"/>
    </row>
    <row r="1557" spans="10:14" x14ac:dyDescent="0.4">
      <c r="J1557" s="140"/>
      <c r="N1557" s="211"/>
    </row>
    <row r="1558" spans="10:14" x14ac:dyDescent="0.4">
      <c r="J1558" s="140"/>
      <c r="N1558" s="211"/>
    </row>
    <row r="1559" spans="10:14" x14ac:dyDescent="0.4">
      <c r="J1559" s="140"/>
      <c r="N1559" s="211"/>
    </row>
    <row r="1560" spans="10:14" x14ac:dyDescent="0.4">
      <c r="J1560" s="140"/>
      <c r="N1560" s="211"/>
    </row>
    <row r="1561" spans="10:14" x14ac:dyDescent="0.4">
      <c r="J1561" s="140"/>
      <c r="N1561" s="211"/>
    </row>
    <row r="1562" spans="10:14" x14ac:dyDescent="0.4">
      <c r="J1562" s="140"/>
      <c r="N1562" s="211"/>
    </row>
    <row r="1563" spans="10:14" x14ac:dyDescent="0.4">
      <c r="J1563" s="140"/>
      <c r="N1563" s="211"/>
    </row>
    <row r="1564" spans="10:14" x14ac:dyDescent="0.4">
      <c r="J1564" s="140"/>
      <c r="N1564" s="211"/>
    </row>
    <row r="1565" spans="10:14" x14ac:dyDescent="0.4">
      <c r="J1565" s="140"/>
      <c r="N1565" s="211"/>
    </row>
    <row r="1566" spans="10:14" x14ac:dyDescent="0.4">
      <c r="J1566" s="140"/>
      <c r="N1566" s="211"/>
    </row>
    <row r="1567" spans="10:14" x14ac:dyDescent="0.4">
      <c r="J1567" s="140"/>
      <c r="N1567" s="211"/>
    </row>
    <row r="1568" spans="10:14" x14ac:dyDescent="0.4">
      <c r="J1568" s="140"/>
      <c r="N1568" s="211"/>
    </row>
    <row r="1569" spans="10:14" x14ac:dyDescent="0.4">
      <c r="J1569" s="140"/>
      <c r="N1569" s="211"/>
    </row>
    <row r="1570" spans="10:14" x14ac:dyDescent="0.4">
      <c r="J1570" s="140"/>
      <c r="N1570" s="211"/>
    </row>
    <row r="1571" spans="10:14" x14ac:dyDescent="0.4">
      <c r="J1571" s="140"/>
      <c r="N1571" s="211"/>
    </row>
    <row r="1572" spans="10:14" x14ac:dyDescent="0.4">
      <c r="J1572" s="140"/>
      <c r="N1572" s="211"/>
    </row>
    <row r="1573" spans="10:14" x14ac:dyDescent="0.4">
      <c r="J1573" s="140"/>
      <c r="N1573" s="211"/>
    </row>
    <row r="1574" spans="10:14" x14ac:dyDescent="0.4">
      <c r="J1574" s="140"/>
      <c r="N1574" s="211"/>
    </row>
    <row r="1575" spans="10:14" x14ac:dyDescent="0.4">
      <c r="J1575" s="140"/>
      <c r="N1575" s="211"/>
    </row>
    <row r="1576" spans="10:14" x14ac:dyDescent="0.4">
      <c r="J1576" s="140"/>
      <c r="N1576" s="211"/>
    </row>
    <row r="1577" spans="10:14" x14ac:dyDescent="0.4">
      <c r="J1577" s="140"/>
      <c r="N1577" s="211"/>
    </row>
    <row r="1578" spans="10:14" x14ac:dyDescent="0.4">
      <c r="J1578" s="140"/>
      <c r="N1578" s="211"/>
    </row>
    <row r="1579" spans="10:14" x14ac:dyDescent="0.4">
      <c r="J1579" s="140"/>
      <c r="N1579" s="211"/>
    </row>
    <row r="1580" spans="10:14" x14ac:dyDescent="0.4">
      <c r="J1580" s="140"/>
      <c r="N1580" s="211"/>
    </row>
    <row r="1581" spans="10:14" x14ac:dyDescent="0.4">
      <c r="J1581" s="140"/>
      <c r="N1581" s="211"/>
    </row>
    <row r="1582" spans="10:14" x14ac:dyDescent="0.4">
      <c r="J1582" s="140"/>
      <c r="N1582" s="211"/>
    </row>
    <row r="1583" spans="10:14" x14ac:dyDescent="0.4">
      <c r="J1583" s="140"/>
      <c r="N1583" s="211"/>
    </row>
    <row r="1584" spans="10:14" x14ac:dyDescent="0.4">
      <c r="J1584" s="140"/>
      <c r="N1584" s="211"/>
    </row>
    <row r="1585" spans="10:14" x14ac:dyDescent="0.4">
      <c r="J1585" s="140"/>
      <c r="N1585" s="211"/>
    </row>
    <row r="1586" spans="10:14" x14ac:dyDescent="0.4">
      <c r="J1586" s="140"/>
      <c r="N1586" s="211"/>
    </row>
    <row r="1587" spans="10:14" x14ac:dyDescent="0.4">
      <c r="J1587" s="140"/>
      <c r="N1587" s="211"/>
    </row>
    <row r="1588" spans="10:14" x14ac:dyDescent="0.4">
      <c r="J1588" s="140"/>
      <c r="N1588" s="211"/>
    </row>
    <row r="1589" spans="10:14" x14ac:dyDescent="0.4">
      <c r="J1589" s="140"/>
      <c r="N1589" s="211"/>
    </row>
    <row r="1590" spans="10:14" x14ac:dyDescent="0.4">
      <c r="J1590" s="140"/>
      <c r="N1590" s="211"/>
    </row>
    <row r="1591" spans="10:14" x14ac:dyDescent="0.4">
      <c r="J1591" s="140"/>
      <c r="N1591" s="211"/>
    </row>
    <row r="1592" spans="10:14" x14ac:dyDescent="0.4">
      <c r="J1592" s="140"/>
      <c r="N1592" s="211"/>
    </row>
    <row r="1593" spans="10:14" x14ac:dyDescent="0.4">
      <c r="J1593" s="140"/>
      <c r="N1593" s="211"/>
    </row>
    <row r="1594" spans="10:14" x14ac:dyDescent="0.4">
      <c r="J1594" s="140"/>
      <c r="N1594" s="211"/>
    </row>
    <row r="1595" spans="10:14" x14ac:dyDescent="0.4">
      <c r="J1595" s="140"/>
      <c r="N1595" s="211"/>
    </row>
    <row r="1596" spans="10:14" x14ac:dyDescent="0.4">
      <c r="J1596" s="140"/>
      <c r="N1596" s="211"/>
    </row>
    <row r="1597" spans="10:14" x14ac:dyDescent="0.4">
      <c r="J1597" s="140"/>
      <c r="N1597" s="211"/>
    </row>
    <row r="1598" spans="10:14" x14ac:dyDescent="0.4">
      <c r="J1598" s="140"/>
      <c r="N1598" s="211"/>
    </row>
    <row r="1599" spans="10:14" x14ac:dyDescent="0.4">
      <c r="J1599" s="140"/>
      <c r="N1599" s="211"/>
    </row>
    <row r="1600" spans="10:14" x14ac:dyDescent="0.4">
      <c r="J1600" s="140"/>
      <c r="N1600" s="211"/>
    </row>
    <row r="1601" spans="10:14" x14ac:dyDescent="0.4">
      <c r="J1601" s="140"/>
      <c r="N1601" s="211"/>
    </row>
    <row r="1602" spans="10:14" x14ac:dyDescent="0.4">
      <c r="J1602" s="140"/>
      <c r="N1602" s="211"/>
    </row>
    <row r="1603" spans="10:14" x14ac:dyDescent="0.4">
      <c r="J1603" s="140"/>
      <c r="N1603" s="211"/>
    </row>
    <row r="1604" spans="10:14" x14ac:dyDescent="0.4">
      <c r="J1604" s="140"/>
      <c r="N1604" s="211"/>
    </row>
    <row r="1605" spans="10:14" x14ac:dyDescent="0.4">
      <c r="J1605" s="140"/>
      <c r="N1605" s="211"/>
    </row>
    <row r="1606" spans="10:14" x14ac:dyDescent="0.4">
      <c r="J1606" s="140"/>
      <c r="N1606" s="211"/>
    </row>
    <row r="1607" spans="10:14" x14ac:dyDescent="0.4">
      <c r="J1607" s="140"/>
      <c r="N1607" s="211"/>
    </row>
    <row r="1608" spans="10:14" x14ac:dyDescent="0.4">
      <c r="J1608" s="140"/>
      <c r="N1608" s="211"/>
    </row>
    <row r="1609" spans="10:14" x14ac:dyDescent="0.4">
      <c r="J1609" s="140"/>
      <c r="N1609" s="211"/>
    </row>
    <row r="1610" spans="10:14" x14ac:dyDescent="0.4">
      <c r="J1610" s="140"/>
      <c r="N1610" s="211"/>
    </row>
    <row r="1611" spans="10:14" x14ac:dyDescent="0.4">
      <c r="J1611" s="140"/>
      <c r="N1611" s="211"/>
    </row>
    <row r="1612" spans="10:14" x14ac:dyDescent="0.4">
      <c r="J1612" s="140"/>
      <c r="N1612" s="211"/>
    </row>
    <row r="1613" spans="10:14" x14ac:dyDescent="0.4">
      <c r="J1613" s="140"/>
      <c r="N1613" s="211"/>
    </row>
    <row r="1614" spans="10:14" x14ac:dyDescent="0.4">
      <c r="J1614" s="140"/>
      <c r="N1614" s="211"/>
    </row>
    <row r="1615" spans="10:14" x14ac:dyDescent="0.4">
      <c r="J1615" s="140"/>
      <c r="N1615" s="211"/>
    </row>
    <row r="1616" spans="10:14" x14ac:dyDescent="0.4">
      <c r="J1616" s="140"/>
      <c r="N1616" s="211"/>
    </row>
    <row r="1617" spans="10:14" x14ac:dyDescent="0.4">
      <c r="J1617" s="140"/>
      <c r="N1617" s="211"/>
    </row>
    <row r="1618" spans="10:14" x14ac:dyDescent="0.4">
      <c r="J1618" s="140"/>
      <c r="N1618" s="211"/>
    </row>
    <row r="1619" spans="10:14" x14ac:dyDescent="0.4">
      <c r="J1619" s="140"/>
      <c r="N1619" s="211"/>
    </row>
    <row r="1620" spans="10:14" x14ac:dyDescent="0.4">
      <c r="J1620" s="140"/>
      <c r="N1620" s="211"/>
    </row>
    <row r="1621" spans="10:14" x14ac:dyDescent="0.4">
      <c r="J1621" s="140"/>
      <c r="N1621" s="211"/>
    </row>
    <row r="1622" spans="10:14" x14ac:dyDescent="0.4">
      <c r="J1622" s="140"/>
      <c r="N1622" s="211"/>
    </row>
    <row r="1623" spans="10:14" x14ac:dyDescent="0.4">
      <c r="J1623" s="140"/>
      <c r="N1623" s="211"/>
    </row>
    <row r="1624" spans="10:14" x14ac:dyDescent="0.4">
      <c r="J1624" s="140"/>
      <c r="N1624" s="211"/>
    </row>
    <row r="1625" spans="10:14" x14ac:dyDescent="0.4">
      <c r="J1625" s="140"/>
      <c r="N1625" s="211"/>
    </row>
    <row r="1626" spans="10:14" x14ac:dyDescent="0.4">
      <c r="J1626" s="140"/>
      <c r="N1626" s="211"/>
    </row>
    <row r="1627" spans="10:14" x14ac:dyDescent="0.4">
      <c r="J1627" s="140"/>
      <c r="N1627" s="211"/>
    </row>
    <row r="1628" spans="10:14" x14ac:dyDescent="0.4">
      <c r="J1628" s="140"/>
      <c r="N1628" s="211"/>
    </row>
    <row r="1629" spans="10:14" x14ac:dyDescent="0.4">
      <c r="J1629" s="140"/>
      <c r="N1629" s="211"/>
    </row>
    <row r="1630" spans="10:14" x14ac:dyDescent="0.4">
      <c r="J1630" s="140"/>
      <c r="N1630" s="211"/>
    </row>
    <row r="1631" spans="10:14" x14ac:dyDescent="0.4">
      <c r="J1631" s="140"/>
      <c r="N1631" s="211"/>
    </row>
    <row r="1632" spans="10:14" x14ac:dyDescent="0.4">
      <c r="J1632" s="140"/>
      <c r="N1632" s="211"/>
    </row>
    <row r="1633" spans="10:14" x14ac:dyDescent="0.4">
      <c r="J1633" s="140"/>
      <c r="N1633" s="211"/>
    </row>
    <row r="1634" spans="10:14" x14ac:dyDescent="0.4">
      <c r="J1634" s="140"/>
      <c r="N1634" s="211"/>
    </row>
    <row r="1635" spans="10:14" x14ac:dyDescent="0.4">
      <c r="J1635" s="140"/>
      <c r="N1635" s="211"/>
    </row>
    <row r="1636" spans="10:14" x14ac:dyDescent="0.4">
      <c r="J1636" s="140"/>
      <c r="N1636" s="211"/>
    </row>
    <row r="1637" spans="10:14" x14ac:dyDescent="0.4">
      <c r="J1637" s="140"/>
      <c r="N1637" s="211"/>
    </row>
    <row r="1638" spans="10:14" x14ac:dyDescent="0.4">
      <c r="J1638" s="140"/>
      <c r="N1638" s="211"/>
    </row>
    <row r="1639" spans="10:14" x14ac:dyDescent="0.4">
      <c r="J1639" s="140"/>
      <c r="N1639" s="211"/>
    </row>
    <row r="1640" spans="10:14" x14ac:dyDescent="0.4">
      <c r="J1640" s="140"/>
      <c r="N1640" s="211"/>
    </row>
    <row r="1641" spans="10:14" x14ac:dyDescent="0.4">
      <c r="J1641" s="140"/>
      <c r="N1641" s="211"/>
    </row>
    <row r="1642" spans="10:14" x14ac:dyDescent="0.4">
      <c r="J1642" s="140"/>
      <c r="N1642" s="211"/>
    </row>
    <row r="1643" spans="10:14" x14ac:dyDescent="0.4">
      <c r="J1643" s="140"/>
      <c r="N1643" s="211"/>
    </row>
    <row r="1644" spans="10:14" x14ac:dyDescent="0.4">
      <c r="J1644" s="140"/>
      <c r="N1644" s="211"/>
    </row>
    <row r="1645" spans="10:14" x14ac:dyDescent="0.4">
      <c r="J1645" s="140"/>
      <c r="N1645" s="211"/>
    </row>
    <row r="1646" spans="10:14" x14ac:dyDescent="0.4">
      <c r="J1646" s="140"/>
      <c r="N1646" s="211"/>
    </row>
    <row r="1647" spans="10:14" x14ac:dyDescent="0.4">
      <c r="J1647" s="140"/>
      <c r="N1647" s="211"/>
    </row>
    <row r="1648" spans="10:14" x14ac:dyDescent="0.4">
      <c r="J1648" s="140"/>
      <c r="N1648" s="211"/>
    </row>
    <row r="1649" spans="10:14" x14ac:dyDescent="0.4">
      <c r="J1649" s="140"/>
      <c r="N1649" s="211"/>
    </row>
    <row r="1650" spans="10:14" x14ac:dyDescent="0.4">
      <c r="J1650" s="140"/>
      <c r="N1650" s="211"/>
    </row>
    <row r="1651" spans="10:14" x14ac:dyDescent="0.4">
      <c r="J1651" s="140"/>
      <c r="N1651" s="211"/>
    </row>
    <row r="1652" spans="10:14" x14ac:dyDescent="0.4">
      <c r="J1652" s="140"/>
      <c r="N1652" s="211"/>
    </row>
    <row r="1653" spans="10:14" x14ac:dyDescent="0.4">
      <c r="J1653" s="140"/>
      <c r="N1653" s="211"/>
    </row>
    <row r="1654" spans="10:14" x14ac:dyDescent="0.4">
      <c r="J1654" s="140"/>
      <c r="N1654" s="211"/>
    </row>
    <row r="1655" spans="10:14" x14ac:dyDescent="0.4">
      <c r="J1655" s="140"/>
      <c r="N1655" s="211"/>
    </row>
    <row r="1656" spans="10:14" x14ac:dyDescent="0.4">
      <c r="J1656" s="140"/>
      <c r="N1656" s="211"/>
    </row>
    <row r="1657" spans="10:14" x14ac:dyDescent="0.4">
      <c r="J1657" s="140"/>
      <c r="N1657" s="211"/>
    </row>
    <row r="1658" spans="10:14" x14ac:dyDescent="0.4">
      <c r="J1658" s="140"/>
      <c r="N1658" s="211"/>
    </row>
    <row r="1659" spans="10:14" x14ac:dyDescent="0.4">
      <c r="J1659" s="140"/>
      <c r="N1659" s="211"/>
    </row>
    <row r="1660" spans="10:14" x14ac:dyDescent="0.4">
      <c r="J1660" s="140"/>
      <c r="N1660" s="211"/>
    </row>
    <row r="1661" spans="10:14" x14ac:dyDescent="0.4">
      <c r="J1661" s="140"/>
      <c r="N1661" s="211"/>
    </row>
    <row r="1662" spans="10:14" x14ac:dyDescent="0.4">
      <c r="J1662" s="140"/>
      <c r="N1662" s="211"/>
    </row>
    <row r="1663" spans="10:14" x14ac:dyDescent="0.4">
      <c r="J1663" s="140"/>
      <c r="N1663" s="211"/>
    </row>
    <row r="1664" spans="10:14" x14ac:dyDescent="0.4">
      <c r="J1664" s="140"/>
      <c r="N1664" s="211"/>
    </row>
    <row r="1665" spans="10:14" x14ac:dyDescent="0.4">
      <c r="J1665" s="140"/>
      <c r="N1665" s="211"/>
    </row>
    <row r="1666" spans="10:14" x14ac:dyDescent="0.4">
      <c r="J1666" s="140"/>
      <c r="N1666" s="211"/>
    </row>
    <row r="1667" spans="10:14" x14ac:dyDescent="0.4">
      <c r="J1667" s="140"/>
      <c r="N1667" s="211"/>
    </row>
    <row r="1668" spans="10:14" x14ac:dyDescent="0.4">
      <c r="J1668" s="140"/>
      <c r="N1668" s="211"/>
    </row>
    <row r="1669" spans="10:14" x14ac:dyDescent="0.4">
      <c r="J1669" s="140"/>
      <c r="N1669" s="211"/>
    </row>
    <row r="1670" spans="10:14" x14ac:dyDescent="0.4">
      <c r="J1670" s="140"/>
      <c r="N1670" s="211"/>
    </row>
    <row r="1671" spans="10:14" x14ac:dyDescent="0.4">
      <c r="J1671" s="140"/>
      <c r="N1671" s="211"/>
    </row>
    <row r="1672" spans="10:14" x14ac:dyDescent="0.4">
      <c r="J1672" s="140"/>
      <c r="N1672" s="211"/>
    </row>
    <row r="1673" spans="10:14" x14ac:dyDescent="0.4">
      <c r="J1673" s="140"/>
      <c r="N1673" s="211"/>
    </row>
    <row r="1674" spans="10:14" x14ac:dyDescent="0.4">
      <c r="J1674" s="140"/>
      <c r="N1674" s="211"/>
    </row>
    <row r="1675" spans="10:14" x14ac:dyDescent="0.4">
      <c r="J1675" s="140"/>
      <c r="N1675" s="211"/>
    </row>
    <row r="1676" spans="10:14" x14ac:dyDescent="0.4">
      <c r="J1676" s="140"/>
      <c r="N1676" s="211"/>
    </row>
    <row r="1677" spans="10:14" x14ac:dyDescent="0.4">
      <c r="J1677" s="140"/>
      <c r="N1677" s="211"/>
    </row>
    <row r="1678" spans="10:14" x14ac:dyDescent="0.4">
      <c r="J1678" s="140"/>
      <c r="N1678" s="211"/>
    </row>
    <row r="1679" spans="10:14" x14ac:dyDescent="0.4">
      <c r="J1679" s="140"/>
      <c r="N1679" s="211"/>
    </row>
    <row r="1680" spans="10:14" x14ac:dyDescent="0.4">
      <c r="J1680" s="140"/>
      <c r="N1680" s="211"/>
    </row>
    <row r="1681" spans="10:14" x14ac:dyDescent="0.4">
      <c r="J1681" s="140"/>
      <c r="N1681" s="211"/>
    </row>
    <row r="1682" spans="10:14" x14ac:dyDescent="0.4">
      <c r="J1682" s="140"/>
      <c r="N1682" s="211"/>
    </row>
    <row r="1683" spans="10:14" x14ac:dyDescent="0.4">
      <c r="J1683" s="140"/>
      <c r="N1683" s="211"/>
    </row>
    <row r="1684" spans="10:14" x14ac:dyDescent="0.4">
      <c r="J1684" s="140"/>
      <c r="N1684" s="211"/>
    </row>
    <row r="1685" spans="10:14" x14ac:dyDescent="0.4">
      <c r="J1685" s="140"/>
      <c r="N1685" s="211"/>
    </row>
    <row r="1686" spans="10:14" x14ac:dyDescent="0.4">
      <c r="J1686" s="140"/>
      <c r="N1686" s="211"/>
    </row>
    <row r="1687" spans="10:14" x14ac:dyDescent="0.4">
      <c r="J1687" s="140"/>
      <c r="N1687" s="211"/>
    </row>
    <row r="1688" spans="10:14" x14ac:dyDescent="0.4">
      <c r="J1688" s="140"/>
      <c r="N1688" s="211"/>
    </row>
    <row r="1689" spans="10:14" x14ac:dyDescent="0.4">
      <c r="J1689" s="140"/>
      <c r="N1689" s="211"/>
    </row>
    <row r="1690" spans="10:14" x14ac:dyDescent="0.4">
      <c r="J1690" s="140"/>
      <c r="N1690" s="211"/>
    </row>
    <row r="1691" spans="10:14" x14ac:dyDescent="0.4">
      <c r="J1691" s="140"/>
      <c r="N1691" s="211"/>
    </row>
    <row r="1692" spans="10:14" x14ac:dyDescent="0.4">
      <c r="J1692" s="140"/>
      <c r="N1692" s="211"/>
    </row>
    <row r="1693" spans="10:14" x14ac:dyDescent="0.4">
      <c r="J1693" s="140"/>
      <c r="N1693" s="211"/>
    </row>
    <row r="1694" spans="10:14" x14ac:dyDescent="0.4">
      <c r="J1694" s="140"/>
      <c r="N1694" s="211"/>
    </row>
    <row r="1695" spans="10:14" x14ac:dyDescent="0.4">
      <c r="J1695" s="140"/>
      <c r="N1695" s="211"/>
    </row>
    <row r="1696" spans="10:14" x14ac:dyDescent="0.4">
      <c r="J1696" s="140"/>
      <c r="N1696" s="211"/>
    </row>
    <row r="1697" spans="10:14" x14ac:dyDescent="0.4">
      <c r="J1697" s="140"/>
      <c r="N1697" s="211"/>
    </row>
    <row r="1698" spans="10:14" x14ac:dyDescent="0.4">
      <c r="J1698" s="140"/>
      <c r="N1698" s="211"/>
    </row>
    <row r="1699" spans="10:14" x14ac:dyDescent="0.4">
      <c r="J1699" s="140"/>
      <c r="N1699" s="211"/>
    </row>
    <row r="1700" spans="10:14" x14ac:dyDescent="0.4">
      <c r="J1700" s="140"/>
      <c r="N1700" s="211"/>
    </row>
    <row r="1701" spans="10:14" x14ac:dyDescent="0.4">
      <c r="J1701" s="140"/>
      <c r="N1701" s="211"/>
    </row>
    <row r="1702" spans="10:14" x14ac:dyDescent="0.4">
      <c r="J1702" s="140"/>
      <c r="N1702" s="211"/>
    </row>
    <row r="1703" spans="10:14" x14ac:dyDescent="0.4">
      <c r="J1703" s="140"/>
      <c r="N1703" s="211"/>
    </row>
    <row r="1704" spans="10:14" x14ac:dyDescent="0.4">
      <c r="J1704" s="140"/>
      <c r="N1704" s="211"/>
    </row>
    <row r="1705" spans="10:14" x14ac:dyDescent="0.4">
      <c r="J1705" s="140"/>
      <c r="N1705" s="211"/>
    </row>
    <row r="1706" spans="10:14" x14ac:dyDescent="0.4">
      <c r="J1706" s="140"/>
      <c r="N1706" s="211"/>
    </row>
    <row r="1707" spans="10:14" x14ac:dyDescent="0.4">
      <c r="J1707" s="140"/>
      <c r="N1707" s="211"/>
    </row>
    <row r="1708" spans="10:14" x14ac:dyDescent="0.4">
      <c r="J1708" s="140"/>
      <c r="N1708" s="211"/>
    </row>
    <row r="1709" spans="10:14" x14ac:dyDescent="0.4">
      <c r="J1709" s="140"/>
      <c r="N1709" s="211"/>
    </row>
    <row r="1710" spans="10:14" x14ac:dyDescent="0.4">
      <c r="J1710" s="140"/>
      <c r="N1710" s="211"/>
    </row>
    <row r="1711" spans="10:14" x14ac:dyDescent="0.4">
      <c r="J1711" s="140"/>
      <c r="N1711" s="211"/>
    </row>
    <row r="1712" spans="10:14" x14ac:dyDescent="0.4">
      <c r="J1712" s="140"/>
      <c r="N1712" s="211"/>
    </row>
    <row r="1713" spans="10:14" x14ac:dyDescent="0.4">
      <c r="J1713" s="140"/>
      <c r="N1713" s="211"/>
    </row>
    <row r="1714" spans="10:14" x14ac:dyDescent="0.4">
      <c r="J1714" s="140"/>
      <c r="N1714" s="211"/>
    </row>
    <row r="1715" spans="10:14" x14ac:dyDescent="0.4">
      <c r="J1715" s="140"/>
      <c r="N1715" s="211"/>
    </row>
    <row r="1716" spans="10:14" x14ac:dyDescent="0.4">
      <c r="J1716" s="140"/>
      <c r="N1716" s="211"/>
    </row>
    <row r="1717" spans="10:14" x14ac:dyDescent="0.4">
      <c r="J1717" s="140"/>
      <c r="N1717" s="211"/>
    </row>
    <row r="1718" spans="10:14" x14ac:dyDescent="0.4">
      <c r="J1718" s="140"/>
      <c r="N1718" s="211"/>
    </row>
    <row r="1719" spans="10:14" x14ac:dyDescent="0.4">
      <c r="J1719" s="140"/>
      <c r="N1719" s="211"/>
    </row>
    <row r="1720" spans="10:14" x14ac:dyDescent="0.4">
      <c r="J1720" s="140"/>
      <c r="N1720" s="211"/>
    </row>
    <row r="1721" spans="10:14" x14ac:dyDescent="0.4">
      <c r="J1721" s="140"/>
      <c r="N1721" s="211"/>
    </row>
    <row r="1722" spans="10:14" x14ac:dyDescent="0.4">
      <c r="J1722" s="140"/>
      <c r="N1722" s="211"/>
    </row>
    <row r="1723" spans="10:14" x14ac:dyDescent="0.4">
      <c r="J1723" s="140"/>
      <c r="N1723" s="211"/>
    </row>
    <row r="1724" spans="10:14" x14ac:dyDescent="0.4">
      <c r="J1724" s="140"/>
      <c r="N1724" s="211"/>
    </row>
    <row r="1725" spans="10:14" x14ac:dyDescent="0.4">
      <c r="J1725" s="140"/>
      <c r="N1725" s="211"/>
    </row>
    <row r="1726" spans="10:14" x14ac:dyDescent="0.4">
      <c r="J1726" s="140"/>
      <c r="N1726" s="211"/>
    </row>
    <row r="1727" spans="10:14" x14ac:dyDescent="0.4">
      <c r="J1727" s="140"/>
      <c r="N1727" s="211"/>
    </row>
    <row r="1728" spans="10:14" x14ac:dyDescent="0.4">
      <c r="J1728" s="140"/>
      <c r="N1728" s="211"/>
    </row>
    <row r="1729" spans="10:14" x14ac:dyDescent="0.4">
      <c r="J1729" s="140"/>
      <c r="N1729" s="211"/>
    </row>
    <row r="1730" spans="10:14" x14ac:dyDescent="0.4">
      <c r="J1730" s="140"/>
      <c r="N1730" s="211"/>
    </row>
    <row r="1731" spans="10:14" x14ac:dyDescent="0.4">
      <c r="J1731" s="140"/>
      <c r="N1731" s="211"/>
    </row>
    <row r="1732" spans="10:14" x14ac:dyDescent="0.4">
      <c r="J1732" s="140"/>
      <c r="N1732" s="211"/>
    </row>
    <row r="1733" spans="10:14" x14ac:dyDescent="0.4">
      <c r="J1733" s="140"/>
      <c r="N1733" s="211"/>
    </row>
    <row r="1734" spans="10:14" x14ac:dyDescent="0.4">
      <c r="J1734" s="140"/>
      <c r="N1734" s="211"/>
    </row>
    <row r="1735" spans="10:14" x14ac:dyDescent="0.4">
      <c r="J1735" s="140"/>
      <c r="N1735" s="211"/>
    </row>
    <row r="1736" spans="10:14" x14ac:dyDescent="0.4">
      <c r="J1736" s="140"/>
      <c r="N1736" s="211"/>
    </row>
    <row r="1737" spans="10:14" x14ac:dyDescent="0.4">
      <c r="J1737" s="140"/>
      <c r="N1737" s="211"/>
    </row>
    <row r="1738" spans="10:14" x14ac:dyDescent="0.4">
      <c r="J1738" s="140"/>
      <c r="N1738" s="211"/>
    </row>
    <row r="1739" spans="10:14" x14ac:dyDescent="0.4">
      <c r="J1739" s="140"/>
      <c r="N1739" s="211"/>
    </row>
    <row r="1740" spans="10:14" x14ac:dyDescent="0.4">
      <c r="J1740" s="140"/>
      <c r="N1740" s="211"/>
    </row>
    <row r="1741" spans="10:14" x14ac:dyDescent="0.4">
      <c r="J1741" s="140"/>
      <c r="N1741" s="211"/>
    </row>
    <row r="1742" spans="10:14" x14ac:dyDescent="0.4">
      <c r="J1742" s="140"/>
      <c r="N1742" s="211"/>
    </row>
    <row r="1743" spans="10:14" x14ac:dyDescent="0.4">
      <c r="J1743" s="140"/>
      <c r="N1743" s="211"/>
    </row>
    <row r="1744" spans="10:14" x14ac:dyDescent="0.4">
      <c r="J1744" s="140"/>
      <c r="N1744" s="211"/>
    </row>
    <row r="1745" spans="10:14" x14ac:dyDescent="0.4">
      <c r="J1745" s="140"/>
      <c r="N1745" s="211"/>
    </row>
    <row r="1746" spans="10:14" x14ac:dyDescent="0.4">
      <c r="J1746" s="140"/>
      <c r="N1746" s="211"/>
    </row>
    <row r="1747" spans="10:14" x14ac:dyDescent="0.4">
      <c r="J1747" s="140"/>
      <c r="N1747" s="211"/>
    </row>
    <row r="1748" spans="10:14" x14ac:dyDescent="0.4">
      <c r="J1748" s="140"/>
      <c r="N1748" s="211"/>
    </row>
    <row r="1749" spans="10:14" x14ac:dyDescent="0.4">
      <c r="J1749" s="140"/>
      <c r="N1749" s="211"/>
    </row>
    <row r="1750" spans="10:14" x14ac:dyDescent="0.4">
      <c r="J1750" s="140"/>
      <c r="N1750" s="211"/>
    </row>
    <row r="1751" spans="10:14" x14ac:dyDescent="0.4">
      <c r="J1751" s="140"/>
      <c r="N1751" s="211"/>
    </row>
    <row r="1752" spans="10:14" x14ac:dyDescent="0.4">
      <c r="J1752" s="140"/>
      <c r="N1752" s="211"/>
    </row>
    <row r="1753" spans="10:14" x14ac:dyDescent="0.4">
      <c r="J1753" s="140"/>
      <c r="N1753" s="211"/>
    </row>
    <row r="1754" spans="10:14" x14ac:dyDescent="0.4">
      <c r="J1754" s="140"/>
      <c r="N1754" s="211"/>
    </row>
    <row r="1755" spans="10:14" x14ac:dyDescent="0.4">
      <c r="J1755" s="140"/>
      <c r="N1755" s="211"/>
    </row>
    <row r="1756" spans="10:14" x14ac:dyDescent="0.4">
      <c r="J1756" s="140"/>
      <c r="N1756" s="211"/>
    </row>
    <row r="1757" spans="10:14" x14ac:dyDescent="0.4">
      <c r="J1757" s="140"/>
      <c r="N1757" s="211"/>
    </row>
    <row r="1758" spans="10:14" x14ac:dyDescent="0.4">
      <c r="J1758" s="140"/>
      <c r="N1758" s="211"/>
    </row>
    <row r="1759" spans="10:14" x14ac:dyDescent="0.4">
      <c r="J1759" s="140"/>
      <c r="N1759" s="211"/>
    </row>
    <row r="1760" spans="10:14" x14ac:dyDescent="0.4">
      <c r="J1760" s="140"/>
      <c r="N1760" s="211"/>
    </row>
    <row r="1761" spans="10:14" x14ac:dyDescent="0.4">
      <c r="J1761" s="140"/>
      <c r="N1761" s="211"/>
    </row>
    <row r="1762" spans="10:14" x14ac:dyDescent="0.4">
      <c r="J1762" s="140"/>
      <c r="N1762" s="211"/>
    </row>
    <row r="1763" spans="10:14" x14ac:dyDescent="0.4">
      <c r="J1763" s="140"/>
      <c r="N1763" s="211"/>
    </row>
    <row r="1764" spans="10:14" x14ac:dyDescent="0.4">
      <c r="J1764" s="140"/>
      <c r="N1764" s="211"/>
    </row>
    <row r="1765" spans="10:14" x14ac:dyDescent="0.4">
      <c r="J1765" s="140"/>
      <c r="N1765" s="211"/>
    </row>
    <row r="1766" spans="10:14" x14ac:dyDescent="0.4">
      <c r="J1766" s="140"/>
      <c r="N1766" s="211"/>
    </row>
    <row r="1767" spans="10:14" x14ac:dyDescent="0.4">
      <c r="J1767" s="140"/>
      <c r="N1767" s="211"/>
    </row>
    <row r="1768" spans="10:14" x14ac:dyDescent="0.4">
      <c r="J1768" s="140"/>
      <c r="N1768" s="211"/>
    </row>
    <row r="1769" spans="10:14" x14ac:dyDescent="0.4">
      <c r="J1769" s="140"/>
      <c r="N1769" s="211"/>
    </row>
    <row r="1770" spans="10:14" x14ac:dyDescent="0.4">
      <c r="J1770" s="140"/>
      <c r="N1770" s="211"/>
    </row>
    <row r="1771" spans="10:14" x14ac:dyDescent="0.4">
      <c r="J1771" s="140"/>
      <c r="N1771" s="211"/>
    </row>
    <row r="1772" spans="10:14" x14ac:dyDescent="0.4">
      <c r="J1772" s="140"/>
      <c r="N1772" s="211"/>
    </row>
    <row r="1773" spans="10:14" x14ac:dyDescent="0.4">
      <c r="J1773" s="140"/>
      <c r="N1773" s="211"/>
    </row>
    <row r="1774" spans="10:14" x14ac:dyDescent="0.4">
      <c r="J1774" s="140"/>
      <c r="N1774" s="211"/>
    </row>
    <row r="1775" spans="10:14" x14ac:dyDescent="0.4">
      <c r="J1775" s="140"/>
      <c r="N1775" s="211"/>
    </row>
    <row r="1776" spans="10:14" x14ac:dyDescent="0.4">
      <c r="J1776" s="140"/>
      <c r="N1776" s="211"/>
    </row>
    <row r="1777" spans="10:14" x14ac:dyDescent="0.4">
      <c r="J1777" s="140"/>
      <c r="N1777" s="211"/>
    </row>
    <row r="1778" spans="10:14" x14ac:dyDescent="0.4">
      <c r="J1778" s="140"/>
      <c r="N1778" s="211"/>
    </row>
    <row r="1779" spans="10:14" x14ac:dyDescent="0.4">
      <c r="J1779" s="140"/>
      <c r="N1779" s="211"/>
    </row>
    <row r="1780" spans="10:14" x14ac:dyDescent="0.4">
      <c r="J1780" s="140"/>
      <c r="N1780" s="211"/>
    </row>
    <row r="1781" spans="10:14" x14ac:dyDescent="0.4">
      <c r="J1781" s="140"/>
      <c r="N1781" s="211"/>
    </row>
    <row r="1782" spans="10:14" x14ac:dyDescent="0.4">
      <c r="J1782" s="140"/>
      <c r="N1782" s="211"/>
    </row>
    <row r="1783" spans="10:14" x14ac:dyDescent="0.4">
      <c r="J1783" s="140"/>
      <c r="N1783" s="211"/>
    </row>
    <row r="1784" spans="10:14" x14ac:dyDescent="0.4">
      <c r="J1784" s="140"/>
      <c r="N1784" s="211"/>
    </row>
    <row r="1785" spans="10:14" x14ac:dyDescent="0.4">
      <c r="J1785" s="140"/>
      <c r="N1785" s="211"/>
    </row>
    <row r="1786" spans="10:14" x14ac:dyDescent="0.4">
      <c r="J1786" s="140"/>
      <c r="N1786" s="211"/>
    </row>
    <row r="1787" spans="10:14" x14ac:dyDescent="0.4">
      <c r="J1787" s="140"/>
      <c r="N1787" s="211"/>
    </row>
    <row r="1788" spans="10:14" x14ac:dyDescent="0.4">
      <c r="J1788" s="140"/>
      <c r="N1788" s="211"/>
    </row>
    <row r="1789" spans="10:14" x14ac:dyDescent="0.4">
      <c r="J1789" s="140"/>
      <c r="N1789" s="211"/>
    </row>
    <row r="1790" spans="10:14" x14ac:dyDescent="0.4">
      <c r="J1790" s="140"/>
      <c r="N1790" s="211"/>
    </row>
    <row r="1791" spans="10:14" x14ac:dyDescent="0.4">
      <c r="J1791" s="140"/>
      <c r="N1791" s="211"/>
    </row>
    <row r="1792" spans="10:14" x14ac:dyDescent="0.4">
      <c r="J1792" s="140"/>
      <c r="N1792" s="211"/>
    </row>
    <row r="1793" spans="10:14" x14ac:dyDescent="0.4">
      <c r="J1793" s="140"/>
      <c r="N1793" s="211"/>
    </row>
    <row r="1794" spans="10:14" x14ac:dyDescent="0.4">
      <c r="J1794" s="140"/>
      <c r="N1794" s="211"/>
    </row>
    <row r="1795" spans="10:14" x14ac:dyDescent="0.4">
      <c r="J1795" s="140"/>
      <c r="N1795" s="211"/>
    </row>
    <row r="1796" spans="10:14" x14ac:dyDescent="0.4">
      <c r="J1796" s="140"/>
      <c r="N1796" s="211"/>
    </row>
    <row r="1797" spans="10:14" x14ac:dyDescent="0.4">
      <c r="J1797" s="140"/>
      <c r="N1797" s="211"/>
    </row>
    <row r="1798" spans="10:14" x14ac:dyDescent="0.4">
      <c r="J1798" s="140"/>
      <c r="N1798" s="211"/>
    </row>
    <row r="1799" spans="10:14" x14ac:dyDescent="0.4">
      <c r="J1799" s="140"/>
      <c r="N1799" s="211"/>
    </row>
    <row r="1800" spans="10:14" x14ac:dyDescent="0.4">
      <c r="J1800" s="140"/>
      <c r="N1800" s="211"/>
    </row>
    <row r="1801" spans="10:14" x14ac:dyDescent="0.4">
      <c r="J1801" s="140"/>
      <c r="N1801" s="211"/>
    </row>
    <row r="1802" spans="10:14" x14ac:dyDescent="0.4">
      <c r="J1802" s="140"/>
      <c r="N1802" s="211"/>
    </row>
    <row r="1803" spans="10:14" x14ac:dyDescent="0.4">
      <c r="J1803" s="140"/>
      <c r="N1803" s="211"/>
    </row>
    <row r="1804" spans="10:14" x14ac:dyDescent="0.4">
      <c r="J1804" s="140"/>
      <c r="N1804" s="211"/>
    </row>
    <row r="1805" spans="10:14" x14ac:dyDescent="0.4">
      <c r="J1805" s="140"/>
      <c r="N1805" s="211"/>
    </row>
    <row r="1806" spans="10:14" x14ac:dyDescent="0.4">
      <c r="J1806" s="140"/>
      <c r="N1806" s="211"/>
    </row>
    <row r="1807" spans="10:14" x14ac:dyDescent="0.4">
      <c r="J1807" s="140"/>
      <c r="N1807" s="211"/>
    </row>
    <row r="1808" spans="10:14" x14ac:dyDescent="0.4">
      <c r="J1808" s="140"/>
      <c r="N1808" s="211"/>
    </row>
    <row r="1809" spans="10:14" x14ac:dyDescent="0.4">
      <c r="J1809" s="140"/>
      <c r="N1809" s="211"/>
    </row>
    <row r="1810" spans="10:14" x14ac:dyDescent="0.4">
      <c r="J1810" s="140"/>
      <c r="N1810" s="211"/>
    </row>
    <row r="1811" spans="10:14" x14ac:dyDescent="0.4">
      <c r="J1811" s="140"/>
      <c r="N1811" s="211"/>
    </row>
    <row r="1812" spans="10:14" x14ac:dyDescent="0.4">
      <c r="J1812" s="140"/>
      <c r="N1812" s="211"/>
    </row>
    <row r="1813" spans="10:14" x14ac:dyDescent="0.4">
      <c r="J1813" s="140"/>
      <c r="N1813" s="211"/>
    </row>
    <row r="1814" spans="10:14" x14ac:dyDescent="0.4">
      <c r="J1814" s="140"/>
      <c r="N1814" s="211"/>
    </row>
    <row r="1815" spans="10:14" x14ac:dyDescent="0.4">
      <c r="J1815" s="140"/>
      <c r="N1815" s="211"/>
    </row>
    <row r="1816" spans="10:14" x14ac:dyDescent="0.4">
      <c r="J1816" s="140"/>
      <c r="N1816" s="211"/>
    </row>
    <row r="1817" spans="10:14" x14ac:dyDescent="0.4">
      <c r="J1817" s="140"/>
      <c r="N1817" s="211"/>
    </row>
    <row r="1818" spans="10:14" x14ac:dyDescent="0.4">
      <c r="J1818" s="140"/>
      <c r="N1818" s="211"/>
    </row>
    <row r="1819" spans="10:14" x14ac:dyDescent="0.4">
      <c r="J1819" s="140"/>
      <c r="N1819" s="211"/>
    </row>
    <row r="1820" spans="10:14" x14ac:dyDescent="0.4">
      <c r="J1820" s="140"/>
      <c r="N1820" s="211"/>
    </row>
    <row r="1821" spans="10:14" x14ac:dyDescent="0.4">
      <c r="J1821" s="140"/>
      <c r="N1821" s="211"/>
    </row>
    <row r="1822" spans="10:14" x14ac:dyDescent="0.4">
      <c r="J1822" s="140"/>
      <c r="N1822" s="211"/>
    </row>
    <row r="1823" spans="10:14" x14ac:dyDescent="0.4">
      <c r="J1823" s="140"/>
      <c r="N1823" s="211"/>
    </row>
    <row r="1824" spans="10:14" x14ac:dyDescent="0.4">
      <c r="J1824" s="140"/>
      <c r="N1824" s="211"/>
    </row>
    <row r="1825" spans="10:14" x14ac:dyDescent="0.4">
      <c r="J1825" s="140"/>
      <c r="N1825" s="211"/>
    </row>
    <row r="1826" spans="10:14" x14ac:dyDescent="0.4">
      <c r="J1826" s="140"/>
      <c r="N1826" s="211"/>
    </row>
    <row r="1827" spans="10:14" x14ac:dyDescent="0.4">
      <c r="J1827" s="140"/>
      <c r="N1827" s="211"/>
    </row>
    <row r="1828" spans="10:14" x14ac:dyDescent="0.4">
      <c r="J1828" s="140"/>
      <c r="N1828" s="211"/>
    </row>
    <row r="1829" spans="10:14" x14ac:dyDescent="0.4">
      <c r="J1829" s="140"/>
      <c r="N1829" s="211"/>
    </row>
    <row r="1830" spans="10:14" x14ac:dyDescent="0.4">
      <c r="J1830" s="140"/>
      <c r="N1830" s="211"/>
    </row>
    <row r="1831" spans="10:14" x14ac:dyDescent="0.4">
      <c r="J1831" s="140"/>
      <c r="N1831" s="211"/>
    </row>
    <row r="1832" spans="10:14" x14ac:dyDescent="0.4">
      <c r="J1832" s="140"/>
      <c r="N1832" s="211"/>
    </row>
    <row r="1833" spans="10:14" x14ac:dyDescent="0.4">
      <c r="J1833" s="140"/>
      <c r="N1833" s="211"/>
    </row>
    <row r="1834" spans="10:14" x14ac:dyDescent="0.4">
      <c r="J1834" s="140"/>
      <c r="N1834" s="211"/>
    </row>
    <row r="1835" spans="10:14" x14ac:dyDescent="0.4">
      <c r="J1835" s="140"/>
      <c r="N1835" s="211"/>
    </row>
    <row r="1836" spans="10:14" x14ac:dyDescent="0.4">
      <c r="J1836" s="140"/>
      <c r="N1836" s="211"/>
    </row>
    <row r="1837" spans="10:14" x14ac:dyDescent="0.4">
      <c r="J1837" s="140"/>
      <c r="N1837" s="211"/>
    </row>
    <row r="1838" spans="10:14" x14ac:dyDescent="0.4">
      <c r="J1838" s="140"/>
      <c r="N1838" s="211"/>
    </row>
    <row r="1839" spans="10:14" x14ac:dyDescent="0.4">
      <c r="J1839" s="140"/>
      <c r="N1839" s="211"/>
    </row>
    <row r="1840" spans="10:14" x14ac:dyDescent="0.4">
      <c r="J1840" s="140"/>
      <c r="N1840" s="211"/>
    </row>
    <row r="1841" spans="10:14" x14ac:dyDescent="0.4">
      <c r="J1841" s="140"/>
      <c r="N1841" s="211"/>
    </row>
    <row r="1842" spans="10:14" x14ac:dyDescent="0.4">
      <c r="J1842" s="140"/>
      <c r="N1842" s="211"/>
    </row>
    <row r="1843" spans="10:14" x14ac:dyDescent="0.4">
      <c r="J1843" s="140"/>
      <c r="N1843" s="211"/>
    </row>
    <row r="1844" spans="10:14" x14ac:dyDescent="0.4">
      <c r="J1844" s="140"/>
      <c r="N1844" s="211"/>
    </row>
    <row r="1845" spans="10:14" x14ac:dyDescent="0.4">
      <c r="J1845" s="140"/>
      <c r="N1845" s="211"/>
    </row>
    <row r="1846" spans="10:14" x14ac:dyDescent="0.4">
      <c r="J1846" s="140"/>
      <c r="N1846" s="211"/>
    </row>
    <row r="1847" spans="10:14" x14ac:dyDescent="0.4">
      <c r="J1847" s="140"/>
      <c r="N1847" s="211"/>
    </row>
    <row r="1848" spans="10:14" x14ac:dyDescent="0.4">
      <c r="J1848" s="140"/>
      <c r="N1848" s="211"/>
    </row>
    <row r="1849" spans="10:14" x14ac:dyDescent="0.4">
      <c r="J1849" s="140"/>
      <c r="N1849" s="211"/>
    </row>
    <row r="1850" spans="10:14" x14ac:dyDescent="0.4">
      <c r="J1850" s="140"/>
      <c r="N1850" s="211"/>
    </row>
    <row r="1851" spans="10:14" x14ac:dyDescent="0.4">
      <c r="J1851" s="140"/>
      <c r="N1851" s="211"/>
    </row>
    <row r="1852" spans="10:14" x14ac:dyDescent="0.4">
      <c r="J1852" s="140"/>
      <c r="N1852" s="211"/>
    </row>
    <row r="1853" spans="10:14" x14ac:dyDescent="0.4">
      <c r="J1853" s="140"/>
      <c r="N1853" s="211"/>
    </row>
    <row r="1854" spans="10:14" x14ac:dyDescent="0.4">
      <c r="J1854" s="140"/>
      <c r="N1854" s="211"/>
    </row>
    <row r="1855" spans="10:14" x14ac:dyDescent="0.4">
      <c r="J1855" s="140"/>
      <c r="N1855" s="211"/>
    </row>
    <row r="1856" spans="10:14" x14ac:dyDescent="0.4">
      <c r="J1856" s="140"/>
      <c r="N1856" s="211"/>
    </row>
    <row r="1857" spans="10:14" x14ac:dyDescent="0.4">
      <c r="J1857" s="140"/>
      <c r="N1857" s="211"/>
    </row>
    <row r="1858" spans="10:14" x14ac:dyDescent="0.4">
      <c r="J1858" s="140"/>
      <c r="N1858" s="211"/>
    </row>
    <row r="1859" spans="10:14" x14ac:dyDescent="0.4">
      <c r="J1859" s="140"/>
      <c r="N1859" s="211"/>
    </row>
    <row r="1860" spans="10:14" x14ac:dyDescent="0.4">
      <c r="J1860" s="140"/>
      <c r="N1860" s="211"/>
    </row>
    <row r="1861" spans="10:14" x14ac:dyDescent="0.4">
      <c r="J1861" s="140"/>
      <c r="N1861" s="211"/>
    </row>
    <row r="1862" spans="10:14" x14ac:dyDescent="0.4">
      <c r="J1862" s="140"/>
      <c r="N1862" s="211"/>
    </row>
    <row r="1863" spans="10:14" x14ac:dyDescent="0.4">
      <c r="J1863" s="140"/>
      <c r="N1863" s="211"/>
    </row>
    <row r="1864" spans="10:14" x14ac:dyDescent="0.4">
      <c r="J1864" s="140"/>
      <c r="N1864" s="211"/>
    </row>
    <row r="1865" spans="10:14" x14ac:dyDescent="0.4">
      <c r="J1865" s="140"/>
      <c r="N1865" s="211"/>
    </row>
    <row r="1866" spans="10:14" x14ac:dyDescent="0.4">
      <c r="J1866" s="140"/>
      <c r="N1866" s="211"/>
    </row>
    <row r="1867" spans="10:14" x14ac:dyDescent="0.4">
      <c r="J1867" s="140"/>
      <c r="N1867" s="211"/>
    </row>
    <row r="1868" spans="10:14" x14ac:dyDescent="0.4">
      <c r="J1868" s="140"/>
      <c r="N1868" s="211"/>
    </row>
    <row r="1869" spans="10:14" x14ac:dyDescent="0.4">
      <c r="J1869" s="140"/>
      <c r="N1869" s="211"/>
    </row>
    <row r="1870" spans="10:14" x14ac:dyDescent="0.4">
      <c r="J1870" s="140"/>
      <c r="N1870" s="211"/>
    </row>
    <row r="1871" spans="10:14" x14ac:dyDescent="0.4">
      <c r="J1871" s="140"/>
      <c r="N1871" s="211"/>
    </row>
    <row r="1872" spans="10:14" x14ac:dyDescent="0.4">
      <c r="J1872" s="140"/>
      <c r="N1872" s="211"/>
    </row>
    <row r="1873" spans="10:14" x14ac:dyDescent="0.4">
      <c r="J1873" s="140"/>
      <c r="N1873" s="211"/>
    </row>
    <row r="1874" spans="10:14" x14ac:dyDescent="0.4">
      <c r="J1874" s="140"/>
      <c r="N1874" s="211"/>
    </row>
    <row r="1875" spans="10:14" x14ac:dyDescent="0.4">
      <c r="J1875" s="140"/>
      <c r="N1875" s="211"/>
    </row>
    <row r="1876" spans="10:14" x14ac:dyDescent="0.4">
      <c r="J1876" s="140"/>
      <c r="N1876" s="211"/>
    </row>
    <row r="1877" spans="10:14" x14ac:dyDescent="0.4">
      <c r="J1877" s="140"/>
      <c r="N1877" s="211"/>
    </row>
    <row r="1878" spans="10:14" x14ac:dyDescent="0.4">
      <c r="J1878" s="140"/>
      <c r="N1878" s="211"/>
    </row>
    <row r="1879" spans="10:14" x14ac:dyDescent="0.4">
      <c r="J1879" s="140"/>
      <c r="N1879" s="211"/>
    </row>
    <row r="1880" spans="10:14" x14ac:dyDescent="0.4">
      <c r="J1880" s="140"/>
      <c r="N1880" s="211"/>
    </row>
    <row r="1881" spans="10:14" x14ac:dyDescent="0.4">
      <c r="J1881" s="140"/>
      <c r="N1881" s="211"/>
    </row>
    <row r="1882" spans="10:14" x14ac:dyDescent="0.4">
      <c r="J1882" s="140"/>
      <c r="N1882" s="211"/>
    </row>
    <row r="1883" spans="10:14" x14ac:dyDescent="0.4">
      <c r="J1883" s="140"/>
      <c r="N1883" s="211"/>
    </row>
    <row r="1884" spans="10:14" x14ac:dyDescent="0.4">
      <c r="J1884" s="140"/>
      <c r="N1884" s="211"/>
    </row>
    <row r="1885" spans="10:14" x14ac:dyDescent="0.4">
      <c r="J1885" s="140"/>
      <c r="N1885" s="211"/>
    </row>
    <row r="1886" spans="10:14" x14ac:dyDescent="0.4">
      <c r="J1886" s="140"/>
      <c r="N1886" s="211"/>
    </row>
    <row r="1887" spans="10:14" x14ac:dyDescent="0.4">
      <c r="J1887" s="140"/>
      <c r="N1887" s="211"/>
    </row>
    <row r="1888" spans="10:14" x14ac:dyDescent="0.4">
      <c r="J1888" s="140"/>
      <c r="N1888" s="211"/>
    </row>
    <row r="1889" spans="10:14" x14ac:dyDescent="0.4">
      <c r="J1889" s="140"/>
      <c r="N1889" s="211"/>
    </row>
    <row r="1890" spans="10:14" x14ac:dyDescent="0.4">
      <c r="J1890" s="140"/>
      <c r="N1890" s="211"/>
    </row>
    <row r="1891" spans="10:14" x14ac:dyDescent="0.4">
      <c r="J1891" s="140"/>
      <c r="N1891" s="211"/>
    </row>
    <row r="1892" spans="10:14" x14ac:dyDescent="0.4">
      <c r="J1892" s="140"/>
      <c r="N1892" s="211"/>
    </row>
    <row r="1893" spans="10:14" x14ac:dyDescent="0.4">
      <c r="J1893" s="140"/>
      <c r="N1893" s="211"/>
    </row>
    <row r="1894" spans="10:14" x14ac:dyDescent="0.4">
      <c r="J1894" s="140"/>
      <c r="N1894" s="211"/>
    </row>
    <row r="1895" spans="10:14" x14ac:dyDescent="0.4">
      <c r="J1895" s="140"/>
      <c r="N1895" s="211"/>
    </row>
    <row r="1896" spans="10:14" x14ac:dyDescent="0.4">
      <c r="J1896" s="140"/>
      <c r="N1896" s="211"/>
    </row>
    <row r="1897" spans="10:14" x14ac:dyDescent="0.4">
      <c r="J1897" s="140"/>
      <c r="N1897" s="211"/>
    </row>
    <row r="1898" spans="10:14" x14ac:dyDescent="0.4">
      <c r="J1898" s="140"/>
      <c r="N1898" s="211"/>
    </row>
    <row r="1899" spans="10:14" x14ac:dyDescent="0.4">
      <c r="J1899" s="140"/>
      <c r="N1899" s="211"/>
    </row>
    <row r="1900" spans="10:14" x14ac:dyDescent="0.4">
      <c r="J1900" s="140"/>
      <c r="N1900" s="211"/>
    </row>
    <row r="1901" spans="10:14" x14ac:dyDescent="0.4">
      <c r="J1901" s="140"/>
      <c r="N1901" s="211"/>
    </row>
    <row r="1902" spans="10:14" x14ac:dyDescent="0.4">
      <c r="J1902" s="140"/>
      <c r="N1902" s="211"/>
    </row>
    <row r="1903" spans="10:14" x14ac:dyDescent="0.4">
      <c r="J1903" s="140"/>
      <c r="N1903" s="211"/>
    </row>
    <row r="1904" spans="10:14" x14ac:dyDescent="0.4">
      <c r="J1904" s="140"/>
      <c r="N1904" s="211"/>
    </row>
    <row r="1905" spans="10:14" x14ac:dyDescent="0.4">
      <c r="J1905" s="140"/>
      <c r="N1905" s="211"/>
    </row>
    <row r="1906" spans="10:14" x14ac:dyDescent="0.4">
      <c r="J1906" s="140"/>
      <c r="N1906" s="211"/>
    </row>
    <row r="1907" spans="10:14" x14ac:dyDescent="0.4">
      <c r="J1907" s="140"/>
      <c r="N1907" s="211"/>
    </row>
    <row r="1908" spans="10:14" x14ac:dyDescent="0.4">
      <c r="J1908" s="140"/>
      <c r="N1908" s="211"/>
    </row>
    <row r="1909" spans="10:14" x14ac:dyDescent="0.4">
      <c r="J1909" s="140"/>
      <c r="N1909" s="211"/>
    </row>
    <row r="1910" spans="10:14" x14ac:dyDescent="0.4">
      <c r="J1910" s="140"/>
      <c r="N1910" s="211"/>
    </row>
    <row r="1911" spans="10:14" x14ac:dyDescent="0.4">
      <c r="J1911" s="140"/>
      <c r="N1911" s="211"/>
    </row>
    <row r="1912" spans="10:14" x14ac:dyDescent="0.4">
      <c r="J1912" s="140"/>
      <c r="N1912" s="211"/>
    </row>
    <row r="1913" spans="10:14" x14ac:dyDescent="0.4">
      <c r="J1913" s="140"/>
      <c r="N1913" s="211"/>
    </row>
    <row r="1914" spans="10:14" x14ac:dyDescent="0.4">
      <c r="J1914" s="140"/>
      <c r="N1914" s="211"/>
    </row>
    <row r="1915" spans="10:14" x14ac:dyDescent="0.4">
      <c r="J1915" s="140"/>
      <c r="N1915" s="211"/>
    </row>
    <row r="1916" spans="10:14" x14ac:dyDescent="0.4">
      <c r="J1916" s="140"/>
      <c r="N1916" s="211"/>
    </row>
    <row r="1917" spans="10:14" x14ac:dyDescent="0.4">
      <c r="J1917" s="140"/>
      <c r="N1917" s="211"/>
    </row>
    <row r="1918" spans="10:14" x14ac:dyDescent="0.4">
      <c r="J1918" s="140"/>
      <c r="N1918" s="211"/>
    </row>
    <row r="1919" spans="10:14" x14ac:dyDescent="0.4">
      <c r="J1919" s="140"/>
      <c r="N1919" s="211"/>
    </row>
    <row r="1920" spans="10:14" x14ac:dyDescent="0.4">
      <c r="J1920" s="140"/>
      <c r="N1920" s="211"/>
    </row>
    <row r="1921" spans="10:14" x14ac:dyDescent="0.4">
      <c r="J1921" s="140"/>
      <c r="N1921" s="211"/>
    </row>
    <row r="1922" spans="10:14" x14ac:dyDescent="0.4">
      <c r="J1922" s="140"/>
      <c r="N1922" s="211"/>
    </row>
    <row r="1923" spans="10:14" x14ac:dyDescent="0.4">
      <c r="J1923" s="140"/>
      <c r="N1923" s="211"/>
    </row>
    <row r="1924" spans="10:14" x14ac:dyDescent="0.4">
      <c r="J1924" s="140"/>
      <c r="N1924" s="211"/>
    </row>
    <row r="1925" spans="10:14" x14ac:dyDescent="0.4">
      <c r="J1925" s="140"/>
      <c r="N1925" s="211"/>
    </row>
    <row r="1926" spans="10:14" x14ac:dyDescent="0.4">
      <c r="J1926" s="140"/>
      <c r="N1926" s="211"/>
    </row>
    <row r="1927" spans="10:14" x14ac:dyDescent="0.4">
      <c r="J1927" s="140"/>
      <c r="N1927" s="211"/>
    </row>
    <row r="1928" spans="10:14" x14ac:dyDescent="0.4">
      <c r="J1928" s="140"/>
      <c r="N1928" s="211"/>
    </row>
    <row r="1929" spans="10:14" x14ac:dyDescent="0.4">
      <c r="J1929" s="140"/>
      <c r="N1929" s="211"/>
    </row>
    <row r="1930" spans="10:14" x14ac:dyDescent="0.4">
      <c r="J1930" s="140"/>
      <c r="N1930" s="211"/>
    </row>
    <row r="1931" spans="10:14" x14ac:dyDescent="0.4">
      <c r="J1931" s="140"/>
      <c r="N1931" s="211"/>
    </row>
    <row r="1932" spans="10:14" x14ac:dyDescent="0.4">
      <c r="J1932" s="140"/>
      <c r="N1932" s="211"/>
    </row>
    <row r="1933" spans="10:14" x14ac:dyDescent="0.4">
      <c r="J1933" s="140"/>
      <c r="N1933" s="211"/>
    </row>
    <row r="1934" spans="10:14" x14ac:dyDescent="0.4">
      <c r="J1934" s="140"/>
      <c r="N1934" s="211"/>
    </row>
    <row r="1935" spans="10:14" x14ac:dyDescent="0.4">
      <c r="J1935" s="140"/>
      <c r="N1935" s="211"/>
    </row>
    <row r="1936" spans="10:14" x14ac:dyDescent="0.4">
      <c r="J1936" s="140"/>
      <c r="N1936" s="211"/>
    </row>
    <row r="1937" spans="10:14" x14ac:dyDescent="0.4">
      <c r="J1937" s="140"/>
      <c r="N1937" s="211"/>
    </row>
    <row r="1938" spans="10:14" x14ac:dyDescent="0.4">
      <c r="J1938" s="140"/>
      <c r="N1938" s="211"/>
    </row>
    <row r="1939" spans="10:14" x14ac:dyDescent="0.4">
      <c r="J1939" s="140"/>
      <c r="N1939" s="211"/>
    </row>
    <row r="1940" spans="10:14" x14ac:dyDescent="0.4">
      <c r="J1940" s="140"/>
      <c r="N1940" s="211"/>
    </row>
    <row r="1941" spans="10:14" x14ac:dyDescent="0.4">
      <c r="J1941" s="140"/>
      <c r="N1941" s="211"/>
    </row>
    <row r="1942" spans="10:14" x14ac:dyDescent="0.4">
      <c r="J1942" s="140"/>
      <c r="N1942" s="211"/>
    </row>
    <row r="1943" spans="10:14" x14ac:dyDescent="0.4">
      <c r="J1943" s="140"/>
      <c r="N1943" s="211"/>
    </row>
    <row r="1944" spans="10:14" x14ac:dyDescent="0.4">
      <c r="J1944" s="140"/>
      <c r="N1944" s="211"/>
    </row>
    <row r="1945" spans="10:14" x14ac:dyDescent="0.4">
      <c r="J1945" s="140"/>
      <c r="N1945" s="211"/>
    </row>
    <row r="1946" spans="10:14" x14ac:dyDescent="0.4">
      <c r="J1946" s="140"/>
      <c r="N1946" s="211"/>
    </row>
    <row r="1947" spans="10:14" x14ac:dyDescent="0.4">
      <c r="J1947" s="140"/>
      <c r="N1947" s="211"/>
    </row>
    <row r="1948" spans="10:14" x14ac:dyDescent="0.4">
      <c r="J1948" s="140"/>
      <c r="N1948" s="211"/>
    </row>
    <row r="1949" spans="10:14" x14ac:dyDescent="0.4">
      <c r="J1949" s="140"/>
      <c r="N1949" s="211"/>
    </row>
    <row r="1950" spans="10:14" x14ac:dyDescent="0.4">
      <c r="J1950" s="140"/>
      <c r="N1950" s="211"/>
    </row>
    <row r="1951" spans="10:14" x14ac:dyDescent="0.4">
      <c r="J1951" s="140"/>
      <c r="N1951" s="211"/>
    </row>
    <row r="1952" spans="10:14" x14ac:dyDescent="0.4">
      <c r="J1952" s="140"/>
      <c r="N1952" s="211"/>
    </row>
    <row r="1953" spans="10:14" x14ac:dyDescent="0.4">
      <c r="J1953" s="140"/>
      <c r="N1953" s="211"/>
    </row>
    <row r="1954" spans="10:14" x14ac:dyDescent="0.4">
      <c r="J1954" s="140"/>
      <c r="N1954" s="211"/>
    </row>
    <row r="1955" spans="10:14" x14ac:dyDescent="0.4">
      <c r="J1955" s="140"/>
      <c r="N1955" s="211"/>
    </row>
    <row r="1956" spans="10:14" x14ac:dyDescent="0.4">
      <c r="J1956" s="140"/>
      <c r="N1956" s="211"/>
    </row>
    <row r="1957" spans="10:14" x14ac:dyDescent="0.4">
      <c r="J1957" s="140"/>
      <c r="N1957" s="211"/>
    </row>
    <row r="1958" spans="10:14" x14ac:dyDescent="0.4">
      <c r="J1958" s="140"/>
      <c r="N1958" s="211"/>
    </row>
    <row r="1959" spans="10:14" x14ac:dyDescent="0.4">
      <c r="J1959" s="140"/>
      <c r="N1959" s="211"/>
    </row>
    <row r="1960" spans="10:14" x14ac:dyDescent="0.4">
      <c r="J1960" s="140"/>
      <c r="N1960" s="211"/>
    </row>
    <row r="1961" spans="10:14" x14ac:dyDescent="0.4">
      <c r="J1961" s="140"/>
      <c r="N1961" s="211"/>
    </row>
    <row r="1962" spans="10:14" x14ac:dyDescent="0.4">
      <c r="J1962" s="140"/>
      <c r="N1962" s="211"/>
    </row>
    <row r="1963" spans="10:14" x14ac:dyDescent="0.4">
      <c r="J1963" s="140"/>
      <c r="N1963" s="211"/>
    </row>
    <row r="1964" spans="10:14" x14ac:dyDescent="0.4">
      <c r="J1964" s="140"/>
      <c r="N1964" s="211"/>
    </row>
    <row r="1965" spans="10:14" x14ac:dyDescent="0.4">
      <c r="J1965" s="140"/>
      <c r="N1965" s="211"/>
    </row>
    <row r="1966" spans="10:14" x14ac:dyDescent="0.4">
      <c r="J1966" s="140"/>
      <c r="N1966" s="211"/>
    </row>
    <row r="1967" spans="10:14" x14ac:dyDescent="0.4">
      <c r="J1967" s="140"/>
      <c r="N1967" s="211"/>
    </row>
    <row r="1968" spans="10:14" x14ac:dyDescent="0.4">
      <c r="J1968" s="140"/>
      <c r="N1968" s="211"/>
    </row>
    <row r="1969" spans="10:14" x14ac:dyDescent="0.4">
      <c r="J1969" s="140"/>
      <c r="N1969" s="211"/>
    </row>
    <row r="1970" spans="10:14" x14ac:dyDescent="0.4">
      <c r="J1970" s="140"/>
      <c r="N1970" s="211"/>
    </row>
    <row r="1971" spans="10:14" x14ac:dyDescent="0.4">
      <c r="J1971" s="140"/>
      <c r="N1971" s="211"/>
    </row>
    <row r="1972" spans="10:14" x14ac:dyDescent="0.4">
      <c r="J1972" s="140"/>
      <c r="N1972" s="211"/>
    </row>
    <row r="1973" spans="10:14" x14ac:dyDescent="0.4">
      <c r="J1973" s="140"/>
      <c r="N1973" s="211"/>
    </row>
    <row r="1974" spans="10:14" x14ac:dyDescent="0.4">
      <c r="J1974" s="140"/>
      <c r="N1974" s="211"/>
    </row>
    <row r="1975" spans="10:14" x14ac:dyDescent="0.4">
      <c r="J1975" s="140"/>
      <c r="N1975" s="211"/>
    </row>
    <row r="1976" spans="10:14" x14ac:dyDescent="0.4">
      <c r="J1976" s="140"/>
      <c r="N1976" s="211"/>
    </row>
    <row r="1977" spans="10:14" x14ac:dyDescent="0.4">
      <c r="J1977" s="140"/>
      <c r="N1977" s="211"/>
    </row>
    <row r="1978" spans="10:14" x14ac:dyDescent="0.4">
      <c r="J1978" s="140"/>
      <c r="N1978" s="211"/>
    </row>
    <row r="1979" spans="10:14" x14ac:dyDescent="0.4">
      <c r="J1979" s="140"/>
      <c r="N1979" s="211"/>
    </row>
    <row r="1980" spans="10:14" x14ac:dyDescent="0.4">
      <c r="J1980" s="140"/>
      <c r="N1980" s="211"/>
    </row>
    <row r="1981" spans="10:14" x14ac:dyDescent="0.4">
      <c r="J1981" s="140"/>
      <c r="N1981" s="211"/>
    </row>
    <row r="1982" spans="10:14" x14ac:dyDescent="0.4">
      <c r="J1982" s="140"/>
      <c r="N1982" s="211"/>
    </row>
    <row r="1983" spans="10:14" x14ac:dyDescent="0.4">
      <c r="J1983" s="140"/>
      <c r="N1983" s="211"/>
    </row>
    <row r="1984" spans="10:14" x14ac:dyDescent="0.4">
      <c r="J1984" s="140"/>
      <c r="N1984" s="211"/>
    </row>
    <row r="1985" spans="10:14" x14ac:dyDescent="0.4">
      <c r="J1985" s="140"/>
      <c r="N1985" s="211"/>
    </row>
    <row r="1986" spans="10:14" x14ac:dyDescent="0.4">
      <c r="J1986" s="140"/>
      <c r="N1986" s="211"/>
    </row>
    <row r="1987" spans="10:14" x14ac:dyDescent="0.4">
      <c r="J1987" s="140"/>
      <c r="N1987" s="211"/>
    </row>
    <row r="1988" spans="10:14" x14ac:dyDescent="0.4">
      <c r="J1988" s="140"/>
      <c r="N1988" s="211"/>
    </row>
    <row r="1989" spans="10:14" x14ac:dyDescent="0.4">
      <c r="J1989" s="140"/>
      <c r="N1989" s="211"/>
    </row>
    <row r="1990" spans="10:14" x14ac:dyDescent="0.4">
      <c r="J1990" s="140"/>
      <c r="N1990" s="211"/>
    </row>
    <row r="1991" spans="10:14" x14ac:dyDescent="0.4">
      <c r="J1991" s="140"/>
      <c r="N1991" s="211"/>
    </row>
    <row r="1992" spans="10:14" x14ac:dyDescent="0.4">
      <c r="J1992" s="140"/>
      <c r="N1992" s="211"/>
    </row>
    <row r="1993" spans="10:14" x14ac:dyDescent="0.4">
      <c r="J1993" s="140"/>
      <c r="N1993" s="211"/>
    </row>
    <row r="1994" spans="10:14" x14ac:dyDescent="0.4">
      <c r="J1994" s="140"/>
      <c r="N1994" s="211"/>
    </row>
    <row r="1995" spans="10:14" x14ac:dyDescent="0.4">
      <c r="J1995" s="140"/>
      <c r="N1995" s="211"/>
    </row>
    <row r="1996" spans="10:14" x14ac:dyDescent="0.4">
      <c r="J1996" s="140"/>
      <c r="N1996" s="211"/>
    </row>
    <row r="1997" spans="10:14" x14ac:dyDescent="0.4">
      <c r="J1997" s="140"/>
      <c r="N1997" s="211"/>
    </row>
    <row r="1998" spans="10:14" x14ac:dyDescent="0.4">
      <c r="J1998" s="140"/>
      <c r="N1998" s="211"/>
    </row>
    <row r="1999" spans="10:14" x14ac:dyDescent="0.4">
      <c r="J1999" s="140"/>
      <c r="N1999" s="211"/>
    </row>
    <row r="2000" spans="10:14" x14ac:dyDescent="0.4">
      <c r="J2000" s="140"/>
      <c r="N2000" s="211"/>
    </row>
    <row r="2001" spans="10:14" x14ac:dyDescent="0.4">
      <c r="J2001" s="140"/>
      <c r="N2001" s="211"/>
    </row>
    <row r="2002" spans="10:14" x14ac:dyDescent="0.4">
      <c r="J2002" s="140"/>
      <c r="N2002" s="211"/>
    </row>
    <row r="2003" spans="10:14" x14ac:dyDescent="0.4">
      <c r="J2003" s="140"/>
      <c r="N2003" s="211"/>
    </row>
    <row r="2004" spans="10:14" x14ac:dyDescent="0.4">
      <c r="J2004" s="140"/>
      <c r="N2004" s="211"/>
    </row>
    <row r="2005" spans="10:14" x14ac:dyDescent="0.4">
      <c r="J2005" s="140"/>
      <c r="N2005" s="211"/>
    </row>
    <row r="2006" spans="10:14" x14ac:dyDescent="0.4">
      <c r="J2006" s="140"/>
      <c r="N2006" s="211"/>
    </row>
    <row r="2007" spans="10:14" x14ac:dyDescent="0.4">
      <c r="J2007" s="140"/>
      <c r="N2007" s="211"/>
    </row>
    <row r="2008" spans="10:14" x14ac:dyDescent="0.4">
      <c r="J2008" s="140"/>
      <c r="N2008" s="211"/>
    </row>
    <row r="2009" spans="10:14" x14ac:dyDescent="0.4">
      <c r="J2009" s="140"/>
      <c r="N2009" s="211"/>
    </row>
    <row r="2010" spans="10:14" x14ac:dyDescent="0.4">
      <c r="J2010" s="140"/>
      <c r="N2010" s="211"/>
    </row>
    <row r="2011" spans="10:14" x14ac:dyDescent="0.4">
      <c r="J2011" s="140"/>
      <c r="N2011" s="211"/>
    </row>
    <row r="2012" spans="10:14" x14ac:dyDescent="0.4">
      <c r="J2012" s="140"/>
      <c r="N2012" s="211"/>
    </row>
    <row r="2013" spans="10:14" x14ac:dyDescent="0.4">
      <c r="J2013" s="140"/>
      <c r="N2013" s="211"/>
    </row>
    <row r="2014" spans="10:14" x14ac:dyDescent="0.4">
      <c r="J2014" s="140"/>
      <c r="N2014" s="211"/>
    </row>
    <row r="2015" spans="10:14" x14ac:dyDescent="0.4">
      <c r="J2015" s="140"/>
      <c r="N2015" s="211"/>
    </row>
    <row r="2016" spans="10:14" x14ac:dyDescent="0.4">
      <c r="J2016" s="140"/>
      <c r="N2016" s="211"/>
    </row>
    <row r="2017" spans="10:14" x14ac:dyDescent="0.4">
      <c r="J2017" s="140"/>
      <c r="N2017" s="211"/>
    </row>
    <row r="2018" spans="10:14" x14ac:dyDescent="0.4">
      <c r="J2018" s="140"/>
      <c r="N2018" s="211"/>
    </row>
    <row r="2019" spans="10:14" x14ac:dyDescent="0.4">
      <c r="J2019" s="140"/>
      <c r="N2019" s="211"/>
    </row>
    <row r="2020" spans="10:14" x14ac:dyDescent="0.4">
      <c r="J2020" s="140"/>
      <c r="N2020" s="211"/>
    </row>
    <row r="2021" spans="10:14" x14ac:dyDescent="0.4">
      <c r="J2021" s="140"/>
      <c r="N2021" s="211"/>
    </row>
    <row r="2022" spans="10:14" x14ac:dyDescent="0.4">
      <c r="J2022" s="140"/>
      <c r="N2022" s="211"/>
    </row>
    <row r="2023" spans="10:14" x14ac:dyDescent="0.4">
      <c r="J2023" s="140"/>
      <c r="N2023" s="211"/>
    </row>
    <row r="2024" spans="10:14" x14ac:dyDescent="0.4">
      <c r="J2024" s="140"/>
      <c r="N2024" s="211"/>
    </row>
    <row r="2025" spans="10:14" x14ac:dyDescent="0.4">
      <c r="J2025" s="140"/>
      <c r="N2025" s="211"/>
    </row>
    <row r="2026" spans="10:14" x14ac:dyDescent="0.4">
      <c r="J2026" s="140"/>
      <c r="N2026" s="211"/>
    </row>
    <row r="2027" spans="10:14" x14ac:dyDescent="0.4">
      <c r="J2027" s="140"/>
      <c r="N2027" s="211"/>
    </row>
    <row r="2028" spans="10:14" x14ac:dyDescent="0.4">
      <c r="J2028" s="140"/>
      <c r="N2028" s="211"/>
    </row>
    <row r="2029" spans="10:14" x14ac:dyDescent="0.4">
      <c r="J2029" s="140"/>
      <c r="N2029" s="211"/>
    </row>
    <row r="2030" spans="10:14" x14ac:dyDescent="0.4">
      <c r="J2030" s="140"/>
      <c r="N2030" s="211"/>
    </row>
    <row r="2031" spans="10:14" x14ac:dyDescent="0.4">
      <c r="J2031" s="140"/>
      <c r="N2031" s="211"/>
    </row>
    <row r="2032" spans="10:14" x14ac:dyDescent="0.4">
      <c r="J2032" s="140"/>
      <c r="N2032" s="211"/>
    </row>
    <row r="2033" spans="10:14" x14ac:dyDescent="0.4">
      <c r="J2033" s="140"/>
      <c r="N2033" s="211"/>
    </row>
    <row r="2034" spans="10:14" x14ac:dyDescent="0.4">
      <c r="J2034" s="140"/>
      <c r="N2034" s="211"/>
    </row>
    <row r="2035" spans="10:14" x14ac:dyDescent="0.4">
      <c r="J2035" s="140"/>
      <c r="N2035" s="211"/>
    </row>
    <row r="2036" spans="10:14" x14ac:dyDescent="0.4">
      <c r="J2036" s="140"/>
      <c r="N2036" s="211"/>
    </row>
    <row r="2037" spans="10:14" x14ac:dyDescent="0.4">
      <c r="J2037" s="140"/>
      <c r="N2037" s="211"/>
    </row>
    <row r="2038" spans="10:14" x14ac:dyDescent="0.4">
      <c r="J2038" s="140"/>
      <c r="N2038" s="211"/>
    </row>
    <row r="2039" spans="10:14" x14ac:dyDescent="0.4">
      <c r="J2039" s="140"/>
      <c r="N2039" s="211"/>
    </row>
    <row r="2040" spans="10:14" x14ac:dyDescent="0.4">
      <c r="J2040" s="140"/>
      <c r="N2040" s="211"/>
    </row>
    <row r="2041" spans="10:14" x14ac:dyDescent="0.4">
      <c r="J2041" s="140"/>
      <c r="N2041" s="211"/>
    </row>
    <row r="2042" spans="10:14" x14ac:dyDescent="0.4">
      <c r="J2042" s="140"/>
      <c r="N2042" s="211"/>
    </row>
    <row r="2043" spans="10:14" x14ac:dyDescent="0.4">
      <c r="J2043" s="140"/>
      <c r="N2043" s="211"/>
    </row>
    <row r="2044" spans="10:14" x14ac:dyDescent="0.4">
      <c r="J2044" s="140"/>
      <c r="N2044" s="211"/>
    </row>
    <row r="2045" spans="10:14" x14ac:dyDescent="0.4">
      <c r="J2045" s="140"/>
      <c r="N2045" s="211"/>
    </row>
    <row r="2046" spans="10:14" x14ac:dyDescent="0.4">
      <c r="J2046" s="140"/>
      <c r="N2046" s="211"/>
    </row>
    <row r="2047" spans="10:14" x14ac:dyDescent="0.4">
      <c r="J2047" s="140"/>
      <c r="N2047" s="211"/>
    </row>
    <row r="2048" spans="10:14" x14ac:dyDescent="0.4">
      <c r="J2048" s="140"/>
      <c r="N2048" s="211"/>
    </row>
    <row r="2049" spans="10:14" x14ac:dyDescent="0.4">
      <c r="J2049" s="140"/>
      <c r="N2049" s="211"/>
    </row>
    <row r="2050" spans="10:14" x14ac:dyDescent="0.4">
      <c r="J2050" s="140"/>
      <c r="N2050" s="211"/>
    </row>
    <row r="2051" spans="10:14" x14ac:dyDescent="0.4">
      <c r="J2051" s="140"/>
      <c r="N2051" s="211"/>
    </row>
    <row r="2052" spans="10:14" x14ac:dyDescent="0.4">
      <c r="J2052" s="140"/>
      <c r="N2052" s="211"/>
    </row>
    <row r="2053" spans="10:14" x14ac:dyDescent="0.4">
      <c r="J2053" s="140"/>
      <c r="N2053" s="211"/>
    </row>
    <row r="2054" spans="10:14" x14ac:dyDescent="0.4">
      <c r="J2054" s="140"/>
      <c r="N2054" s="211"/>
    </row>
    <row r="2055" spans="10:14" x14ac:dyDescent="0.4">
      <c r="J2055" s="140"/>
      <c r="N2055" s="211"/>
    </row>
    <row r="2056" spans="10:14" x14ac:dyDescent="0.4">
      <c r="J2056" s="140"/>
      <c r="N2056" s="211"/>
    </row>
    <row r="2057" spans="10:14" x14ac:dyDescent="0.4">
      <c r="J2057" s="140"/>
      <c r="N2057" s="211"/>
    </row>
    <row r="2058" spans="10:14" x14ac:dyDescent="0.4">
      <c r="J2058" s="140"/>
      <c r="N2058" s="211"/>
    </row>
    <row r="2059" spans="10:14" x14ac:dyDescent="0.4">
      <c r="J2059" s="140"/>
      <c r="N2059" s="211"/>
    </row>
    <row r="2060" spans="10:14" x14ac:dyDescent="0.4">
      <c r="J2060" s="140"/>
      <c r="N2060" s="211"/>
    </row>
    <row r="2061" spans="10:14" x14ac:dyDescent="0.4">
      <c r="J2061" s="140"/>
      <c r="N2061" s="211"/>
    </row>
    <row r="2062" spans="10:14" x14ac:dyDescent="0.4">
      <c r="J2062" s="140"/>
      <c r="N2062" s="211"/>
    </row>
    <row r="2063" spans="10:14" x14ac:dyDescent="0.4">
      <c r="J2063" s="140"/>
      <c r="N2063" s="211"/>
    </row>
    <row r="2064" spans="10:14" x14ac:dyDescent="0.4">
      <c r="J2064" s="140"/>
      <c r="N2064" s="211"/>
    </row>
    <row r="2065" spans="10:14" x14ac:dyDescent="0.4">
      <c r="J2065" s="140"/>
      <c r="N2065" s="211"/>
    </row>
    <row r="2066" spans="10:14" x14ac:dyDescent="0.4">
      <c r="J2066" s="140"/>
      <c r="N2066" s="211"/>
    </row>
    <row r="2067" spans="10:14" x14ac:dyDescent="0.4">
      <c r="J2067" s="140"/>
      <c r="N2067" s="211"/>
    </row>
    <row r="2068" spans="10:14" x14ac:dyDescent="0.4">
      <c r="J2068" s="140"/>
      <c r="N2068" s="211"/>
    </row>
    <row r="2069" spans="10:14" x14ac:dyDescent="0.4">
      <c r="J2069" s="140"/>
      <c r="N2069" s="211"/>
    </row>
    <row r="2070" spans="10:14" x14ac:dyDescent="0.4">
      <c r="J2070" s="140"/>
      <c r="N2070" s="211"/>
    </row>
    <row r="2071" spans="10:14" x14ac:dyDescent="0.4">
      <c r="J2071" s="140"/>
      <c r="N2071" s="211"/>
    </row>
    <row r="2072" spans="10:14" x14ac:dyDescent="0.4">
      <c r="J2072" s="140"/>
      <c r="N2072" s="211"/>
    </row>
    <row r="2073" spans="10:14" x14ac:dyDescent="0.4">
      <c r="J2073" s="140"/>
      <c r="N2073" s="211"/>
    </row>
    <row r="2074" spans="10:14" x14ac:dyDescent="0.4">
      <c r="J2074" s="140"/>
      <c r="N2074" s="211"/>
    </row>
    <row r="2075" spans="10:14" x14ac:dyDescent="0.4">
      <c r="J2075" s="140"/>
      <c r="N2075" s="211"/>
    </row>
    <row r="2076" spans="10:14" x14ac:dyDescent="0.4">
      <c r="J2076" s="140"/>
      <c r="N2076" s="211"/>
    </row>
    <row r="2077" spans="10:14" x14ac:dyDescent="0.4">
      <c r="J2077" s="140"/>
      <c r="N2077" s="211"/>
    </row>
    <row r="2078" spans="10:14" x14ac:dyDescent="0.4">
      <c r="J2078" s="140"/>
      <c r="N2078" s="211"/>
    </row>
    <row r="2079" spans="10:14" x14ac:dyDescent="0.4">
      <c r="J2079" s="140"/>
      <c r="N2079" s="211"/>
    </row>
    <row r="2080" spans="10:14" x14ac:dyDescent="0.4">
      <c r="J2080" s="140"/>
      <c r="N2080" s="211"/>
    </row>
    <row r="2081" spans="10:14" x14ac:dyDescent="0.4">
      <c r="J2081" s="140"/>
      <c r="N2081" s="211"/>
    </row>
    <row r="2082" spans="10:14" x14ac:dyDescent="0.4">
      <c r="J2082" s="140"/>
      <c r="N2082" s="211"/>
    </row>
    <row r="2083" spans="10:14" x14ac:dyDescent="0.4">
      <c r="J2083" s="140"/>
      <c r="N2083" s="211"/>
    </row>
    <row r="2084" spans="10:14" x14ac:dyDescent="0.4">
      <c r="J2084" s="140"/>
      <c r="N2084" s="211"/>
    </row>
    <row r="2085" spans="10:14" x14ac:dyDescent="0.4">
      <c r="J2085" s="140"/>
      <c r="N2085" s="211"/>
    </row>
    <row r="2086" spans="10:14" x14ac:dyDescent="0.4">
      <c r="J2086" s="140"/>
      <c r="N2086" s="211"/>
    </row>
    <row r="2087" spans="10:14" x14ac:dyDescent="0.4">
      <c r="J2087" s="140"/>
      <c r="N2087" s="211"/>
    </row>
    <row r="2088" spans="10:14" x14ac:dyDescent="0.4">
      <c r="J2088" s="140"/>
      <c r="N2088" s="211"/>
    </row>
    <row r="2089" spans="10:14" x14ac:dyDescent="0.4">
      <c r="J2089" s="140"/>
      <c r="N2089" s="211"/>
    </row>
    <row r="2090" spans="10:14" x14ac:dyDescent="0.4">
      <c r="J2090" s="140"/>
      <c r="N2090" s="211"/>
    </row>
    <row r="2091" spans="10:14" x14ac:dyDescent="0.4">
      <c r="J2091" s="140"/>
      <c r="N2091" s="211"/>
    </row>
    <row r="2092" spans="10:14" x14ac:dyDescent="0.4">
      <c r="J2092" s="140"/>
      <c r="N2092" s="211"/>
    </row>
    <row r="2093" spans="10:14" x14ac:dyDescent="0.4">
      <c r="J2093" s="140"/>
      <c r="N2093" s="211"/>
    </row>
    <row r="2094" spans="10:14" x14ac:dyDescent="0.4">
      <c r="J2094" s="140"/>
      <c r="N2094" s="211"/>
    </row>
    <row r="2095" spans="10:14" x14ac:dyDescent="0.4">
      <c r="J2095" s="140"/>
      <c r="N2095" s="211"/>
    </row>
    <row r="2096" spans="10:14" x14ac:dyDescent="0.4">
      <c r="J2096" s="140"/>
      <c r="N2096" s="211"/>
    </row>
    <row r="2097" spans="10:14" x14ac:dyDescent="0.4">
      <c r="J2097" s="140"/>
      <c r="N2097" s="211"/>
    </row>
    <row r="2098" spans="10:14" x14ac:dyDescent="0.4">
      <c r="J2098" s="140"/>
      <c r="N2098" s="211"/>
    </row>
    <row r="2099" spans="10:14" x14ac:dyDescent="0.4">
      <c r="J2099" s="140"/>
      <c r="N2099" s="211"/>
    </row>
    <row r="2100" spans="10:14" x14ac:dyDescent="0.4">
      <c r="J2100" s="140"/>
      <c r="N2100" s="211"/>
    </row>
    <row r="2101" spans="10:14" x14ac:dyDescent="0.4">
      <c r="J2101" s="140"/>
      <c r="N2101" s="211"/>
    </row>
    <row r="2102" spans="10:14" x14ac:dyDescent="0.4">
      <c r="J2102" s="140"/>
      <c r="N2102" s="211"/>
    </row>
    <row r="2103" spans="10:14" x14ac:dyDescent="0.4">
      <c r="J2103" s="140"/>
      <c r="N2103" s="211"/>
    </row>
    <row r="2104" spans="10:14" x14ac:dyDescent="0.4">
      <c r="J2104" s="140"/>
      <c r="N2104" s="211"/>
    </row>
    <row r="2105" spans="10:14" x14ac:dyDescent="0.4">
      <c r="J2105" s="140"/>
      <c r="N2105" s="211"/>
    </row>
    <row r="2106" spans="10:14" x14ac:dyDescent="0.4">
      <c r="J2106" s="140"/>
      <c r="N2106" s="211"/>
    </row>
    <row r="2107" spans="10:14" x14ac:dyDescent="0.4">
      <c r="J2107" s="140"/>
      <c r="N2107" s="211"/>
    </row>
    <row r="2108" spans="10:14" x14ac:dyDescent="0.4">
      <c r="J2108" s="140"/>
      <c r="N2108" s="211"/>
    </row>
    <row r="2109" spans="10:14" x14ac:dyDescent="0.4">
      <c r="J2109" s="140"/>
      <c r="N2109" s="211"/>
    </row>
    <row r="2110" spans="10:14" x14ac:dyDescent="0.4">
      <c r="J2110" s="140"/>
      <c r="N2110" s="211"/>
    </row>
    <row r="2111" spans="10:14" x14ac:dyDescent="0.4">
      <c r="J2111" s="140"/>
      <c r="N2111" s="211"/>
    </row>
    <row r="2112" spans="10:14" x14ac:dyDescent="0.4">
      <c r="J2112" s="140"/>
      <c r="N2112" s="211"/>
    </row>
    <row r="2113" spans="10:14" x14ac:dyDescent="0.4">
      <c r="J2113" s="140"/>
      <c r="N2113" s="211"/>
    </row>
    <row r="2114" spans="10:14" x14ac:dyDescent="0.4">
      <c r="J2114" s="140"/>
      <c r="N2114" s="211"/>
    </row>
    <row r="2115" spans="10:14" x14ac:dyDescent="0.4">
      <c r="J2115" s="140"/>
      <c r="N2115" s="211"/>
    </row>
    <row r="2116" spans="10:14" x14ac:dyDescent="0.4">
      <c r="J2116" s="140"/>
      <c r="N2116" s="211"/>
    </row>
    <row r="2117" spans="10:14" x14ac:dyDescent="0.4">
      <c r="J2117" s="140"/>
      <c r="N2117" s="211"/>
    </row>
    <row r="2118" spans="10:14" x14ac:dyDescent="0.4">
      <c r="J2118" s="140"/>
      <c r="N2118" s="211"/>
    </row>
    <row r="2119" spans="10:14" x14ac:dyDescent="0.4">
      <c r="J2119" s="140"/>
      <c r="N2119" s="211"/>
    </row>
    <row r="2120" spans="10:14" x14ac:dyDescent="0.4">
      <c r="J2120" s="140"/>
      <c r="N2120" s="211"/>
    </row>
    <row r="2121" spans="10:14" x14ac:dyDescent="0.4">
      <c r="J2121" s="140"/>
      <c r="N2121" s="211"/>
    </row>
    <row r="2122" spans="10:14" x14ac:dyDescent="0.4">
      <c r="J2122" s="140"/>
      <c r="N2122" s="211"/>
    </row>
    <row r="2123" spans="10:14" x14ac:dyDescent="0.4">
      <c r="J2123" s="140"/>
      <c r="N2123" s="211"/>
    </row>
    <row r="2124" spans="10:14" x14ac:dyDescent="0.4">
      <c r="J2124" s="140"/>
      <c r="N2124" s="211"/>
    </row>
    <row r="2125" spans="10:14" x14ac:dyDescent="0.4">
      <c r="J2125" s="140"/>
      <c r="N2125" s="211"/>
    </row>
    <row r="2126" spans="10:14" x14ac:dyDescent="0.4">
      <c r="J2126" s="140"/>
      <c r="N2126" s="211"/>
    </row>
    <row r="2127" spans="10:14" x14ac:dyDescent="0.4">
      <c r="J2127" s="140"/>
      <c r="N2127" s="211"/>
    </row>
    <row r="2128" spans="10:14" x14ac:dyDescent="0.4">
      <c r="J2128" s="140"/>
      <c r="N2128" s="211"/>
    </row>
    <row r="2129" spans="10:14" x14ac:dyDescent="0.4">
      <c r="J2129" s="140"/>
      <c r="N2129" s="211"/>
    </row>
    <row r="2130" spans="10:14" x14ac:dyDescent="0.4">
      <c r="J2130" s="140"/>
      <c r="N2130" s="211"/>
    </row>
    <row r="2131" spans="10:14" x14ac:dyDescent="0.4">
      <c r="J2131" s="140"/>
      <c r="N2131" s="211"/>
    </row>
    <row r="2132" spans="10:14" x14ac:dyDescent="0.4">
      <c r="J2132" s="140"/>
      <c r="N2132" s="211"/>
    </row>
    <row r="2133" spans="10:14" x14ac:dyDescent="0.4">
      <c r="J2133" s="140"/>
      <c r="N2133" s="211"/>
    </row>
    <row r="2134" spans="10:14" x14ac:dyDescent="0.4">
      <c r="J2134" s="140"/>
      <c r="N2134" s="211"/>
    </row>
    <row r="2135" spans="10:14" x14ac:dyDescent="0.4">
      <c r="J2135" s="140"/>
      <c r="N2135" s="211"/>
    </row>
    <row r="2136" spans="10:14" x14ac:dyDescent="0.4">
      <c r="J2136" s="140"/>
      <c r="N2136" s="211"/>
    </row>
    <row r="2137" spans="10:14" x14ac:dyDescent="0.4">
      <c r="J2137" s="140"/>
      <c r="N2137" s="211"/>
    </row>
    <row r="2138" spans="10:14" x14ac:dyDescent="0.4">
      <c r="J2138" s="140"/>
      <c r="N2138" s="211"/>
    </row>
    <row r="2139" spans="10:14" x14ac:dyDescent="0.4">
      <c r="J2139" s="140"/>
      <c r="N2139" s="211"/>
    </row>
    <row r="2140" spans="10:14" x14ac:dyDescent="0.4">
      <c r="J2140" s="140"/>
      <c r="N2140" s="211"/>
    </row>
    <row r="2141" spans="10:14" x14ac:dyDescent="0.4">
      <c r="J2141" s="140"/>
      <c r="N2141" s="211"/>
    </row>
    <row r="2142" spans="10:14" x14ac:dyDescent="0.4">
      <c r="J2142" s="140"/>
      <c r="N2142" s="211"/>
    </row>
    <row r="2143" spans="10:14" x14ac:dyDescent="0.4">
      <c r="J2143" s="140"/>
      <c r="N2143" s="211"/>
    </row>
    <row r="2144" spans="10:14" x14ac:dyDescent="0.4">
      <c r="J2144" s="140"/>
      <c r="N2144" s="211"/>
    </row>
    <row r="2145" spans="10:14" x14ac:dyDescent="0.4">
      <c r="J2145" s="140"/>
      <c r="N2145" s="211"/>
    </row>
    <row r="2146" spans="10:14" x14ac:dyDescent="0.4">
      <c r="J2146" s="140"/>
      <c r="N2146" s="211"/>
    </row>
    <row r="2147" spans="10:14" x14ac:dyDescent="0.4">
      <c r="J2147" s="140"/>
      <c r="N2147" s="211"/>
    </row>
    <row r="2148" spans="10:14" x14ac:dyDescent="0.4">
      <c r="J2148" s="140"/>
      <c r="N2148" s="211"/>
    </row>
    <row r="2149" spans="10:14" x14ac:dyDescent="0.4">
      <c r="J2149" s="140"/>
      <c r="N2149" s="211"/>
    </row>
    <row r="2150" spans="10:14" x14ac:dyDescent="0.4">
      <c r="J2150" s="140"/>
      <c r="N2150" s="211"/>
    </row>
    <row r="2151" spans="10:14" x14ac:dyDescent="0.4">
      <c r="J2151" s="140"/>
      <c r="N2151" s="211"/>
    </row>
    <row r="2152" spans="10:14" x14ac:dyDescent="0.4">
      <c r="J2152" s="140"/>
      <c r="N2152" s="211"/>
    </row>
    <row r="2153" spans="10:14" x14ac:dyDescent="0.4">
      <c r="J2153" s="140"/>
      <c r="N2153" s="211"/>
    </row>
    <row r="2154" spans="10:14" x14ac:dyDescent="0.4">
      <c r="J2154" s="140"/>
      <c r="N2154" s="211"/>
    </row>
    <row r="2155" spans="10:14" x14ac:dyDescent="0.4">
      <c r="J2155" s="140"/>
      <c r="N2155" s="211"/>
    </row>
    <row r="2156" spans="10:14" x14ac:dyDescent="0.4">
      <c r="J2156" s="140"/>
      <c r="N2156" s="211"/>
    </row>
    <row r="2157" spans="10:14" x14ac:dyDescent="0.4">
      <c r="J2157" s="140"/>
      <c r="N2157" s="211"/>
    </row>
    <row r="2158" spans="10:14" x14ac:dyDescent="0.4">
      <c r="J2158" s="140"/>
      <c r="N2158" s="211"/>
    </row>
    <row r="2159" spans="10:14" x14ac:dyDescent="0.4">
      <c r="J2159" s="140"/>
      <c r="N2159" s="211"/>
    </row>
    <row r="2160" spans="10:14" x14ac:dyDescent="0.4">
      <c r="J2160" s="140"/>
      <c r="N2160" s="211"/>
    </row>
    <row r="2161" spans="10:14" x14ac:dyDescent="0.4">
      <c r="J2161" s="140"/>
      <c r="N2161" s="211"/>
    </row>
    <row r="2162" spans="10:14" x14ac:dyDescent="0.4">
      <c r="J2162" s="140"/>
      <c r="N2162" s="211"/>
    </row>
    <row r="2163" spans="10:14" x14ac:dyDescent="0.4">
      <c r="J2163" s="140"/>
      <c r="N2163" s="211"/>
    </row>
    <row r="2164" spans="10:14" x14ac:dyDescent="0.4">
      <c r="J2164" s="140"/>
      <c r="N2164" s="211"/>
    </row>
    <row r="2165" spans="10:14" x14ac:dyDescent="0.4">
      <c r="J2165" s="140"/>
      <c r="N2165" s="211"/>
    </row>
    <row r="2166" spans="10:14" x14ac:dyDescent="0.4">
      <c r="J2166" s="140"/>
      <c r="N2166" s="211"/>
    </row>
    <row r="2167" spans="10:14" x14ac:dyDescent="0.4">
      <c r="J2167" s="140"/>
      <c r="N2167" s="211"/>
    </row>
    <row r="2168" spans="10:14" x14ac:dyDescent="0.4">
      <c r="J2168" s="140"/>
      <c r="N2168" s="211"/>
    </row>
    <row r="2169" spans="10:14" x14ac:dyDescent="0.4">
      <c r="J2169" s="140"/>
      <c r="N2169" s="211"/>
    </row>
    <row r="2170" spans="10:14" x14ac:dyDescent="0.4">
      <c r="J2170" s="140"/>
      <c r="N2170" s="211"/>
    </row>
    <row r="2171" spans="10:14" x14ac:dyDescent="0.4">
      <c r="J2171" s="140"/>
      <c r="N2171" s="211"/>
    </row>
    <row r="2172" spans="10:14" x14ac:dyDescent="0.4">
      <c r="J2172" s="140"/>
      <c r="N2172" s="211"/>
    </row>
    <row r="2173" spans="10:14" x14ac:dyDescent="0.4">
      <c r="J2173" s="140"/>
      <c r="N2173" s="211"/>
    </row>
    <row r="2174" spans="10:14" x14ac:dyDescent="0.4">
      <c r="J2174" s="140"/>
      <c r="N2174" s="211"/>
    </row>
    <row r="2175" spans="10:14" x14ac:dyDescent="0.4">
      <c r="J2175" s="140"/>
      <c r="N2175" s="211"/>
    </row>
    <row r="2176" spans="10:14" x14ac:dyDescent="0.4">
      <c r="J2176" s="140"/>
      <c r="N2176" s="211"/>
    </row>
    <row r="2177" spans="10:14" x14ac:dyDescent="0.4">
      <c r="J2177" s="140"/>
      <c r="N2177" s="211"/>
    </row>
    <row r="2178" spans="10:14" x14ac:dyDescent="0.4">
      <c r="J2178" s="140"/>
      <c r="N2178" s="211"/>
    </row>
    <row r="2179" spans="10:14" x14ac:dyDescent="0.4">
      <c r="J2179" s="140"/>
      <c r="N2179" s="211"/>
    </row>
    <row r="2180" spans="10:14" x14ac:dyDescent="0.4">
      <c r="J2180" s="140"/>
      <c r="N2180" s="211"/>
    </row>
    <row r="2181" spans="10:14" x14ac:dyDescent="0.4">
      <c r="J2181" s="140"/>
      <c r="N2181" s="211"/>
    </row>
    <row r="2182" spans="10:14" x14ac:dyDescent="0.4">
      <c r="J2182" s="140"/>
      <c r="N2182" s="211"/>
    </row>
    <row r="2183" spans="10:14" x14ac:dyDescent="0.4">
      <c r="J2183" s="140"/>
      <c r="N2183" s="211"/>
    </row>
    <row r="2184" spans="10:14" x14ac:dyDescent="0.4">
      <c r="J2184" s="140"/>
      <c r="N2184" s="211"/>
    </row>
    <row r="2185" spans="10:14" x14ac:dyDescent="0.4">
      <c r="J2185" s="140"/>
      <c r="N2185" s="211"/>
    </row>
    <row r="2186" spans="10:14" x14ac:dyDescent="0.4">
      <c r="J2186" s="140"/>
      <c r="N2186" s="211"/>
    </row>
    <row r="2187" spans="10:14" x14ac:dyDescent="0.4">
      <c r="J2187" s="140"/>
      <c r="N2187" s="211"/>
    </row>
    <row r="2188" spans="10:14" x14ac:dyDescent="0.4">
      <c r="J2188" s="140"/>
      <c r="N2188" s="211"/>
    </row>
    <row r="2189" spans="10:14" x14ac:dyDescent="0.4">
      <c r="J2189" s="140"/>
      <c r="N2189" s="211"/>
    </row>
    <row r="2190" spans="10:14" x14ac:dyDescent="0.4">
      <c r="J2190" s="140"/>
      <c r="N2190" s="211"/>
    </row>
    <row r="2191" spans="10:14" x14ac:dyDescent="0.4">
      <c r="J2191" s="140"/>
      <c r="N2191" s="211"/>
    </row>
    <row r="2192" spans="10:14" x14ac:dyDescent="0.4">
      <c r="J2192" s="140"/>
      <c r="N2192" s="211"/>
    </row>
    <row r="2193" spans="10:14" x14ac:dyDescent="0.4">
      <c r="J2193" s="140"/>
      <c r="N2193" s="211"/>
    </row>
    <row r="2194" spans="10:14" x14ac:dyDescent="0.4">
      <c r="J2194" s="140"/>
      <c r="N2194" s="211"/>
    </row>
    <row r="2195" spans="10:14" x14ac:dyDescent="0.4">
      <c r="J2195" s="140"/>
      <c r="N2195" s="211"/>
    </row>
    <row r="2196" spans="10:14" x14ac:dyDescent="0.4">
      <c r="J2196" s="140"/>
      <c r="N2196" s="211"/>
    </row>
    <row r="2197" spans="10:14" x14ac:dyDescent="0.4">
      <c r="J2197" s="140"/>
      <c r="N2197" s="211"/>
    </row>
    <row r="2198" spans="10:14" x14ac:dyDescent="0.4">
      <c r="J2198" s="140"/>
      <c r="N2198" s="211"/>
    </row>
    <row r="2199" spans="10:14" x14ac:dyDescent="0.4">
      <c r="J2199" s="140"/>
      <c r="N2199" s="211"/>
    </row>
    <row r="2200" spans="10:14" x14ac:dyDescent="0.4">
      <c r="J2200" s="140"/>
      <c r="N2200" s="211"/>
    </row>
    <row r="2201" spans="10:14" x14ac:dyDescent="0.4">
      <c r="J2201" s="140"/>
      <c r="N2201" s="211"/>
    </row>
    <row r="2202" spans="10:14" x14ac:dyDescent="0.4">
      <c r="J2202" s="140"/>
      <c r="N2202" s="211"/>
    </row>
    <row r="2203" spans="10:14" x14ac:dyDescent="0.4">
      <c r="J2203" s="140"/>
      <c r="N2203" s="211"/>
    </row>
    <row r="2204" spans="10:14" x14ac:dyDescent="0.4">
      <c r="J2204" s="140"/>
      <c r="N2204" s="211"/>
    </row>
    <row r="2205" spans="10:14" x14ac:dyDescent="0.4">
      <c r="J2205" s="140"/>
      <c r="N2205" s="211"/>
    </row>
    <row r="2206" spans="10:14" x14ac:dyDescent="0.4">
      <c r="J2206" s="140"/>
      <c r="N2206" s="211"/>
    </row>
    <row r="2207" spans="10:14" x14ac:dyDescent="0.4">
      <c r="J2207" s="140"/>
      <c r="N2207" s="211"/>
    </row>
    <row r="2208" spans="10:14" x14ac:dyDescent="0.4">
      <c r="J2208" s="140"/>
      <c r="N2208" s="211"/>
    </row>
    <row r="2209" spans="10:14" x14ac:dyDescent="0.4">
      <c r="J2209" s="140"/>
      <c r="N2209" s="211"/>
    </row>
    <row r="2210" spans="10:14" x14ac:dyDescent="0.4">
      <c r="J2210" s="140"/>
      <c r="N2210" s="211"/>
    </row>
    <row r="2211" spans="10:14" x14ac:dyDescent="0.4">
      <c r="J2211" s="140"/>
      <c r="N2211" s="211"/>
    </row>
    <row r="2212" spans="10:14" x14ac:dyDescent="0.4">
      <c r="J2212" s="140"/>
      <c r="N2212" s="211"/>
    </row>
    <row r="2213" spans="10:14" x14ac:dyDescent="0.4">
      <c r="J2213" s="140"/>
      <c r="N2213" s="211"/>
    </row>
    <row r="2214" spans="10:14" x14ac:dyDescent="0.4">
      <c r="J2214" s="140"/>
      <c r="N2214" s="211"/>
    </row>
    <row r="2215" spans="10:14" x14ac:dyDescent="0.4">
      <c r="J2215" s="140"/>
      <c r="N2215" s="211"/>
    </row>
    <row r="2216" spans="10:14" x14ac:dyDescent="0.4">
      <c r="J2216" s="140"/>
      <c r="N2216" s="211"/>
    </row>
    <row r="2217" spans="10:14" x14ac:dyDescent="0.4">
      <c r="J2217" s="140"/>
      <c r="N2217" s="211"/>
    </row>
    <row r="2218" spans="10:14" x14ac:dyDescent="0.4">
      <c r="J2218" s="140"/>
      <c r="N2218" s="211"/>
    </row>
    <row r="2219" spans="10:14" x14ac:dyDescent="0.4">
      <c r="J2219" s="140"/>
      <c r="N2219" s="211"/>
    </row>
    <row r="2220" spans="10:14" x14ac:dyDescent="0.4">
      <c r="J2220" s="140"/>
      <c r="N2220" s="211"/>
    </row>
    <row r="2221" spans="10:14" x14ac:dyDescent="0.4">
      <c r="J2221" s="140"/>
      <c r="N2221" s="211"/>
    </row>
    <row r="2222" spans="10:14" x14ac:dyDescent="0.4">
      <c r="J2222" s="140"/>
      <c r="N2222" s="211"/>
    </row>
    <row r="2223" spans="10:14" x14ac:dyDescent="0.4">
      <c r="J2223" s="140"/>
      <c r="N2223" s="211"/>
    </row>
    <row r="2224" spans="10:14" x14ac:dyDescent="0.4">
      <c r="J2224" s="140"/>
      <c r="N2224" s="211"/>
    </row>
    <row r="2225" spans="10:14" x14ac:dyDescent="0.4">
      <c r="J2225" s="140"/>
      <c r="N2225" s="211"/>
    </row>
    <row r="2226" spans="10:14" x14ac:dyDescent="0.4">
      <c r="J2226" s="140"/>
      <c r="N2226" s="211"/>
    </row>
    <row r="2227" spans="10:14" x14ac:dyDescent="0.4">
      <c r="J2227" s="140"/>
      <c r="N2227" s="211"/>
    </row>
    <row r="2228" spans="10:14" x14ac:dyDescent="0.4">
      <c r="J2228" s="140"/>
      <c r="N2228" s="211"/>
    </row>
    <row r="2229" spans="10:14" x14ac:dyDescent="0.4">
      <c r="J2229" s="140"/>
      <c r="N2229" s="211"/>
    </row>
    <row r="2230" spans="10:14" x14ac:dyDescent="0.4">
      <c r="J2230" s="140"/>
      <c r="N2230" s="211"/>
    </row>
    <row r="2231" spans="10:14" x14ac:dyDescent="0.4">
      <c r="J2231" s="140"/>
      <c r="N2231" s="211"/>
    </row>
    <row r="2232" spans="10:14" x14ac:dyDescent="0.4">
      <c r="J2232" s="140"/>
      <c r="N2232" s="211"/>
    </row>
    <row r="2233" spans="10:14" x14ac:dyDescent="0.4">
      <c r="J2233" s="140"/>
      <c r="N2233" s="211"/>
    </row>
    <row r="2234" spans="10:14" x14ac:dyDescent="0.4">
      <c r="J2234" s="140"/>
      <c r="N2234" s="211"/>
    </row>
    <row r="2235" spans="10:14" x14ac:dyDescent="0.4">
      <c r="J2235" s="140"/>
      <c r="N2235" s="211"/>
    </row>
    <row r="2236" spans="10:14" x14ac:dyDescent="0.4">
      <c r="J2236" s="140"/>
      <c r="N2236" s="211"/>
    </row>
    <row r="2237" spans="10:14" x14ac:dyDescent="0.4">
      <c r="J2237" s="140"/>
      <c r="N2237" s="211"/>
    </row>
    <row r="2238" spans="10:14" x14ac:dyDescent="0.4">
      <c r="J2238" s="140"/>
      <c r="N2238" s="211"/>
    </row>
    <row r="2239" spans="10:14" x14ac:dyDescent="0.4">
      <c r="J2239" s="140"/>
      <c r="N2239" s="211"/>
    </row>
    <row r="2240" spans="10:14" x14ac:dyDescent="0.4">
      <c r="J2240" s="140"/>
      <c r="N2240" s="211"/>
    </row>
    <row r="2241" spans="10:14" x14ac:dyDescent="0.4">
      <c r="J2241" s="140"/>
      <c r="N2241" s="211"/>
    </row>
    <row r="2242" spans="10:14" x14ac:dyDescent="0.4">
      <c r="J2242" s="140"/>
      <c r="N2242" s="211"/>
    </row>
    <row r="2243" spans="10:14" x14ac:dyDescent="0.4">
      <c r="J2243" s="140"/>
      <c r="N2243" s="211"/>
    </row>
    <row r="2244" spans="10:14" x14ac:dyDescent="0.4">
      <c r="J2244" s="140"/>
      <c r="N2244" s="211"/>
    </row>
    <row r="2245" spans="10:14" x14ac:dyDescent="0.4">
      <c r="J2245" s="140"/>
      <c r="N2245" s="211"/>
    </row>
    <row r="2246" spans="10:14" x14ac:dyDescent="0.4">
      <c r="J2246" s="140"/>
      <c r="N2246" s="211"/>
    </row>
    <row r="2247" spans="10:14" x14ac:dyDescent="0.4">
      <c r="J2247" s="140"/>
      <c r="N2247" s="211"/>
    </row>
    <row r="2248" spans="10:14" x14ac:dyDescent="0.4">
      <c r="J2248" s="140"/>
      <c r="N2248" s="211"/>
    </row>
    <row r="2249" spans="10:14" x14ac:dyDescent="0.4">
      <c r="J2249" s="140"/>
      <c r="N2249" s="211"/>
    </row>
    <row r="2250" spans="10:14" x14ac:dyDescent="0.4">
      <c r="J2250" s="140"/>
      <c r="N2250" s="211"/>
    </row>
    <row r="2251" spans="10:14" x14ac:dyDescent="0.4">
      <c r="J2251" s="140"/>
      <c r="N2251" s="211"/>
    </row>
    <row r="2252" spans="10:14" x14ac:dyDescent="0.4">
      <c r="J2252" s="140"/>
      <c r="N2252" s="211"/>
    </row>
    <row r="2253" spans="10:14" x14ac:dyDescent="0.4">
      <c r="J2253" s="140"/>
      <c r="N2253" s="211"/>
    </row>
    <row r="2254" spans="10:14" x14ac:dyDescent="0.4">
      <c r="J2254" s="140"/>
      <c r="N2254" s="211"/>
    </row>
    <row r="2255" spans="10:14" x14ac:dyDescent="0.4">
      <c r="J2255" s="140"/>
      <c r="N2255" s="211"/>
    </row>
    <row r="2256" spans="10:14" x14ac:dyDescent="0.4">
      <c r="J2256" s="140"/>
      <c r="N2256" s="211"/>
    </row>
    <row r="2257" spans="10:14" x14ac:dyDescent="0.4">
      <c r="J2257" s="140"/>
      <c r="N2257" s="211"/>
    </row>
    <row r="2258" spans="10:14" x14ac:dyDescent="0.4">
      <c r="J2258" s="140"/>
      <c r="N2258" s="211"/>
    </row>
    <row r="2259" spans="10:14" x14ac:dyDescent="0.4">
      <c r="J2259" s="140"/>
      <c r="N2259" s="211"/>
    </row>
    <row r="2260" spans="10:14" x14ac:dyDescent="0.4">
      <c r="J2260" s="140"/>
      <c r="N2260" s="211"/>
    </row>
    <row r="2261" spans="10:14" x14ac:dyDescent="0.4">
      <c r="J2261" s="140"/>
      <c r="N2261" s="211"/>
    </row>
    <row r="2262" spans="10:14" x14ac:dyDescent="0.4">
      <c r="J2262" s="140"/>
      <c r="N2262" s="211"/>
    </row>
    <row r="2263" spans="10:14" x14ac:dyDescent="0.4">
      <c r="J2263" s="140"/>
      <c r="N2263" s="211"/>
    </row>
    <row r="2264" spans="10:14" x14ac:dyDescent="0.4">
      <c r="J2264" s="140"/>
      <c r="N2264" s="211"/>
    </row>
    <row r="2265" spans="10:14" x14ac:dyDescent="0.4">
      <c r="J2265" s="140"/>
      <c r="N2265" s="211"/>
    </row>
    <row r="2266" spans="10:14" x14ac:dyDescent="0.4">
      <c r="J2266" s="140"/>
      <c r="N2266" s="211"/>
    </row>
    <row r="2267" spans="10:14" x14ac:dyDescent="0.4">
      <c r="J2267" s="140"/>
      <c r="N2267" s="211"/>
    </row>
    <row r="2268" spans="10:14" x14ac:dyDescent="0.4">
      <c r="J2268" s="140"/>
      <c r="N2268" s="211"/>
    </row>
    <row r="2269" spans="10:14" x14ac:dyDescent="0.4">
      <c r="J2269" s="140"/>
      <c r="N2269" s="211"/>
    </row>
    <row r="2270" spans="10:14" x14ac:dyDescent="0.4">
      <c r="J2270" s="140"/>
      <c r="N2270" s="211"/>
    </row>
    <row r="2271" spans="10:14" x14ac:dyDescent="0.4">
      <c r="J2271" s="140"/>
      <c r="N2271" s="211"/>
    </row>
    <row r="2272" spans="10:14" x14ac:dyDescent="0.4">
      <c r="J2272" s="140"/>
      <c r="N2272" s="211"/>
    </row>
    <row r="2273" spans="10:14" x14ac:dyDescent="0.4">
      <c r="J2273" s="140"/>
      <c r="N2273" s="211"/>
    </row>
    <row r="2274" spans="10:14" x14ac:dyDescent="0.4">
      <c r="J2274" s="140"/>
      <c r="N2274" s="211"/>
    </row>
    <row r="2275" spans="10:14" x14ac:dyDescent="0.4">
      <c r="J2275" s="140"/>
      <c r="N2275" s="211"/>
    </row>
    <row r="2276" spans="10:14" x14ac:dyDescent="0.4">
      <c r="J2276" s="140"/>
      <c r="N2276" s="211"/>
    </row>
    <row r="2277" spans="10:14" x14ac:dyDescent="0.4">
      <c r="J2277" s="140"/>
      <c r="N2277" s="211"/>
    </row>
    <row r="2278" spans="10:14" x14ac:dyDescent="0.4">
      <c r="J2278" s="140"/>
      <c r="N2278" s="211"/>
    </row>
    <row r="2279" spans="10:14" x14ac:dyDescent="0.4">
      <c r="J2279" s="140"/>
      <c r="N2279" s="211"/>
    </row>
    <row r="2280" spans="10:14" x14ac:dyDescent="0.4">
      <c r="J2280" s="140"/>
      <c r="N2280" s="211"/>
    </row>
    <row r="2281" spans="10:14" x14ac:dyDescent="0.4">
      <c r="J2281" s="140"/>
      <c r="N2281" s="211"/>
    </row>
    <row r="2282" spans="10:14" x14ac:dyDescent="0.4">
      <c r="J2282" s="140"/>
      <c r="N2282" s="211"/>
    </row>
    <row r="2283" spans="10:14" x14ac:dyDescent="0.4">
      <c r="J2283" s="140"/>
      <c r="N2283" s="211"/>
    </row>
    <row r="2284" spans="10:14" x14ac:dyDescent="0.4">
      <c r="J2284" s="140"/>
      <c r="N2284" s="211"/>
    </row>
    <row r="2285" spans="10:14" x14ac:dyDescent="0.4">
      <c r="J2285" s="140"/>
      <c r="N2285" s="211"/>
    </row>
    <row r="2286" spans="10:14" x14ac:dyDescent="0.4">
      <c r="J2286" s="140"/>
      <c r="N2286" s="211"/>
    </row>
    <row r="2287" spans="10:14" x14ac:dyDescent="0.4">
      <c r="J2287" s="140"/>
      <c r="N2287" s="211"/>
    </row>
    <row r="2288" spans="10:14" x14ac:dyDescent="0.4">
      <c r="J2288" s="140"/>
      <c r="N2288" s="211"/>
    </row>
    <row r="2289" spans="10:14" x14ac:dyDescent="0.4">
      <c r="J2289" s="140"/>
      <c r="N2289" s="211"/>
    </row>
    <row r="2290" spans="10:14" x14ac:dyDescent="0.4">
      <c r="J2290" s="140"/>
      <c r="N2290" s="211"/>
    </row>
    <row r="2291" spans="10:14" x14ac:dyDescent="0.4">
      <c r="J2291" s="140"/>
      <c r="N2291" s="211"/>
    </row>
    <row r="2292" spans="10:14" x14ac:dyDescent="0.4">
      <c r="J2292" s="140"/>
      <c r="N2292" s="211"/>
    </row>
    <row r="2293" spans="10:14" x14ac:dyDescent="0.4">
      <c r="J2293" s="140"/>
      <c r="N2293" s="211"/>
    </row>
    <row r="2294" spans="10:14" x14ac:dyDescent="0.4">
      <c r="J2294" s="140"/>
      <c r="N2294" s="211"/>
    </row>
    <row r="2295" spans="10:14" x14ac:dyDescent="0.4">
      <c r="J2295" s="140"/>
      <c r="N2295" s="211"/>
    </row>
    <row r="2296" spans="10:14" x14ac:dyDescent="0.4">
      <c r="J2296" s="140"/>
      <c r="N2296" s="211"/>
    </row>
    <row r="2297" spans="10:14" x14ac:dyDescent="0.4">
      <c r="J2297" s="140"/>
      <c r="N2297" s="211"/>
    </row>
    <row r="2298" spans="10:14" x14ac:dyDescent="0.4">
      <c r="J2298" s="140"/>
      <c r="N2298" s="211"/>
    </row>
    <row r="2299" spans="10:14" x14ac:dyDescent="0.4">
      <c r="J2299" s="140"/>
      <c r="N2299" s="211"/>
    </row>
    <row r="2300" spans="10:14" x14ac:dyDescent="0.4">
      <c r="J2300" s="140"/>
      <c r="N2300" s="211"/>
    </row>
    <row r="2301" spans="10:14" x14ac:dyDescent="0.4">
      <c r="J2301" s="140"/>
      <c r="N2301" s="211"/>
    </row>
    <row r="2302" spans="10:14" x14ac:dyDescent="0.4">
      <c r="J2302" s="140"/>
      <c r="N2302" s="211"/>
    </row>
    <row r="2303" spans="10:14" x14ac:dyDescent="0.4">
      <c r="J2303" s="140"/>
      <c r="N2303" s="211"/>
    </row>
    <row r="2304" spans="10:14" x14ac:dyDescent="0.4">
      <c r="J2304" s="140"/>
      <c r="N2304" s="211"/>
    </row>
    <row r="2305" spans="10:14" x14ac:dyDescent="0.4">
      <c r="J2305" s="140"/>
      <c r="N2305" s="211"/>
    </row>
    <row r="2306" spans="10:14" x14ac:dyDescent="0.4">
      <c r="J2306" s="140"/>
      <c r="N2306" s="211"/>
    </row>
    <row r="2307" spans="10:14" x14ac:dyDescent="0.4">
      <c r="J2307" s="140"/>
      <c r="N2307" s="211"/>
    </row>
    <row r="2308" spans="10:14" x14ac:dyDescent="0.4">
      <c r="J2308" s="140"/>
      <c r="N2308" s="211"/>
    </row>
    <row r="2309" spans="10:14" x14ac:dyDescent="0.4">
      <c r="J2309" s="140"/>
      <c r="N2309" s="211"/>
    </row>
    <row r="2310" spans="10:14" x14ac:dyDescent="0.4">
      <c r="J2310" s="140"/>
      <c r="N2310" s="211"/>
    </row>
    <row r="2311" spans="10:14" x14ac:dyDescent="0.4">
      <c r="J2311" s="140"/>
      <c r="N2311" s="211"/>
    </row>
    <row r="2312" spans="10:14" x14ac:dyDescent="0.4">
      <c r="J2312" s="140"/>
      <c r="N2312" s="211"/>
    </row>
    <row r="2313" spans="10:14" x14ac:dyDescent="0.4">
      <c r="J2313" s="140"/>
      <c r="N2313" s="211"/>
    </row>
    <row r="2314" spans="10:14" x14ac:dyDescent="0.4">
      <c r="J2314" s="140"/>
      <c r="N2314" s="211"/>
    </row>
    <row r="2315" spans="10:14" x14ac:dyDescent="0.4">
      <c r="J2315" s="140"/>
      <c r="N2315" s="211"/>
    </row>
    <row r="2316" spans="10:14" x14ac:dyDescent="0.4">
      <c r="J2316" s="140"/>
      <c r="N2316" s="211"/>
    </row>
    <row r="2317" spans="10:14" x14ac:dyDescent="0.4">
      <c r="J2317" s="140"/>
      <c r="N2317" s="211"/>
    </row>
    <row r="2318" spans="10:14" x14ac:dyDescent="0.4">
      <c r="J2318" s="140"/>
      <c r="N2318" s="211"/>
    </row>
    <row r="2319" spans="10:14" x14ac:dyDescent="0.4">
      <c r="J2319" s="140"/>
      <c r="N2319" s="211"/>
    </row>
    <row r="2320" spans="10:14" x14ac:dyDescent="0.4">
      <c r="J2320" s="140"/>
      <c r="N2320" s="211"/>
    </row>
    <row r="2321" spans="10:14" x14ac:dyDescent="0.4">
      <c r="J2321" s="140"/>
      <c r="N2321" s="211"/>
    </row>
    <row r="2322" spans="10:14" x14ac:dyDescent="0.4">
      <c r="J2322" s="140"/>
      <c r="N2322" s="211"/>
    </row>
    <row r="2323" spans="10:14" x14ac:dyDescent="0.4">
      <c r="J2323" s="140"/>
      <c r="N2323" s="211"/>
    </row>
    <row r="2324" spans="10:14" x14ac:dyDescent="0.4">
      <c r="J2324" s="140"/>
      <c r="N2324" s="211"/>
    </row>
    <row r="2325" spans="10:14" x14ac:dyDescent="0.4">
      <c r="J2325" s="140"/>
      <c r="N2325" s="211"/>
    </row>
    <row r="2326" spans="10:14" x14ac:dyDescent="0.4">
      <c r="J2326" s="140"/>
      <c r="N2326" s="211"/>
    </row>
    <row r="2327" spans="10:14" x14ac:dyDescent="0.4">
      <c r="J2327" s="140"/>
      <c r="N2327" s="211"/>
    </row>
    <row r="2328" spans="10:14" x14ac:dyDescent="0.4">
      <c r="J2328" s="140"/>
      <c r="N2328" s="211"/>
    </row>
    <row r="2329" spans="10:14" x14ac:dyDescent="0.4">
      <c r="J2329" s="140"/>
      <c r="N2329" s="211"/>
    </row>
    <row r="2330" spans="10:14" x14ac:dyDescent="0.4">
      <c r="J2330" s="140"/>
      <c r="N2330" s="211"/>
    </row>
    <row r="2331" spans="10:14" x14ac:dyDescent="0.4">
      <c r="J2331" s="140"/>
      <c r="N2331" s="211"/>
    </row>
    <row r="2332" spans="10:14" x14ac:dyDescent="0.4">
      <c r="J2332" s="140"/>
      <c r="N2332" s="211"/>
    </row>
    <row r="2333" spans="10:14" x14ac:dyDescent="0.4">
      <c r="J2333" s="140"/>
      <c r="N2333" s="211"/>
    </row>
    <row r="2334" spans="10:14" x14ac:dyDescent="0.4">
      <c r="J2334" s="140"/>
      <c r="N2334" s="211"/>
    </row>
    <row r="2335" spans="10:14" x14ac:dyDescent="0.4">
      <c r="J2335" s="140"/>
      <c r="N2335" s="211"/>
    </row>
    <row r="2336" spans="10:14" x14ac:dyDescent="0.4">
      <c r="J2336" s="140"/>
      <c r="N2336" s="211"/>
    </row>
    <row r="2337" spans="10:14" x14ac:dyDescent="0.4">
      <c r="J2337" s="140"/>
      <c r="N2337" s="211"/>
    </row>
    <row r="2338" spans="10:14" x14ac:dyDescent="0.4">
      <c r="J2338" s="140"/>
      <c r="N2338" s="211"/>
    </row>
    <row r="2339" spans="10:14" x14ac:dyDescent="0.4">
      <c r="J2339" s="140"/>
      <c r="N2339" s="211"/>
    </row>
    <row r="2340" spans="10:14" x14ac:dyDescent="0.4">
      <c r="J2340" s="140"/>
      <c r="N2340" s="211"/>
    </row>
    <row r="2341" spans="10:14" x14ac:dyDescent="0.4">
      <c r="J2341" s="140"/>
      <c r="N2341" s="211"/>
    </row>
    <row r="2342" spans="10:14" x14ac:dyDescent="0.4">
      <c r="J2342" s="140"/>
      <c r="N2342" s="211"/>
    </row>
    <row r="2343" spans="10:14" x14ac:dyDescent="0.4">
      <c r="J2343" s="140"/>
      <c r="N2343" s="211"/>
    </row>
    <row r="2344" spans="10:14" x14ac:dyDescent="0.4">
      <c r="J2344" s="140"/>
      <c r="N2344" s="211"/>
    </row>
    <row r="2345" spans="10:14" x14ac:dyDescent="0.4">
      <c r="J2345" s="140"/>
      <c r="N2345" s="211"/>
    </row>
    <row r="2346" spans="10:14" x14ac:dyDescent="0.4">
      <c r="J2346" s="140"/>
      <c r="N2346" s="211"/>
    </row>
    <row r="2347" spans="10:14" x14ac:dyDescent="0.4">
      <c r="J2347" s="140"/>
      <c r="N2347" s="211"/>
    </row>
    <row r="2348" spans="10:14" x14ac:dyDescent="0.4">
      <c r="J2348" s="140"/>
      <c r="N2348" s="211"/>
    </row>
    <row r="2349" spans="10:14" x14ac:dyDescent="0.4">
      <c r="J2349" s="140"/>
      <c r="N2349" s="211"/>
    </row>
    <row r="2350" spans="10:14" x14ac:dyDescent="0.4">
      <c r="J2350" s="140"/>
      <c r="N2350" s="211"/>
    </row>
    <row r="2351" spans="10:14" x14ac:dyDescent="0.4">
      <c r="J2351" s="140"/>
      <c r="N2351" s="211"/>
    </row>
    <row r="2352" spans="10:14" x14ac:dyDescent="0.4">
      <c r="J2352" s="140"/>
      <c r="N2352" s="211"/>
    </row>
    <row r="2353" spans="10:14" x14ac:dyDescent="0.4">
      <c r="J2353" s="140"/>
      <c r="N2353" s="211"/>
    </row>
    <row r="2354" spans="10:14" x14ac:dyDescent="0.4">
      <c r="J2354" s="140"/>
      <c r="N2354" s="211"/>
    </row>
    <row r="2355" spans="10:14" x14ac:dyDescent="0.4">
      <c r="J2355" s="140"/>
      <c r="N2355" s="211"/>
    </row>
    <row r="2356" spans="10:14" x14ac:dyDescent="0.4">
      <c r="J2356" s="140"/>
      <c r="N2356" s="211"/>
    </row>
    <row r="2357" spans="10:14" x14ac:dyDescent="0.4">
      <c r="J2357" s="140"/>
      <c r="N2357" s="211"/>
    </row>
    <row r="2358" spans="10:14" x14ac:dyDescent="0.4">
      <c r="J2358" s="140"/>
      <c r="N2358" s="211"/>
    </row>
    <row r="2359" spans="10:14" x14ac:dyDescent="0.4">
      <c r="J2359" s="140"/>
      <c r="N2359" s="211"/>
    </row>
    <row r="2360" spans="10:14" x14ac:dyDescent="0.4">
      <c r="J2360" s="140"/>
      <c r="N2360" s="211"/>
    </row>
    <row r="2361" spans="10:14" x14ac:dyDescent="0.4">
      <c r="J2361" s="140"/>
      <c r="N2361" s="211"/>
    </row>
    <row r="2362" spans="10:14" x14ac:dyDescent="0.4">
      <c r="J2362" s="140"/>
      <c r="N2362" s="211"/>
    </row>
    <row r="2363" spans="10:14" x14ac:dyDescent="0.4">
      <c r="J2363" s="140"/>
      <c r="N2363" s="211"/>
    </row>
    <row r="2364" spans="10:14" x14ac:dyDescent="0.4">
      <c r="J2364" s="140"/>
      <c r="N2364" s="211"/>
    </row>
    <row r="2365" spans="10:14" x14ac:dyDescent="0.4">
      <c r="J2365" s="140"/>
      <c r="N2365" s="211"/>
    </row>
    <row r="2366" spans="10:14" x14ac:dyDescent="0.4">
      <c r="J2366" s="140"/>
      <c r="N2366" s="211"/>
    </row>
    <row r="2367" spans="10:14" x14ac:dyDescent="0.4">
      <c r="J2367" s="140"/>
      <c r="N2367" s="211"/>
    </row>
    <row r="2368" spans="10:14" x14ac:dyDescent="0.4">
      <c r="J2368" s="140"/>
      <c r="N2368" s="211"/>
    </row>
    <row r="2369" spans="10:14" x14ac:dyDescent="0.4">
      <c r="J2369" s="140"/>
      <c r="N2369" s="211"/>
    </row>
    <row r="2370" spans="10:14" x14ac:dyDescent="0.4">
      <c r="J2370" s="140"/>
      <c r="N2370" s="211"/>
    </row>
    <row r="2371" spans="10:14" x14ac:dyDescent="0.4">
      <c r="J2371" s="140"/>
      <c r="N2371" s="211"/>
    </row>
    <row r="2372" spans="10:14" x14ac:dyDescent="0.4">
      <c r="J2372" s="140"/>
      <c r="N2372" s="211"/>
    </row>
    <row r="2373" spans="10:14" x14ac:dyDescent="0.4">
      <c r="J2373" s="140"/>
      <c r="N2373" s="211"/>
    </row>
    <row r="2374" spans="10:14" x14ac:dyDescent="0.4">
      <c r="J2374" s="140"/>
      <c r="N2374" s="211"/>
    </row>
    <row r="2375" spans="10:14" x14ac:dyDescent="0.4">
      <c r="J2375" s="140"/>
      <c r="N2375" s="211"/>
    </row>
    <row r="2376" spans="10:14" x14ac:dyDescent="0.4">
      <c r="J2376" s="140"/>
      <c r="N2376" s="211"/>
    </row>
    <row r="2377" spans="10:14" x14ac:dyDescent="0.4">
      <c r="J2377" s="140"/>
      <c r="N2377" s="211"/>
    </row>
    <row r="2378" spans="10:14" x14ac:dyDescent="0.4">
      <c r="J2378" s="140"/>
      <c r="N2378" s="211"/>
    </row>
    <row r="2379" spans="10:14" x14ac:dyDescent="0.4">
      <c r="J2379" s="140"/>
      <c r="N2379" s="211"/>
    </row>
    <row r="2380" spans="10:14" x14ac:dyDescent="0.4">
      <c r="J2380" s="140"/>
      <c r="N2380" s="211"/>
    </row>
    <row r="2381" spans="10:14" x14ac:dyDescent="0.4">
      <c r="J2381" s="140"/>
      <c r="N2381" s="211"/>
    </row>
    <row r="2382" spans="10:14" x14ac:dyDescent="0.4">
      <c r="J2382" s="140"/>
      <c r="N2382" s="211"/>
    </row>
    <row r="2383" spans="10:14" x14ac:dyDescent="0.4">
      <c r="J2383" s="140"/>
      <c r="N2383" s="211"/>
    </row>
    <row r="2384" spans="10:14" x14ac:dyDescent="0.4">
      <c r="J2384" s="140"/>
      <c r="N2384" s="211"/>
    </row>
    <row r="2385" spans="10:14" x14ac:dyDescent="0.4">
      <c r="J2385" s="140"/>
      <c r="N2385" s="211"/>
    </row>
    <row r="2386" spans="10:14" x14ac:dyDescent="0.4">
      <c r="J2386" s="140"/>
      <c r="N2386" s="211"/>
    </row>
    <row r="2387" spans="10:14" x14ac:dyDescent="0.4">
      <c r="J2387" s="140"/>
      <c r="N2387" s="211"/>
    </row>
    <row r="2388" spans="10:14" x14ac:dyDescent="0.4">
      <c r="J2388" s="140"/>
      <c r="N2388" s="211"/>
    </row>
    <row r="2389" spans="10:14" x14ac:dyDescent="0.4">
      <c r="J2389" s="140"/>
      <c r="N2389" s="211"/>
    </row>
    <row r="2390" spans="10:14" x14ac:dyDescent="0.4">
      <c r="J2390" s="140"/>
      <c r="N2390" s="211"/>
    </row>
    <row r="2391" spans="10:14" x14ac:dyDescent="0.4">
      <c r="J2391" s="140"/>
      <c r="N2391" s="211"/>
    </row>
    <row r="2392" spans="10:14" x14ac:dyDescent="0.4">
      <c r="J2392" s="140"/>
      <c r="N2392" s="211"/>
    </row>
    <row r="2393" spans="10:14" x14ac:dyDescent="0.4">
      <c r="J2393" s="140"/>
      <c r="N2393" s="211"/>
    </row>
    <row r="2394" spans="10:14" x14ac:dyDescent="0.4">
      <c r="J2394" s="140"/>
      <c r="N2394" s="211"/>
    </row>
    <row r="2395" spans="10:14" x14ac:dyDescent="0.4">
      <c r="J2395" s="140"/>
      <c r="N2395" s="211"/>
    </row>
    <row r="2396" spans="10:14" x14ac:dyDescent="0.4">
      <c r="J2396" s="140"/>
      <c r="N2396" s="211"/>
    </row>
    <row r="2397" spans="10:14" x14ac:dyDescent="0.4">
      <c r="J2397" s="140"/>
      <c r="N2397" s="211"/>
    </row>
    <row r="2398" spans="10:14" x14ac:dyDescent="0.4">
      <c r="J2398" s="140"/>
      <c r="N2398" s="211"/>
    </row>
    <row r="2399" spans="10:14" x14ac:dyDescent="0.4">
      <c r="J2399" s="140"/>
      <c r="N2399" s="211"/>
    </row>
    <row r="2400" spans="10:14" x14ac:dyDescent="0.4">
      <c r="J2400" s="140"/>
      <c r="N2400" s="211"/>
    </row>
    <row r="2401" spans="10:14" x14ac:dyDescent="0.4">
      <c r="J2401" s="140"/>
      <c r="N2401" s="211"/>
    </row>
    <row r="2402" spans="10:14" x14ac:dyDescent="0.4">
      <c r="J2402" s="140"/>
      <c r="N2402" s="211"/>
    </row>
    <row r="2403" spans="10:14" x14ac:dyDescent="0.4">
      <c r="J2403" s="140"/>
      <c r="N2403" s="211"/>
    </row>
    <row r="2404" spans="10:14" x14ac:dyDescent="0.4">
      <c r="J2404" s="140"/>
      <c r="N2404" s="211"/>
    </row>
    <row r="2405" spans="10:14" x14ac:dyDescent="0.4">
      <c r="J2405" s="140"/>
      <c r="N2405" s="211"/>
    </row>
    <row r="2406" spans="10:14" x14ac:dyDescent="0.4">
      <c r="J2406" s="140"/>
      <c r="N2406" s="211"/>
    </row>
    <row r="2407" spans="10:14" x14ac:dyDescent="0.4">
      <c r="J2407" s="140"/>
      <c r="N2407" s="211"/>
    </row>
    <row r="2408" spans="10:14" x14ac:dyDescent="0.4">
      <c r="J2408" s="140"/>
      <c r="N2408" s="211"/>
    </row>
    <row r="2409" spans="10:14" x14ac:dyDescent="0.4">
      <c r="J2409" s="140"/>
      <c r="N2409" s="211"/>
    </row>
    <row r="2410" spans="10:14" x14ac:dyDescent="0.4">
      <c r="J2410" s="140"/>
      <c r="N2410" s="211"/>
    </row>
    <row r="2411" spans="10:14" x14ac:dyDescent="0.4">
      <c r="J2411" s="140"/>
      <c r="N2411" s="211"/>
    </row>
    <row r="2412" spans="10:14" x14ac:dyDescent="0.4">
      <c r="J2412" s="140"/>
      <c r="N2412" s="211"/>
    </row>
    <row r="2413" spans="10:14" x14ac:dyDescent="0.4">
      <c r="J2413" s="140"/>
      <c r="N2413" s="211"/>
    </row>
    <row r="2414" spans="10:14" x14ac:dyDescent="0.4">
      <c r="J2414" s="140"/>
      <c r="N2414" s="211"/>
    </row>
    <row r="2415" spans="10:14" x14ac:dyDescent="0.4">
      <c r="J2415" s="140"/>
      <c r="N2415" s="211"/>
    </row>
    <row r="2416" spans="10:14" x14ac:dyDescent="0.4">
      <c r="J2416" s="140"/>
      <c r="N2416" s="211"/>
    </row>
    <row r="2417" spans="10:14" x14ac:dyDescent="0.4">
      <c r="J2417" s="140"/>
      <c r="N2417" s="211"/>
    </row>
    <row r="2418" spans="10:14" x14ac:dyDescent="0.4">
      <c r="J2418" s="140"/>
      <c r="N2418" s="211"/>
    </row>
    <row r="2419" spans="10:14" x14ac:dyDescent="0.4">
      <c r="J2419" s="140"/>
      <c r="N2419" s="211"/>
    </row>
    <row r="2420" spans="10:14" x14ac:dyDescent="0.4">
      <c r="J2420" s="140"/>
      <c r="N2420" s="211"/>
    </row>
    <row r="2421" spans="10:14" x14ac:dyDescent="0.4">
      <c r="J2421" s="140"/>
      <c r="N2421" s="211"/>
    </row>
    <row r="2422" spans="10:14" x14ac:dyDescent="0.4">
      <c r="J2422" s="140"/>
      <c r="N2422" s="211"/>
    </row>
    <row r="2423" spans="10:14" x14ac:dyDescent="0.4">
      <c r="J2423" s="140"/>
      <c r="N2423" s="211"/>
    </row>
    <row r="2424" spans="10:14" x14ac:dyDescent="0.4">
      <c r="J2424" s="140"/>
      <c r="N2424" s="211"/>
    </row>
    <row r="2425" spans="10:14" x14ac:dyDescent="0.4">
      <c r="J2425" s="140"/>
      <c r="N2425" s="211"/>
    </row>
    <row r="2426" spans="10:14" x14ac:dyDescent="0.4">
      <c r="J2426" s="140"/>
      <c r="N2426" s="211"/>
    </row>
    <row r="2427" spans="10:14" x14ac:dyDescent="0.4">
      <c r="J2427" s="140"/>
      <c r="N2427" s="211"/>
    </row>
    <row r="2428" spans="10:14" x14ac:dyDescent="0.4">
      <c r="J2428" s="140"/>
      <c r="N2428" s="211"/>
    </row>
    <row r="2429" spans="10:14" x14ac:dyDescent="0.4">
      <c r="J2429" s="140"/>
      <c r="N2429" s="211"/>
    </row>
    <row r="2430" spans="10:14" x14ac:dyDescent="0.4">
      <c r="J2430" s="140"/>
      <c r="N2430" s="211"/>
    </row>
    <row r="2431" spans="10:14" x14ac:dyDescent="0.4">
      <c r="J2431" s="140"/>
      <c r="N2431" s="211"/>
    </row>
    <row r="2432" spans="10:14" x14ac:dyDescent="0.4">
      <c r="J2432" s="140"/>
      <c r="N2432" s="211"/>
    </row>
    <row r="2433" spans="10:14" x14ac:dyDescent="0.4">
      <c r="J2433" s="140"/>
      <c r="N2433" s="211"/>
    </row>
    <row r="2434" spans="10:14" x14ac:dyDescent="0.4">
      <c r="J2434" s="140"/>
      <c r="N2434" s="211"/>
    </row>
    <row r="2435" spans="10:14" x14ac:dyDescent="0.4">
      <c r="J2435" s="140"/>
      <c r="N2435" s="211"/>
    </row>
    <row r="2436" spans="10:14" x14ac:dyDescent="0.4">
      <c r="J2436" s="140"/>
      <c r="N2436" s="211"/>
    </row>
    <row r="2437" spans="10:14" x14ac:dyDescent="0.4">
      <c r="J2437" s="140"/>
      <c r="N2437" s="211"/>
    </row>
    <row r="2438" spans="10:14" x14ac:dyDescent="0.4">
      <c r="J2438" s="140"/>
      <c r="N2438" s="211"/>
    </row>
    <row r="2439" spans="10:14" x14ac:dyDescent="0.4">
      <c r="J2439" s="140"/>
      <c r="N2439" s="211"/>
    </row>
    <row r="2440" spans="10:14" x14ac:dyDescent="0.4">
      <c r="J2440" s="140"/>
      <c r="N2440" s="211"/>
    </row>
    <row r="2441" spans="10:14" x14ac:dyDescent="0.4">
      <c r="J2441" s="140"/>
      <c r="N2441" s="211"/>
    </row>
    <row r="2442" spans="10:14" x14ac:dyDescent="0.4">
      <c r="J2442" s="140"/>
      <c r="N2442" s="211"/>
    </row>
    <row r="2443" spans="10:14" x14ac:dyDescent="0.4">
      <c r="J2443" s="140"/>
      <c r="N2443" s="211"/>
    </row>
    <row r="2444" spans="10:14" x14ac:dyDescent="0.4">
      <c r="J2444" s="140"/>
      <c r="N2444" s="211"/>
    </row>
    <row r="2445" spans="10:14" x14ac:dyDescent="0.4">
      <c r="J2445" s="140"/>
      <c r="N2445" s="211"/>
    </row>
    <row r="2446" spans="10:14" x14ac:dyDescent="0.4">
      <c r="J2446" s="140"/>
      <c r="N2446" s="211"/>
    </row>
    <row r="2447" spans="10:14" x14ac:dyDescent="0.4">
      <c r="J2447" s="140"/>
      <c r="N2447" s="211"/>
    </row>
    <row r="2448" spans="10:14" x14ac:dyDescent="0.4">
      <c r="J2448" s="140"/>
      <c r="N2448" s="211"/>
    </row>
    <row r="2449" spans="10:14" x14ac:dyDescent="0.4">
      <c r="J2449" s="140"/>
      <c r="N2449" s="211"/>
    </row>
    <row r="2450" spans="10:14" x14ac:dyDescent="0.4">
      <c r="J2450" s="140"/>
      <c r="N2450" s="211"/>
    </row>
    <row r="2451" spans="10:14" x14ac:dyDescent="0.4">
      <c r="J2451" s="140"/>
      <c r="N2451" s="211"/>
    </row>
    <row r="2452" spans="10:14" x14ac:dyDescent="0.4">
      <c r="J2452" s="140"/>
      <c r="N2452" s="211"/>
    </row>
    <row r="2453" spans="10:14" x14ac:dyDescent="0.4">
      <c r="J2453" s="140"/>
      <c r="N2453" s="211"/>
    </row>
    <row r="2454" spans="10:14" x14ac:dyDescent="0.4">
      <c r="J2454" s="140"/>
      <c r="N2454" s="211"/>
    </row>
    <row r="2455" spans="10:14" x14ac:dyDescent="0.4">
      <c r="J2455" s="140"/>
      <c r="N2455" s="211"/>
    </row>
    <row r="2456" spans="10:14" x14ac:dyDescent="0.4">
      <c r="J2456" s="140"/>
      <c r="N2456" s="211"/>
    </row>
    <row r="2457" spans="10:14" x14ac:dyDescent="0.4">
      <c r="J2457" s="140"/>
      <c r="N2457" s="211"/>
    </row>
    <row r="2458" spans="10:14" x14ac:dyDescent="0.4">
      <c r="J2458" s="140"/>
      <c r="N2458" s="211"/>
    </row>
    <row r="2459" spans="10:14" x14ac:dyDescent="0.4">
      <c r="J2459" s="140"/>
      <c r="N2459" s="211"/>
    </row>
    <row r="2460" spans="10:14" x14ac:dyDescent="0.4">
      <c r="J2460" s="140"/>
      <c r="N2460" s="211"/>
    </row>
    <row r="2461" spans="10:14" x14ac:dyDescent="0.4">
      <c r="J2461" s="140"/>
      <c r="N2461" s="211"/>
    </row>
    <row r="2462" spans="10:14" x14ac:dyDescent="0.4">
      <c r="J2462" s="140"/>
      <c r="N2462" s="211"/>
    </row>
    <row r="2463" spans="10:14" x14ac:dyDescent="0.4">
      <c r="J2463" s="140"/>
      <c r="N2463" s="211"/>
    </row>
    <row r="2464" spans="10:14" x14ac:dyDescent="0.4">
      <c r="J2464" s="140"/>
      <c r="N2464" s="211"/>
    </row>
    <row r="2465" spans="10:14" x14ac:dyDescent="0.4">
      <c r="J2465" s="140"/>
      <c r="N2465" s="211"/>
    </row>
    <row r="2466" spans="10:14" x14ac:dyDescent="0.4">
      <c r="J2466" s="140"/>
      <c r="N2466" s="211"/>
    </row>
    <row r="2467" spans="10:14" x14ac:dyDescent="0.4">
      <c r="J2467" s="140"/>
      <c r="N2467" s="211"/>
    </row>
    <row r="2468" spans="10:14" x14ac:dyDescent="0.4">
      <c r="J2468" s="140"/>
      <c r="N2468" s="211"/>
    </row>
    <row r="2469" spans="10:14" x14ac:dyDescent="0.4">
      <c r="J2469" s="140"/>
      <c r="N2469" s="211"/>
    </row>
    <row r="2470" spans="10:14" x14ac:dyDescent="0.4">
      <c r="J2470" s="140"/>
      <c r="N2470" s="211"/>
    </row>
    <row r="2471" spans="10:14" x14ac:dyDescent="0.4">
      <c r="J2471" s="140"/>
      <c r="N2471" s="211"/>
    </row>
    <row r="2472" spans="10:14" x14ac:dyDescent="0.4">
      <c r="J2472" s="140"/>
      <c r="N2472" s="211"/>
    </row>
    <row r="2473" spans="10:14" x14ac:dyDescent="0.4">
      <c r="J2473" s="140"/>
      <c r="N2473" s="211"/>
    </row>
    <row r="2474" spans="10:14" x14ac:dyDescent="0.4">
      <c r="J2474" s="140"/>
      <c r="N2474" s="211"/>
    </row>
    <row r="2475" spans="10:14" x14ac:dyDescent="0.4">
      <c r="J2475" s="140"/>
      <c r="N2475" s="211"/>
    </row>
    <row r="2476" spans="10:14" x14ac:dyDescent="0.4">
      <c r="J2476" s="140"/>
      <c r="N2476" s="211"/>
    </row>
    <row r="2477" spans="10:14" x14ac:dyDescent="0.4">
      <c r="J2477" s="140"/>
      <c r="N2477" s="211"/>
    </row>
    <row r="2478" spans="10:14" x14ac:dyDescent="0.4">
      <c r="J2478" s="140"/>
      <c r="N2478" s="211"/>
    </row>
    <row r="2479" spans="10:14" x14ac:dyDescent="0.4">
      <c r="J2479" s="140"/>
      <c r="N2479" s="211"/>
    </row>
    <row r="2480" spans="10:14" x14ac:dyDescent="0.4">
      <c r="J2480" s="140"/>
      <c r="N2480" s="211"/>
    </row>
    <row r="2481" spans="10:14" x14ac:dyDescent="0.4">
      <c r="J2481" s="140"/>
      <c r="N2481" s="211"/>
    </row>
    <row r="2482" spans="10:14" x14ac:dyDescent="0.4">
      <c r="J2482" s="140"/>
      <c r="N2482" s="211"/>
    </row>
    <row r="2483" spans="10:14" x14ac:dyDescent="0.4">
      <c r="J2483" s="140"/>
      <c r="N2483" s="211"/>
    </row>
    <row r="2484" spans="10:14" x14ac:dyDescent="0.4">
      <c r="J2484" s="140"/>
      <c r="N2484" s="211"/>
    </row>
    <row r="2485" spans="10:14" x14ac:dyDescent="0.4">
      <c r="J2485" s="140"/>
      <c r="N2485" s="211"/>
    </row>
    <row r="2486" spans="10:14" x14ac:dyDescent="0.4">
      <c r="J2486" s="140"/>
      <c r="N2486" s="211"/>
    </row>
    <row r="2487" spans="10:14" x14ac:dyDescent="0.4">
      <c r="J2487" s="140"/>
      <c r="N2487" s="211"/>
    </row>
    <row r="2488" spans="10:14" x14ac:dyDescent="0.4">
      <c r="J2488" s="140"/>
      <c r="N2488" s="211"/>
    </row>
    <row r="2489" spans="10:14" x14ac:dyDescent="0.4">
      <c r="J2489" s="140"/>
      <c r="N2489" s="211"/>
    </row>
    <row r="2490" spans="10:14" x14ac:dyDescent="0.4">
      <c r="J2490" s="140"/>
      <c r="N2490" s="211"/>
    </row>
    <row r="2491" spans="10:14" x14ac:dyDescent="0.4">
      <c r="J2491" s="140"/>
      <c r="N2491" s="211"/>
    </row>
    <row r="2492" spans="10:14" x14ac:dyDescent="0.4">
      <c r="J2492" s="140"/>
      <c r="N2492" s="211"/>
    </row>
    <row r="2493" spans="10:14" x14ac:dyDescent="0.4">
      <c r="J2493" s="140"/>
      <c r="N2493" s="211"/>
    </row>
    <row r="2494" spans="10:14" x14ac:dyDescent="0.4">
      <c r="J2494" s="140"/>
      <c r="N2494" s="211"/>
    </row>
    <row r="2495" spans="10:14" x14ac:dyDescent="0.4">
      <c r="J2495" s="140"/>
      <c r="N2495" s="211"/>
    </row>
    <row r="2496" spans="10:14" x14ac:dyDescent="0.4">
      <c r="J2496" s="140"/>
      <c r="N2496" s="211"/>
    </row>
    <row r="2497" spans="10:14" x14ac:dyDescent="0.4">
      <c r="J2497" s="140"/>
      <c r="N2497" s="211"/>
    </row>
    <row r="2498" spans="10:14" x14ac:dyDescent="0.4">
      <c r="J2498" s="140"/>
      <c r="N2498" s="211"/>
    </row>
    <row r="2499" spans="10:14" x14ac:dyDescent="0.4">
      <c r="J2499" s="140"/>
      <c r="N2499" s="211"/>
    </row>
    <row r="2500" spans="10:14" x14ac:dyDescent="0.4">
      <c r="J2500" s="140"/>
      <c r="N2500" s="211"/>
    </row>
    <row r="2501" spans="10:14" x14ac:dyDescent="0.4">
      <c r="J2501" s="140"/>
      <c r="N2501" s="211"/>
    </row>
    <row r="2502" spans="10:14" x14ac:dyDescent="0.4">
      <c r="J2502" s="140"/>
      <c r="N2502" s="211"/>
    </row>
    <row r="2503" spans="10:14" x14ac:dyDescent="0.4">
      <c r="J2503" s="140"/>
      <c r="N2503" s="211"/>
    </row>
    <row r="2504" spans="10:14" x14ac:dyDescent="0.4">
      <c r="J2504" s="140"/>
      <c r="N2504" s="211"/>
    </row>
    <row r="2505" spans="10:14" x14ac:dyDescent="0.4">
      <c r="J2505" s="140"/>
      <c r="N2505" s="211"/>
    </row>
    <row r="2506" spans="10:14" x14ac:dyDescent="0.4">
      <c r="J2506" s="140"/>
      <c r="N2506" s="211"/>
    </row>
    <row r="2507" spans="10:14" x14ac:dyDescent="0.4">
      <c r="J2507" s="140"/>
      <c r="N2507" s="211"/>
    </row>
    <row r="2508" spans="10:14" x14ac:dyDescent="0.4">
      <c r="J2508" s="140"/>
      <c r="N2508" s="211"/>
    </row>
    <row r="2509" spans="10:14" x14ac:dyDescent="0.4">
      <c r="J2509" s="140"/>
      <c r="N2509" s="211"/>
    </row>
    <row r="2510" spans="10:14" x14ac:dyDescent="0.4">
      <c r="J2510" s="140"/>
      <c r="N2510" s="211"/>
    </row>
    <row r="2511" spans="10:14" x14ac:dyDescent="0.4">
      <c r="J2511" s="140"/>
      <c r="N2511" s="211"/>
    </row>
    <row r="2512" spans="10:14" x14ac:dyDescent="0.4">
      <c r="J2512" s="140"/>
      <c r="N2512" s="211"/>
    </row>
    <row r="2513" spans="10:14" x14ac:dyDescent="0.4">
      <c r="J2513" s="140"/>
      <c r="N2513" s="211"/>
    </row>
    <row r="2514" spans="10:14" x14ac:dyDescent="0.4">
      <c r="J2514" s="140"/>
      <c r="N2514" s="211"/>
    </row>
    <row r="2515" spans="10:14" x14ac:dyDescent="0.4">
      <c r="J2515" s="140"/>
      <c r="N2515" s="211"/>
    </row>
    <row r="2516" spans="10:14" x14ac:dyDescent="0.4">
      <c r="J2516" s="140"/>
      <c r="N2516" s="211"/>
    </row>
    <row r="2517" spans="10:14" x14ac:dyDescent="0.4">
      <c r="J2517" s="140"/>
      <c r="N2517" s="211"/>
    </row>
    <row r="2518" spans="10:14" x14ac:dyDescent="0.4">
      <c r="J2518" s="140"/>
      <c r="N2518" s="211"/>
    </row>
    <row r="2519" spans="10:14" x14ac:dyDescent="0.4">
      <c r="J2519" s="140"/>
      <c r="N2519" s="211"/>
    </row>
    <row r="2520" spans="10:14" x14ac:dyDescent="0.4">
      <c r="J2520" s="140"/>
      <c r="N2520" s="211"/>
    </row>
    <row r="2521" spans="10:14" x14ac:dyDescent="0.4">
      <c r="J2521" s="140"/>
      <c r="N2521" s="211"/>
    </row>
    <row r="2522" spans="10:14" x14ac:dyDescent="0.4">
      <c r="J2522" s="140"/>
      <c r="N2522" s="211"/>
    </row>
    <row r="2523" spans="10:14" x14ac:dyDescent="0.4">
      <c r="J2523" s="140"/>
      <c r="N2523" s="211"/>
    </row>
    <row r="2524" spans="10:14" x14ac:dyDescent="0.4">
      <c r="J2524" s="140"/>
      <c r="N2524" s="211"/>
    </row>
    <row r="2525" spans="10:14" x14ac:dyDescent="0.4">
      <c r="J2525" s="140"/>
      <c r="N2525" s="211"/>
    </row>
    <row r="2526" spans="10:14" x14ac:dyDescent="0.4">
      <c r="J2526" s="140"/>
      <c r="N2526" s="211"/>
    </row>
    <row r="2527" spans="10:14" x14ac:dyDescent="0.4">
      <c r="J2527" s="140"/>
      <c r="N2527" s="211"/>
    </row>
    <row r="2528" spans="10:14" x14ac:dyDescent="0.4">
      <c r="J2528" s="140"/>
      <c r="N2528" s="211"/>
    </row>
    <row r="2529" spans="10:14" x14ac:dyDescent="0.4">
      <c r="J2529" s="140"/>
      <c r="N2529" s="211"/>
    </row>
    <row r="2530" spans="10:14" x14ac:dyDescent="0.4">
      <c r="J2530" s="140"/>
      <c r="N2530" s="211"/>
    </row>
    <row r="2531" spans="10:14" x14ac:dyDescent="0.4">
      <c r="J2531" s="140"/>
      <c r="N2531" s="211"/>
    </row>
    <row r="2532" spans="10:14" x14ac:dyDescent="0.4">
      <c r="J2532" s="140"/>
      <c r="N2532" s="211"/>
    </row>
    <row r="2533" spans="10:14" x14ac:dyDescent="0.4">
      <c r="J2533" s="140"/>
      <c r="N2533" s="211"/>
    </row>
    <row r="2534" spans="10:14" x14ac:dyDescent="0.4">
      <c r="J2534" s="140"/>
      <c r="N2534" s="211"/>
    </row>
    <row r="2535" spans="10:14" x14ac:dyDescent="0.4">
      <c r="J2535" s="140"/>
      <c r="N2535" s="211"/>
    </row>
    <row r="2536" spans="10:14" x14ac:dyDescent="0.4">
      <c r="J2536" s="140"/>
      <c r="N2536" s="211"/>
    </row>
    <row r="2537" spans="10:14" x14ac:dyDescent="0.4">
      <c r="J2537" s="140"/>
      <c r="N2537" s="211"/>
    </row>
    <row r="2538" spans="10:14" x14ac:dyDescent="0.4">
      <c r="J2538" s="140"/>
      <c r="N2538" s="211"/>
    </row>
    <row r="2539" spans="10:14" x14ac:dyDescent="0.4">
      <c r="J2539" s="140"/>
      <c r="N2539" s="211"/>
    </row>
    <row r="2540" spans="10:14" x14ac:dyDescent="0.4">
      <c r="J2540" s="140"/>
      <c r="N2540" s="211"/>
    </row>
    <row r="2541" spans="10:14" x14ac:dyDescent="0.4">
      <c r="J2541" s="140"/>
      <c r="N2541" s="211"/>
    </row>
    <row r="2542" spans="10:14" x14ac:dyDescent="0.4">
      <c r="J2542" s="140"/>
      <c r="N2542" s="211"/>
    </row>
    <row r="2543" spans="10:14" x14ac:dyDescent="0.4">
      <c r="J2543" s="140"/>
      <c r="N2543" s="211"/>
    </row>
    <row r="2544" spans="10:14" x14ac:dyDescent="0.4">
      <c r="J2544" s="140"/>
      <c r="N2544" s="211"/>
    </row>
    <row r="2545" spans="10:14" x14ac:dyDescent="0.4">
      <c r="J2545" s="140"/>
      <c r="N2545" s="211"/>
    </row>
    <row r="2546" spans="10:14" x14ac:dyDescent="0.4">
      <c r="J2546" s="140"/>
      <c r="N2546" s="211"/>
    </row>
    <row r="2547" spans="10:14" x14ac:dyDescent="0.4">
      <c r="J2547" s="140"/>
      <c r="N2547" s="211"/>
    </row>
    <row r="2548" spans="10:14" x14ac:dyDescent="0.4">
      <c r="J2548" s="140"/>
      <c r="N2548" s="211"/>
    </row>
    <row r="2549" spans="10:14" x14ac:dyDescent="0.4">
      <c r="J2549" s="140"/>
      <c r="N2549" s="211"/>
    </row>
    <row r="2550" spans="10:14" x14ac:dyDescent="0.4">
      <c r="J2550" s="140"/>
      <c r="N2550" s="211"/>
    </row>
    <row r="2551" spans="10:14" x14ac:dyDescent="0.4">
      <c r="J2551" s="140"/>
      <c r="N2551" s="211"/>
    </row>
    <row r="2552" spans="10:14" x14ac:dyDescent="0.4">
      <c r="J2552" s="140"/>
      <c r="N2552" s="211"/>
    </row>
    <row r="2553" spans="10:14" x14ac:dyDescent="0.4">
      <c r="J2553" s="140"/>
      <c r="N2553" s="211"/>
    </row>
    <row r="2554" spans="10:14" x14ac:dyDescent="0.4">
      <c r="J2554" s="140"/>
      <c r="N2554" s="211"/>
    </row>
    <row r="2555" spans="10:14" x14ac:dyDescent="0.4">
      <c r="J2555" s="140"/>
      <c r="N2555" s="211"/>
    </row>
    <row r="2556" spans="10:14" x14ac:dyDescent="0.4">
      <c r="J2556" s="140"/>
      <c r="N2556" s="211"/>
    </row>
    <row r="2557" spans="10:14" x14ac:dyDescent="0.4">
      <c r="J2557" s="140"/>
      <c r="N2557" s="211"/>
    </row>
    <row r="2558" spans="10:14" x14ac:dyDescent="0.4">
      <c r="J2558" s="140"/>
      <c r="N2558" s="211"/>
    </row>
    <row r="2559" spans="10:14" x14ac:dyDescent="0.4">
      <c r="J2559" s="140"/>
      <c r="N2559" s="211"/>
    </row>
    <row r="2560" spans="10:14" x14ac:dyDescent="0.4">
      <c r="J2560" s="140"/>
      <c r="N2560" s="211"/>
    </row>
    <row r="2561" spans="10:14" x14ac:dyDescent="0.4">
      <c r="J2561" s="140"/>
      <c r="N2561" s="211"/>
    </row>
    <row r="2562" spans="10:14" x14ac:dyDescent="0.4">
      <c r="J2562" s="140"/>
      <c r="N2562" s="211"/>
    </row>
    <row r="2563" spans="10:14" x14ac:dyDescent="0.4">
      <c r="J2563" s="140"/>
      <c r="N2563" s="211"/>
    </row>
    <row r="2564" spans="10:14" x14ac:dyDescent="0.4">
      <c r="J2564" s="140"/>
      <c r="N2564" s="211"/>
    </row>
    <row r="2565" spans="10:14" x14ac:dyDescent="0.4">
      <c r="J2565" s="140"/>
      <c r="N2565" s="211"/>
    </row>
    <row r="2566" spans="10:14" x14ac:dyDescent="0.4">
      <c r="J2566" s="140"/>
      <c r="N2566" s="211"/>
    </row>
    <row r="2567" spans="10:14" x14ac:dyDescent="0.4">
      <c r="J2567" s="140"/>
      <c r="N2567" s="211"/>
    </row>
    <row r="2568" spans="10:14" x14ac:dyDescent="0.4">
      <c r="J2568" s="140"/>
      <c r="N2568" s="211"/>
    </row>
    <row r="2569" spans="10:14" x14ac:dyDescent="0.4">
      <c r="J2569" s="140"/>
      <c r="N2569" s="211"/>
    </row>
    <row r="2570" spans="10:14" x14ac:dyDescent="0.4">
      <c r="J2570" s="140"/>
      <c r="N2570" s="211"/>
    </row>
    <row r="2571" spans="10:14" x14ac:dyDescent="0.4">
      <c r="J2571" s="140"/>
      <c r="N2571" s="211"/>
    </row>
    <row r="2572" spans="10:14" x14ac:dyDescent="0.4">
      <c r="J2572" s="140"/>
      <c r="N2572" s="211"/>
    </row>
    <row r="2573" spans="10:14" x14ac:dyDescent="0.4">
      <c r="J2573" s="140"/>
      <c r="N2573" s="211"/>
    </row>
    <row r="2574" spans="10:14" x14ac:dyDescent="0.4">
      <c r="J2574" s="140"/>
      <c r="N2574" s="211"/>
    </row>
    <row r="2575" spans="10:14" x14ac:dyDescent="0.4">
      <c r="J2575" s="140"/>
      <c r="N2575" s="211"/>
    </row>
    <row r="2576" spans="10:14" x14ac:dyDescent="0.4">
      <c r="J2576" s="140"/>
      <c r="N2576" s="211"/>
    </row>
    <row r="2577" spans="10:14" x14ac:dyDescent="0.4">
      <c r="J2577" s="140"/>
      <c r="N2577" s="211"/>
    </row>
    <row r="2578" spans="10:14" x14ac:dyDescent="0.4">
      <c r="J2578" s="140"/>
      <c r="N2578" s="211"/>
    </row>
    <row r="2579" spans="10:14" x14ac:dyDescent="0.4">
      <c r="J2579" s="140"/>
      <c r="N2579" s="211"/>
    </row>
    <row r="2580" spans="10:14" x14ac:dyDescent="0.4">
      <c r="J2580" s="140"/>
      <c r="N2580" s="211"/>
    </row>
    <row r="2581" spans="10:14" x14ac:dyDescent="0.4">
      <c r="J2581" s="140"/>
      <c r="N2581" s="211"/>
    </row>
    <row r="2582" spans="10:14" x14ac:dyDescent="0.4">
      <c r="J2582" s="140"/>
      <c r="N2582" s="211"/>
    </row>
    <row r="2583" spans="10:14" x14ac:dyDescent="0.4">
      <c r="J2583" s="140"/>
      <c r="N2583" s="211"/>
    </row>
    <row r="2584" spans="10:14" x14ac:dyDescent="0.4">
      <c r="J2584" s="140"/>
      <c r="N2584" s="211"/>
    </row>
    <row r="2585" spans="10:14" x14ac:dyDescent="0.4">
      <c r="J2585" s="140"/>
      <c r="N2585" s="211"/>
    </row>
    <row r="2586" spans="10:14" x14ac:dyDescent="0.4">
      <c r="J2586" s="140"/>
      <c r="N2586" s="211"/>
    </row>
    <row r="2587" spans="10:14" x14ac:dyDescent="0.4">
      <c r="J2587" s="140"/>
      <c r="N2587" s="211"/>
    </row>
    <row r="2588" spans="10:14" x14ac:dyDescent="0.4">
      <c r="J2588" s="140"/>
      <c r="N2588" s="211"/>
    </row>
    <row r="2589" spans="10:14" x14ac:dyDescent="0.4">
      <c r="J2589" s="140"/>
      <c r="N2589" s="211"/>
    </row>
    <row r="2590" spans="10:14" x14ac:dyDescent="0.4">
      <c r="J2590" s="140"/>
      <c r="N2590" s="211"/>
    </row>
    <row r="2591" spans="10:14" x14ac:dyDescent="0.4">
      <c r="J2591" s="140"/>
      <c r="N2591" s="211"/>
    </row>
    <row r="2592" spans="10:14" x14ac:dyDescent="0.4">
      <c r="J2592" s="140"/>
      <c r="N2592" s="211"/>
    </row>
    <row r="2593" spans="10:14" x14ac:dyDescent="0.4">
      <c r="J2593" s="140"/>
      <c r="N2593" s="211"/>
    </row>
    <row r="2594" spans="10:14" x14ac:dyDescent="0.4">
      <c r="J2594" s="140"/>
      <c r="N2594" s="211"/>
    </row>
    <row r="2595" spans="10:14" x14ac:dyDescent="0.4">
      <c r="J2595" s="140"/>
      <c r="N2595" s="211"/>
    </row>
    <row r="2596" spans="10:14" x14ac:dyDescent="0.4">
      <c r="J2596" s="140"/>
      <c r="N2596" s="211"/>
    </row>
    <row r="2597" spans="10:14" x14ac:dyDescent="0.4">
      <c r="J2597" s="140"/>
      <c r="N2597" s="211"/>
    </row>
    <row r="2598" spans="10:14" x14ac:dyDescent="0.4">
      <c r="J2598" s="140"/>
      <c r="N2598" s="211"/>
    </row>
    <row r="2599" spans="10:14" x14ac:dyDescent="0.4">
      <c r="J2599" s="140"/>
      <c r="N2599" s="211"/>
    </row>
    <row r="2600" spans="10:14" x14ac:dyDescent="0.4">
      <c r="J2600" s="140"/>
      <c r="N2600" s="211"/>
    </row>
    <row r="2601" spans="10:14" x14ac:dyDescent="0.4">
      <c r="J2601" s="140"/>
      <c r="N2601" s="211"/>
    </row>
    <row r="2602" spans="10:14" x14ac:dyDescent="0.4">
      <c r="J2602" s="140"/>
      <c r="N2602" s="211"/>
    </row>
    <row r="2603" spans="10:14" x14ac:dyDescent="0.4">
      <c r="J2603" s="140"/>
      <c r="N2603" s="211"/>
    </row>
    <row r="2604" spans="10:14" x14ac:dyDescent="0.4">
      <c r="J2604" s="140"/>
      <c r="N2604" s="211"/>
    </row>
    <row r="2605" spans="10:14" x14ac:dyDescent="0.4">
      <c r="J2605" s="140"/>
      <c r="N2605" s="211"/>
    </row>
    <row r="2606" spans="10:14" x14ac:dyDescent="0.4">
      <c r="J2606" s="140"/>
      <c r="N2606" s="211"/>
    </row>
    <row r="2607" spans="10:14" x14ac:dyDescent="0.4">
      <c r="J2607" s="140"/>
      <c r="N2607" s="211"/>
    </row>
    <row r="2608" spans="10:14" x14ac:dyDescent="0.4">
      <c r="J2608" s="140"/>
      <c r="N2608" s="211"/>
    </row>
    <row r="2609" spans="10:14" x14ac:dyDescent="0.4">
      <c r="J2609" s="140"/>
      <c r="N2609" s="211"/>
    </row>
    <row r="2610" spans="10:14" x14ac:dyDescent="0.4">
      <c r="J2610" s="140"/>
      <c r="N2610" s="211"/>
    </row>
    <row r="2611" spans="10:14" x14ac:dyDescent="0.4">
      <c r="J2611" s="140"/>
      <c r="N2611" s="211"/>
    </row>
    <row r="2612" spans="10:14" x14ac:dyDescent="0.4">
      <c r="J2612" s="140"/>
      <c r="N2612" s="211"/>
    </row>
    <row r="2613" spans="10:14" x14ac:dyDescent="0.4">
      <c r="J2613" s="140"/>
      <c r="N2613" s="211"/>
    </row>
    <row r="2614" spans="10:14" x14ac:dyDescent="0.4">
      <c r="J2614" s="140"/>
      <c r="N2614" s="211"/>
    </row>
    <row r="2615" spans="10:14" x14ac:dyDescent="0.4">
      <c r="J2615" s="140"/>
      <c r="N2615" s="211"/>
    </row>
    <row r="2616" spans="10:14" x14ac:dyDescent="0.4">
      <c r="J2616" s="140"/>
      <c r="N2616" s="211"/>
    </row>
    <row r="2617" spans="10:14" x14ac:dyDescent="0.4">
      <c r="J2617" s="140"/>
      <c r="N2617" s="211"/>
    </row>
    <row r="2618" spans="10:14" x14ac:dyDescent="0.4">
      <c r="J2618" s="140"/>
      <c r="N2618" s="211"/>
    </row>
    <row r="2619" spans="10:14" x14ac:dyDescent="0.4">
      <c r="J2619" s="140"/>
      <c r="N2619" s="211"/>
    </row>
    <row r="2620" spans="10:14" x14ac:dyDescent="0.4">
      <c r="J2620" s="140"/>
      <c r="N2620" s="211"/>
    </row>
    <row r="2621" spans="10:14" x14ac:dyDescent="0.4">
      <c r="J2621" s="140"/>
      <c r="N2621" s="211"/>
    </row>
    <row r="2622" spans="10:14" x14ac:dyDescent="0.4">
      <c r="J2622" s="140"/>
      <c r="N2622" s="211"/>
    </row>
    <row r="2623" spans="10:14" x14ac:dyDescent="0.4">
      <c r="J2623" s="140"/>
      <c r="N2623" s="211"/>
    </row>
    <row r="2624" spans="10:14" x14ac:dyDescent="0.4">
      <c r="J2624" s="140"/>
      <c r="N2624" s="211"/>
    </row>
    <row r="2625" spans="10:14" x14ac:dyDescent="0.4">
      <c r="J2625" s="140"/>
      <c r="N2625" s="211"/>
    </row>
    <row r="2626" spans="10:14" x14ac:dyDescent="0.4">
      <c r="J2626" s="140"/>
      <c r="N2626" s="211"/>
    </row>
    <row r="2627" spans="10:14" x14ac:dyDescent="0.4">
      <c r="J2627" s="140"/>
      <c r="N2627" s="211"/>
    </row>
    <row r="2628" spans="10:14" x14ac:dyDescent="0.4">
      <c r="J2628" s="140"/>
      <c r="N2628" s="211"/>
    </row>
    <row r="2629" spans="10:14" x14ac:dyDescent="0.4">
      <c r="J2629" s="140"/>
      <c r="N2629" s="211"/>
    </row>
    <row r="2630" spans="10:14" x14ac:dyDescent="0.4">
      <c r="J2630" s="140"/>
      <c r="N2630" s="211"/>
    </row>
    <row r="2631" spans="10:14" x14ac:dyDescent="0.4">
      <c r="J2631" s="140"/>
      <c r="N2631" s="211"/>
    </row>
    <row r="2632" spans="10:14" x14ac:dyDescent="0.4">
      <c r="J2632" s="140"/>
      <c r="N2632" s="211"/>
    </row>
    <row r="2633" spans="10:14" x14ac:dyDescent="0.4">
      <c r="J2633" s="140"/>
      <c r="N2633" s="211"/>
    </row>
    <row r="2634" spans="10:14" x14ac:dyDescent="0.4">
      <c r="J2634" s="140"/>
      <c r="N2634" s="211"/>
    </row>
    <row r="2635" spans="10:14" x14ac:dyDescent="0.4">
      <c r="J2635" s="140"/>
      <c r="N2635" s="211"/>
    </row>
    <row r="2636" spans="10:14" x14ac:dyDescent="0.4">
      <c r="J2636" s="140"/>
      <c r="N2636" s="211"/>
    </row>
    <row r="2637" spans="10:14" x14ac:dyDescent="0.4">
      <c r="J2637" s="140"/>
      <c r="N2637" s="211"/>
    </row>
    <row r="2638" spans="10:14" x14ac:dyDescent="0.4">
      <c r="J2638" s="140"/>
      <c r="N2638" s="211"/>
    </row>
    <row r="2639" spans="10:14" x14ac:dyDescent="0.4">
      <c r="J2639" s="140"/>
      <c r="N2639" s="211"/>
    </row>
    <row r="2640" spans="10:14" x14ac:dyDescent="0.4">
      <c r="J2640" s="140"/>
      <c r="N2640" s="211"/>
    </row>
    <row r="2641" spans="10:14" x14ac:dyDescent="0.4">
      <c r="J2641" s="140"/>
      <c r="N2641" s="211"/>
    </row>
    <row r="2642" spans="10:14" x14ac:dyDescent="0.4">
      <c r="J2642" s="140"/>
      <c r="N2642" s="211"/>
    </row>
    <row r="2643" spans="10:14" x14ac:dyDescent="0.4">
      <c r="J2643" s="140"/>
      <c r="N2643" s="211"/>
    </row>
    <row r="2644" spans="10:14" x14ac:dyDescent="0.4">
      <c r="J2644" s="140"/>
      <c r="N2644" s="211"/>
    </row>
    <row r="2645" spans="10:14" x14ac:dyDescent="0.4">
      <c r="J2645" s="140"/>
      <c r="N2645" s="211"/>
    </row>
    <row r="2646" spans="10:14" x14ac:dyDescent="0.4">
      <c r="J2646" s="140"/>
      <c r="N2646" s="211"/>
    </row>
    <row r="2647" spans="10:14" x14ac:dyDescent="0.4">
      <c r="J2647" s="140"/>
      <c r="N2647" s="211"/>
    </row>
    <row r="2648" spans="10:14" x14ac:dyDescent="0.4">
      <c r="J2648" s="140"/>
      <c r="N2648" s="211"/>
    </row>
    <row r="2649" spans="10:14" x14ac:dyDescent="0.4">
      <c r="J2649" s="140"/>
      <c r="N2649" s="211"/>
    </row>
    <row r="2650" spans="10:14" x14ac:dyDescent="0.4">
      <c r="J2650" s="140"/>
      <c r="N2650" s="211"/>
    </row>
    <row r="2651" spans="10:14" x14ac:dyDescent="0.4">
      <c r="J2651" s="140"/>
      <c r="N2651" s="211"/>
    </row>
    <row r="2652" spans="10:14" x14ac:dyDescent="0.4">
      <c r="J2652" s="140"/>
      <c r="N2652" s="211"/>
    </row>
    <row r="2653" spans="10:14" x14ac:dyDescent="0.4">
      <c r="J2653" s="140"/>
      <c r="N2653" s="211"/>
    </row>
    <row r="2654" spans="10:14" x14ac:dyDescent="0.4">
      <c r="J2654" s="140"/>
      <c r="N2654" s="211"/>
    </row>
    <row r="2655" spans="10:14" x14ac:dyDescent="0.4">
      <c r="J2655" s="140"/>
      <c r="N2655" s="211"/>
    </row>
    <row r="2656" spans="10:14" x14ac:dyDescent="0.4">
      <c r="J2656" s="140"/>
      <c r="N2656" s="211"/>
    </row>
    <row r="2657" spans="10:14" x14ac:dyDescent="0.4">
      <c r="J2657" s="140"/>
      <c r="N2657" s="211"/>
    </row>
    <row r="2658" spans="10:14" x14ac:dyDescent="0.4">
      <c r="J2658" s="140"/>
      <c r="N2658" s="211"/>
    </row>
    <row r="2659" spans="10:14" x14ac:dyDescent="0.4">
      <c r="J2659" s="140"/>
      <c r="N2659" s="211"/>
    </row>
    <row r="2660" spans="10:14" x14ac:dyDescent="0.4">
      <c r="J2660" s="140"/>
      <c r="N2660" s="211"/>
    </row>
    <row r="2661" spans="10:14" x14ac:dyDescent="0.4">
      <c r="J2661" s="140"/>
      <c r="N2661" s="211"/>
    </row>
    <row r="2662" spans="10:14" x14ac:dyDescent="0.4">
      <c r="J2662" s="140"/>
      <c r="N2662" s="211"/>
    </row>
    <row r="2663" spans="10:14" x14ac:dyDescent="0.4">
      <c r="J2663" s="140"/>
      <c r="N2663" s="211"/>
    </row>
    <row r="2664" spans="10:14" x14ac:dyDescent="0.4">
      <c r="J2664" s="140"/>
      <c r="N2664" s="211"/>
    </row>
    <row r="2665" spans="10:14" x14ac:dyDescent="0.4">
      <c r="J2665" s="140"/>
      <c r="N2665" s="211"/>
    </row>
    <row r="2666" spans="10:14" x14ac:dyDescent="0.4">
      <c r="J2666" s="140"/>
      <c r="N2666" s="211"/>
    </row>
    <row r="2667" spans="10:14" x14ac:dyDescent="0.4">
      <c r="J2667" s="140"/>
      <c r="N2667" s="211"/>
    </row>
    <row r="2668" spans="10:14" x14ac:dyDescent="0.4">
      <c r="J2668" s="140"/>
      <c r="N2668" s="211"/>
    </row>
    <row r="2669" spans="10:14" x14ac:dyDescent="0.4">
      <c r="J2669" s="140"/>
      <c r="N2669" s="211"/>
    </row>
    <row r="2670" spans="10:14" x14ac:dyDescent="0.4">
      <c r="J2670" s="140"/>
      <c r="N2670" s="211"/>
    </row>
    <row r="2671" spans="10:14" x14ac:dyDescent="0.4">
      <c r="J2671" s="140"/>
      <c r="N2671" s="211"/>
    </row>
    <row r="2672" spans="10:14" x14ac:dyDescent="0.4">
      <c r="J2672" s="140"/>
      <c r="N2672" s="211"/>
    </row>
    <row r="2673" spans="10:14" x14ac:dyDescent="0.4">
      <c r="J2673" s="140"/>
      <c r="N2673" s="211"/>
    </row>
    <row r="2674" spans="10:14" x14ac:dyDescent="0.4">
      <c r="J2674" s="140"/>
      <c r="N2674" s="211"/>
    </row>
    <row r="2675" spans="10:14" x14ac:dyDescent="0.4">
      <c r="J2675" s="140"/>
      <c r="N2675" s="211"/>
    </row>
    <row r="2676" spans="10:14" x14ac:dyDescent="0.4">
      <c r="J2676" s="140"/>
      <c r="N2676" s="211"/>
    </row>
    <row r="2677" spans="10:14" x14ac:dyDescent="0.4">
      <c r="J2677" s="140"/>
      <c r="N2677" s="211"/>
    </row>
    <row r="2678" spans="10:14" x14ac:dyDescent="0.4">
      <c r="J2678" s="140"/>
      <c r="N2678" s="211"/>
    </row>
    <row r="2679" spans="10:14" x14ac:dyDescent="0.4">
      <c r="J2679" s="140"/>
      <c r="N2679" s="211"/>
    </row>
    <row r="2680" spans="10:14" x14ac:dyDescent="0.4">
      <c r="J2680" s="140"/>
      <c r="N2680" s="211"/>
    </row>
    <row r="2681" spans="10:14" x14ac:dyDescent="0.4">
      <c r="J2681" s="140"/>
      <c r="N2681" s="211"/>
    </row>
    <row r="2682" spans="10:14" x14ac:dyDescent="0.4">
      <c r="J2682" s="140"/>
      <c r="N2682" s="211"/>
    </row>
    <row r="2683" spans="10:14" x14ac:dyDescent="0.4">
      <c r="J2683" s="140"/>
      <c r="N2683" s="211"/>
    </row>
    <row r="2684" spans="10:14" x14ac:dyDescent="0.4">
      <c r="J2684" s="140"/>
      <c r="N2684" s="211"/>
    </row>
    <row r="2685" spans="10:14" x14ac:dyDescent="0.4">
      <c r="J2685" s="140"/>
      <c r="N2685" s="211"/>
    </row>
    <row r="2686" spans="10:14" x14ac:dyDescent="0.4">
      <c r="J2686" s="140"/>
      <c r="N2686" s="211"/>
    </row>
    <row r="2687" spans="10:14" x14ac:dyDescent="0.4">
      <c r="J2687" s="140"/>
      <c r="N2687" s="211"/>
    </row>
    <row r="2688" spans="10:14" x14ac:dyDescent="0.4">
      <c r="J2688" s="140"/>
      <c r="N2688" s="211"/>
    </row>
    <row r="2689" spans="10:14" x14ac:dyDescent="0.4">
      <c r="J2689" s="140"/>
      <c r="N2689" s="211"/>
    </row>
    <row r="2690" spans="10:14" x14ac:dyDescent="0.4">
      <c r="J2690" s="140"/>
      <c r="N2690" s="211"/>
    </row>
    <row r="2691" spans="10:14" x14ac:dyDescent="0.4">
      <c r="J2691" s="140"/>
      <c r="N2691" s="211"/>
    </row>
    <row r="2692" spans="10:14" x14ac:dyDescent="0.4">
      <c r="J2692" s="140"/>
      <c r="N2692" s="211"/>
    </row>
    <row r="2693" spans="10:14" x14ac:dyDescent="0.4">
      <c r="J2693" s="140"/>
      <c r="N2693" s="211"/>
    </row>
    <row r="2694" spans="10:14" x14ac:dyDescent="0.4">
      <c r="J2694" s="140"/>
      <c r="N2694" s="211"/>
    </row>
    <row r="2695" spans="10:14" x14ac:dyDescent="0.4">
      <c r="J2695" s="140"/>
      <c r="N2695" s="211"/>
    </row>
    <row r="2696" spans="10:14" x14ac:dyDescent="0.4">
      <c r="J2696" s="140"/>
      <c r="N2696" s="211"/>
    </row>
    <row r="2697" spans="10:14" x14ac:dyDescent="0.4">
      <c r="J2697" s="140"/>
      <c r="N2697" s="211"/>
    </row>
    <row r="2698" spans="10:14" x14ac:dyDescent="0.4">
      <c r="J2698" s="140"/>
      <c r="N2698" s="211"/>
    </row>
    <row r="2699" spans="10:14" x14ac:dyDescent="0.4">
      <c r="J2699" s="140"/>
      <c r="N2699" s="211"/>
    </row>
    <row r="2700" spans="10:14" x14ac:dyDescent="0.4">
      <c r="J2700" s="140"/>
      <c r="N2700" s="211"/>
    </row>
    <row r="2701" spans="10:14" x14ac:dyDescent="0.4">
      <c r="J2701" s="140"/>
      <c r="N2701" s="211"/>
    </row>
    <row r="2702" spans="10:14" x14ac:dyDescent="0.4">
      <c r="J2702" s="140"/>
      <c r="N2702" s="211"/>
    </row>
    <row r="2703" spans="10:14" x14ac:dyDescent="0.4">
      <c r="J2703" s="140"/>
      <c r="N2703" s="211"/>
    </row>
    <row r="2704" spans="10:14" x14ac:dyDescent="0.4">
      <c r="J2704" s="140"/>
      <c r="N2704" s="211"/>
    </row>
    <row r="2705" spans="10:14" x14ac:dyDescent="0.4">
      <c r="J2705" s="140"/>
      <c r="N2705" s="211"/>
    </row>
    <row r="2706" spans="10:14" x14ac:dyDescent="0.4">
      <c r="J2706" s="140"/>
      <c r="N2706" s="211"/>
    </row>
    <row r="2707" spans="10:14" x14ac:dyDescent="0.4">
      <c r="J2707" s="140"/>
      <c r="N2707" s="211"/>
    </row>
    <row r="2708" spans="10:14" x14ac:dyDescent="0.4">
      <c r="J2708" s="140"/>
      <c r="N2708" s="211"/>
    </row>
    <row r="2709" spans="10:14" x14ac:dyDescent="0.4">
      <c r="J2709" s="140"/>
      <c r="N2709" s="211"/>
    </row>
    <row r="2710" spans="10:14" x14ac:dyDescent="0.4">
      <c r="J2710" s="140"/>
      <c r="N2710" s="211"/>
    </row>
    <row r="2711" spans="10:14" x14ac:dyDescent="0.4">
      <c r="J2711" s="140"/>
      <c r="N2711" s="211"/>
    </row>
    <row r="2712" spans="10:14" x14ac:dyDescent="0.4">
      <c r="J2712" s="140"/>
      <c r="N2712" s="211"/>
    </row>
    <row r="2713" spans="10:14" x14ac:dyDescent="0.4">
      <c r="J2713" s="140"/>
      <c r="N2713" s="211"/>
    </row>
    <row r="2714" spans="10:14" x14ac:dyDescent="0.4">
      <c r="J2714" s="140"/>
      <c r="N2714" s="211"/>
    </row>
    <row r="2715" spans="10:14" x14ac:dyDescent="0.4">
      <c r="J2715" s="140"/>
      <c r="N2715" s="211"/>
    </row>
    <row r="2716" spans="10:14" x14ac:dyDescent="0.4">
      <c r="J2716" s="140"/>
      <c r="N2716" s="211"/>
    </row>
    <row r="2717" spans="10:14" x14ac:dyDescent="0.4">
      <c r="J2717" s="140"/>
      <c r="N2717" s="211"/>
    </row>
    <row r="2718" spans="10:14" x14ac:dyDescent="0.4">
      <c r="J2718" s="140"/>
      <c r="N2718" s="211"/>
    </row>
    <row r="2719" spans="10:14" x14ac:dyDescent="0.4">
      <c r="J2719" s="140"/>
      <c r="N2719" s="211"/>
    </row>
    <row r="2720" spans="10:14" x14ac:dyDescent="0.4">
      <c r="J2720" s="140"/>
      <c r="N2720" s="211"/>
    </row>
    <row r="2721" spans="10:14" x14ac:dyDescent="0.4">
      <c r="J2721" s="140"/>
      <c r="N2721" s="211"/>
    </row>
    <row r="2722" spans="10:14" x14ac:dyDescent="0.4">
      <c r="J2722" s="140"/>
      <c r="N2722" s="211"/>
    </row>
    <row r="2723" spans="10:14" x14ac:dyDescent="0.4">
      <c r="J2723" s="140"/>
      <c r="N2723" s="211"/>
    </row>
    <row r="2724" spans="10:14" x14ac:dyDescent="0.4">
      <c r="J2724" s="140"/>
      <c r="N2724" s="211"/>
    </row>
    <row r="2725" spans="10:14" x14ac:dyDescent="0.4">
      <c r="J2725" s="140"/>
      <c r="N2725" s="211"/>
    </row>
    <row r="2726" spans="10:14" x14ac:dyDescent="0.4">
      <c r="J2726" s="140"/>
      <c r="N2726" s="211"/>
    </row>
    <row r="2727" spans="10:14" x14ac:dyDescent="0.4">
      <c r="J2727" s="140"/>
      <c r="N2727" s="211"/>
    </row>
    <row r="2728" spans="10:14" x14ac:dyDescent="0.4">
      <c r="J2728" s="140"/>
      <c r="N2728" s="211"/>
    </row>
    <row r="2729" spans="10:14" x14ac:dyDescent="0.4">
      <c r="J2729" s="140"/>
      <c r="N2729" s="211"/>
    </row>
    <row r="2730" spans="10:14" x14ac:dyDescent="0.4">
      <c r="J2730" s="140"/>
      <c r="N2730" s="211"/>
    </row>
    <row r="2731" spans="10:14" x14ac:dyDescent="0.4">
      <c r="J2731" s="140"/>
      <c r="N2731" s="211"/>
    </row>
    <row r="2732" spans="10:14" x14ac:dyDescent="0.4">
      <c r="J2732" s="140"/>
      <c r="N2732" s="211"/>
    </row>
    <row r="2733" spans="10:14" x14ac:dyDescent="0.4">
      <c r="J2733" s="140"/>
      <c r="N2733" s="211"/>
    </row>
    <row r="2734" spans="10:14" x14ac:dyDescent="0.4">
      <c r="J2734" s="140"/>
      <c r="N2734" s="211"/>
    </row>
    <row r="2735" spans="10:14" x14ac:dyDescent="0.4">
      <c r="J2735" s="140"/>
      <c r="N2735" s="211"/>
    </row>
    <row r="2736" spans="10:14" x14ac:dyDescent="0.4">
      <c r="J2736" s="140"/>
      <c r="N2736" s="211"/>
    </row>
    <row r="2737" spans="10:14" x14ac:dyDescent="0.4">
      <c r="J2737" s="140"/>
      <c r="N2737" s="211"/>
    </row>
    <row r="2738" spans="10:14" x14ac:dyDescent="0.4">
      <c r="J2738" s="140"/>
      <c r="N2738" s="211"/>
    </row>
    <row r="2739" spans="10:14" x14ac:dyDescent="0.4">
      <c r="J2739" s="140"/>
      <c r="N2739" s="211"/>
    </row>
    <row r="2740" spans="10:14" x14ac:dyDescent="0.4">
      <c r="J2740" s="140"/>
      <c r="N2740" s="211"/>
    </row>
    <row r="2741" spans="10:14" x14ac:dyDescent="0.4">
      <c r="J2741" s="140"/>
      <c r="N2741" s="211"/>
    </row>
    <row r="2742" spans="10:14" x14ac:dyDescent="0.4">
      <c r="J2742" s="140"/>
      <c r="N2742" s="211"/>
    </row>
    <row r="2743" spans="10:14" x14ac:dyDescent="0.4">
      <c r="J2743" s="140"/>
      <c r="N2743" s="211"/>
    </row>
    <row r="2744" spans="10:14" x14ac:dyDescent="0.4">
      <c r="J2744" s="140"/>
      <c r="N2744" s="211"/>
    </row>
    <row r="2745" spans="10:14" x14ac:dyDescent="0.4">
      <c r="J2745" s="140"/>
      <c r="N2745" s="211"/>
    </row>
    <row r="2746" spans="10:14" x14ac:dyDescent="0.4">
      <c r="J2746" s="140"/>
      <c r="N2746" s="211"/>
    </row>
    <row r="2747" spans="10:14" x14ac:dyDescent="0.4">
      <c r="J2747" s="140"/>
      <c r="N2747" s="211"/>
    </row>
    <row r="2748" spans="10:14" x14ac:dyDescent="0.4">
      <c r="J2748" s="140"/>
      <c r="N2748" s="211"/>
    </row>
    <row r="2749" spans="10:14" x14ac:dyDescent="0.4">
      <c r="J2749" s="140"/>
      <c r="N2749" s="211"/>
    </row>
    <row r="2750" spans="10:14" x14ac:dyDescent="0.4">
      <c r="J2750" s="140"/>
      <c r="N2750" s="211"/>
    </row>
    <row r="2751" spans="10:14" x14ac:dyDescent="0.4">
      <c r="J2751" s="140"/>
      <c r="N2751" s="211"/>
    </row>
    <row r="2752" spans="10:14" x14ac:dyDescent="0.4">
      <c r="J2752" s="140"/>
      <c r="N2752" s="211"/>
    </row>
    <row r="2753" spans="10:14" x14ac:dyDescent="0.4">
      <c r="J2753" s="140"/>
      <c r="N2753" s="211"/>
    </row>
    <row r="2754" spans="10:14" x14ac:dyDescent="0.4">
      <c r="J2754" s="140"/>
      <c r="N2754" s="211"/>
    </row>
    <row r="2755" spans="10:14" x14ac:dyDescent="0.4">
      <c r="J2755" s="140"/>
      <c r="N2755" s="211"/>
    </row>
    <row r="2756" spans="10:14" x14ac:dyDescent="0.4">
      <c r="J2756" s="140"/>
      <c r="N2756" s="211"/>
    </row>
    <row r="2757" spans="10:14" x14ac:dyDescent="0.4">
      <c r="J2757" s="140"/>
      <c r="N2757" s="211"/>
    </row>
    <row r="2758" spans="10:14" x14ac:dyDescent="0.4">
      <c r="J2758" s="140"/>
      <c r="N2758" s="211"/>
    </row>
    <row r="2759" spans="10:14" x14ac:dyDescent="0.4">
      <c r="J2759" s="140"/>
      <c r="N2759" s="211"/>
    </row>
    <row r="2760" spans="10:14" x14ac:dyDescent="0.4">
      <c r="J2760" s="140"/>
      <c r="N2760" s="211"/>
    </row>
    <row r="2761" spans="10:14" x14ac:dyDescent="0.4">
      <c r="J2761" s="140"/>
      <c r="N2761" s="211"/>
    </row>
    <row r="2762" spans="10:14" x14ac:dyDescent="0.4">
      <c r="J2762" s="140"/>
      <c r="N2762" s="211"/>
    </row>
    <row r="2763" spans="10:14" x14ac:dyDescent="0.4">
      <c r="J2763" s="140"/>
      <c r="N2763" s="211"/>
    </row>
    <row r="2764" spans="10:14" x14ac:dyDescent="0.4">
      <c r="J2764" s="140"/>
      <c r="N2764" s="211"/>
    </row>
    <row r="2765" spans="10:14" x14ac:dyDescent="0.4">
      <c r="J2765" s="140"/>
      <c r="N2765" s="211"/>
    </row>
    <row r="2766" spans="10:14" x14ac:dyDescent="0.4">
      <c r="J2766" s="140"/>
      <c r="N2766" s="211"/>
    </row>
    <row r="2767" spans="10:14" x14ac:dyDescent="0.4">
      <c r="J2767" s="140"/>
      <c r="N2767" s="211"/>
    </row>
    <row r="2768" spans="10:14" x14ac:dyDescent="0.4">
      <c r="J2768" s="140"/>
      <c r="N2768" s="211"/>
    </row>
    <row r="2769" spans="10:14" x14ac:dyDescent="0.4">
      <c r="J2769" s="140"/>
      <c r="N2769" s="211"/>
    </row>
    <row r="2770" spans="10:14" x14ac:dyDescent="0.4">
      <c r="J2770" s="140"/>
      <c r="N2770" s="211"/>
    </row>
    <row r="2771" spans="10:14" x14ac:dyDescent="0.4">
      <c r="J2771" s="140"/>
      <c r="N2771" s="211"/>
    </row>
    <row r="2772" spans="10:14" x14ac:dyDescent="0.4">
      <c r="J2772" s="140"/>
      <c r="N2772" s="211"/>
    </row>
    <row r="2773" spans="10:14" x14ac:dyDescent="0.4">
      <c r="J2773" s="140"/>
      <c r="N2773" s="211"/>
    </row>
    <row r="2774" spans="10:14" x14ac:dyDescent="0.4">
      <c r="J2774" s="140"/>
      <c r="N2774" s="211"/>
    </row>
    <row r="2775" spans="10:14" x14ac:dyDescent="0.4">
      <c r="J2775" s="140"/>
      <c r="N2775" s="211"/>
    </row>
    <row r="2776" spans="10:14" x14ac:dyDescent="0.4">
      <c r="J2776" s="140"/>
      <c r="N2776" s="211"/>
    </row>
    <row r="2777" spans="10:14" x14ac:dyDescent="0.4">
      <c r="J2777" s="140"/>
      <c r="N2777" s="211"/>
    </row>
    <row r="2778" spans="10:14" x14ac:dyDescent="0.4">
      <c r="J2778" s="140"/>
      <c r="N2778" s="211"/>
    </row>
    <row r="2779" spans="10:14" x14ac:dyDescent="0.4">
      <c r="J2779" s="140"/>
      <c r="N2779" s="211"/>
    </row>
    <row r="2780" spans="10:14" x14ac:dyDescent="0.4">
      <c r="J2780" s="140"/>
      <c r="N2780" s="211"/>
    </row>
    <row r="2781" spans="10:14" x14ac:dyDescent="0.4">
      <c r="J2781" s="140"/>
      <c r="N2781" s="211"/>
    </row>
    <row r="2782" spans="10:14" x14ac:dyDescent="0.4">
      <c r="J2782" s="140"/>
      <c r="N2782" s="211"/>
    </row>
    <row r="2783" spans="10:14" x14ac:dyDescent="0.4">
      <c r="J2783" s="140"/>
      <c r="N2783" s="211"/>
    </row>
    <row r="2784" spans="10:14" x14ac:dyDescent="0.4">
      <c r="J2784" s="140"/>
      <c r="N2784" s="211"/>
    </row>
    <row r="2785" spans="10:14" x14ac:dyDescent="0.4">
      <c r="J2785" s="140"/>
      <c r="N2785" s="211"/>
    </row>
    <row r="2786" spans="10:14" x14ac:dyDescent="0.4">
      <c r="J2786" s="140"/>
      <c r="N2786" s="211"/>
    </row>
    <row r="2787" spans="10:14" x14ac:dyDescent="0.4">
      <c r="J2787" s="140"/>
      <c r="N2787" s="211"/>
    </row>
    <row r="2788" spans="10:14" x14ac:dyDescent="0.4">
      <c r="J2788" s="140"/>
      <c r="N2788" s="211"/>
    </row>
    <row r="2789" spans="10:14" x14ac:dyDescent="0.4">
      <c r="J2789" s="140"/>
      <c r="N2789" s="211"/>
    </row>
    <row r="2790" spans="10:14" x14ac:dyDescent="0.4">
      <c r="J2790" s="140"/>
      <c r="N2790" s="211"/>
    </row>
    <row r="2791" spans="10:14" x14ac:dyDescent="0.4">
      <c r="J2791" s="140"/>
      <c r="N2791" s="211"/>
    </row>
    <row r="2792" spans="10:14" x14ac:dyDescent="0.4">
      <c r="J2792" s="140"/>
      <c r="N2792" s="211"/>
    </row>
    <row r="2793" spans="10:14" x14ac:dyDescent="0.4">
      <c r="J2793" s="140"/>
      <c r="N2793" s="211"/>
    </row>
    <row r="2794" spans="10:14" x14ac:dyDescent="0.4">
      <c r="J2794" s="140"/>
      <c r="N2794" s="211"/>
    </row>
    <row r="2795" spans="10:14" x14ac:dyDescent="0.4">
      <c r="J2795" s="140"/>
      <c r="N2795" s="211"/>
    </row>
    <row r="2796" spans="10:14" x14ac:dyDescent="0.4">
      <c r="J2796" s="140"/>
      <c r="N2796" s="211"/>
    </row>
    <row r="2797" spans="10:14" x14ac:dyDescent="0.4">
      <c r="J2797" s="140"/>
      <c r="N2797" s="211"/>
    </row>
    <row r="2798" spans="10:14" x14ac:dyDescent="0.4">
      <c r="J2798" s="140"/>
      <c r="N2798" s="211"/>
    </row>
    <row r="2799" spans="10:14" x14ac:dyDescent="0.4">
      <c r="J2799" s="140"/>
      <c r="N2799" s="211"/>
    </row>
    <row r="2800" spans="10:14" x14ac:dyDescent="0.4">
      <c r="J2800" s="140"/>
      <c r="N2800" s="211"/>
    </row>
    <row r="2801" spans="10:14" x14ac:dyDescent="0.4">
      <c r="J2801" s="140"/>
      <c r="N2801" s="211"/>
    </row>
    <row r="2802" spans="10:14" x14ac:dyDescent="0.4">
      <c r="J2802" s="140"/>
      <c r="N2802" s="211"/>
    </row>
    <row r="2803" spans="10:14" x14ac:dyDescent="0.4">
      <c r="J2803" s="140"/>
      <c r="N2803" s="211"/>
    </row>
    <row r="2804" spans="10:14" x14ac:dyDescent="0.4">
      <c r="J2804" s="140"/>
      <c r="N2804" s="211"/>
    </row>
    <row r="2805" spans="10:14" x14ac:dyDescent="0.4">
      <c r="J2805" s="140"/>
      <c r="N2805" s="211"/>
    </row>
    <row r="2806" spans="10:14" x14ac:dyDescent="0.4">
      <c r="J2806" s="140"/>
      <c r="N2806" s="211"/>
    </row>
    <row r="2807" spans="10:14" x14ac:dyDescent="0.4">
      <c r="J2807" s="140"/>
      <c r="N2807" s="211"/>
    </row>
    <row r="2808" spans="10:14" x14ac:dyDescent="0.4">
      <c r="J2808" s="140"/>
      <c r="N2808" s="211"/>
    </row>
    <row r="2809" spans="10:14" x14ac:dyDescent="0.4">
      <c r="J2809" s="140"/>
      <c r="N2809" s="211"/>
    </row>
    <row r="2810" spans="10:14" x14ac:dyDescent="0.4">
      <c r="J2810" s="140"/>
      <c r="N2810" s="211"/>
    </row>
    <row r="2811" spans="10:14" x14ac:dyDescent="0.4">
      <c r="J2811" s="140"/>
      <c r="N2811" s="211"/>
    </row>
    <row r="2812" spans="10:14" x14ac:dyDescent="0.4">
      <c r="J2812" s="140"/>
      <c r="N2812" s="211"/>
    </row>
    <row r="2813" spans="10:14" x14ac:dyDescent="0.4">
      <c r="J2813" s="140"/>
      <c r="N2813" s="211"/>
    </row>
    <row r="2814" spans="10:14" x14ac:dyDescent="0.4">
      <c r="J2814" s="140"/>
      <c r="N2814" s="211"/>
    </row>
    <row r="2815" spans="10:14" x14ac:dyDescent="0.4">
      <c r="J2815" s="140"/>
      <c r="N2815" s="211"/>
    </row>
    <row r="2816" spans="10:14" x14ac:dyDescent="0.4">
      <c r="J2816" s="140"/>
      <c r="N2816" s="211"/>
    </row>
    <row r="2817" spans="10:14" x14ac:dyDescent="0.4">
      <c r="J2817" s="140"/>
      <c r="N2817" s="211"/>
    </row>
    <row r="2818" spans="10:14" x14ac:dyDescent="0.4">
      <c r="J2818" s="140"/>
      <c r="N2818" s="211"/>
    </row>
    <row r="2819" spans="10:14" x14ac:dyDescent="0.4">
      <c r="J2819" s="140"/>
      <c r="N2819" s="211"/>
    </row>
    <row r="2820" spans="10:14" x14ac:dyDescent="0.4">
      <c r="J2820" s="140"/>
      <c r="N2820" s="211"/>
    </row>
    <row r="2821" spans="10:14" x14ac:dyDescent="0.4">
      <c r="J2821" s="140"/>
      <c r="N2821" s="211"/>
    </row>
    <row r="2822" spans="10:14" x14ac:dyDescent="0.4">
      <c r="J2822" s="140"/>
      <c r="N2822" s="211"/>
    </row>
    <row r="2823" spans="10:14" x14ac:dyDescent="0.4">
      <c r="J2823" s="140"/>
      <c r="N2823" s="211"/>
    </row>
    <row r="2824" spans="10:14" x14ac:dyDescent="0.4">
      <c r="J2824" s="140"/>
      <c r="N2824" s="211"/>
    </row>
    <row r="2825" spans="10:14" x14ac:dyDescent="0.4">
      <c r="J2825" s="140"/>
      <c r="N2825" s="211"/>
    </row>
    <row r="2826" spans="10:14" x14ac:dyDescent="0.4">
      <c r="J2826" s="140"/>
      <c r="N2826" s="211"/>
    </row>
    <row r="2827" spans="10:14" x14ac:dyDescent="0.4">
      <c r="J2827" s="140"/>
      <c r="N2827" s="211"/>
    </row>
    <row r="2828" spans="10:14" x14ac:dyDescent="0.4">
      <c r="J2828" s="140"/>
      <c r="N2828" s="211"/>
    </row>
    <row r="2829" spans="10:14" x14ac:dyDescent="0.4">
      <c r="J2829" s="140"/>
      <c r="N2829" s="211"/>
    </row>
    <row r="2830" spans="10:14" x14ac:dyDescent="0.4">
      <c r="J2830" s="140"/>
      <c r="N2830" s="211"/>
    </row>
    <row r="2831" spans="10:14" x14ac:dyDescent="0.4">
      <c r="J2831" s="140"/>
      <c r="N2831" s="211"/>
    </row>
    <row r="2832" spans="10:14" x14ac:dyDescent="0.4">
      <c r="J2832" s="140"/>
      <c r="N2832" s="211"/>
    </row>
    <row r="2833" spans="10:14" x14ac:dyDescent="0.4">
      <c r="J2833" s="140"/>
      <c r="N2833" s="211"/>
    </row>
    <row r="2834" spans="10:14" x14ac:dyDescent="0.4">
      <c r="J2834" s="140"/>
      <c r="N2834" s="211"/>
    </row>
    <row r="2835" spans="10:14" x14ac:dyDescent="0.4">
      <c r="J2835" s="140"/>
      <c r="N2835" s="211"/>
    </row>
    <row r="2836" spans="10:14" x14ac:dyDescent="0.4">
      <c r="J2836" s="140"/>
      <c r="N2836" s="211"/>
    </row>
    <row r="2837" spans="10:14" x14ac:dyDescent="0.4">
      <c r="J2837" s="140"/>
      <c r="N2837" s="211"/>
    </row>
    <row r="2838" spans="10:14" x14ac:dyDescent="0.4">
      <c r="J2838" s="140"/>
      <c r="N2838" s="211"/>
    </row>
    <row r="2839" spans="10:14" x14ac:dyDescent="0.4">
      <c r="J2839" s="140"/>
      <c r="N2839" s="211"/>
    </row>
    <row r="2840" spans="10:14" x14ac:dyDescent="0.4">
      <c r="J2840" s="140"/>
      <c r="N2840" s="211"/>
    </row>
    <row r="2841" spans="10:14" x14ac:dyDescent="0.4">
      <c r="J2841" s="140"/>
      <c r="N2841" s="211"/>
    </row>
    <row r="2842" spans="10:14" x14ac:dyDescent="0.4">
      <c r="J2842" s="140"/>
      <c r="N2842" s="211"/>
    </row>
    <row r="2843" spans="10:14" x14ac:dyDescent="0.4">
      <c r="J2843" s="140"/>
      <c r="N2843" s="211"/>
    </row>
    <row r="2844" spans="10:14" x14ac:dyDescent="0.4">
      <c r="J2844" s="140"/>
      <c r="N2844" s="211"/>
    </row>
    <row r="2845" spans="10:14" x14ac:dyDescent="0.4">
      <c r="J2845" s="140"/>
      <c r="N2845" s="211"/>
    </row>
    <row r="2846" spans="10:14" x14ac:dyDescent="0.4">
      <c r="J2846" s="140"/>
      <c r="N2846" s="211"/>
    </row>
    <row r="2847" spans="10:14" x14ac:dyDescent="0.4">
      <c r="J2847" s="140"/>
      <c r="N2847" s="211"/>
    </row>
    <row r="2848" spans="10:14" x14ac:dyDescent="0.4">
      <c r="J2848" s="140"/>
      <c r="N2848" s="211"/>
    </row>
    <row r="2849" spans="10:14" x14ac:dyDescent="0.4">
      <c r="J2849" s="140"/>
      <c r="N2849" s="211"/>
    </row>
    <row r="2850" spans="10:14" x14ac:dyDescent="0.4">
      <c r="J2850" s="140"/>
      <c r="N2850" s="211"/>
    </row>
    <row r="2851" spans="10:14" x14ac:dyDescent="0.4">
      <c r="J2851" s="140"/>
      <c r="N2851" s="211"/>
    </row>
    <row r="2852" spans="10:14" x14ac:dyDescent="0.4">
      <c r="J2852" s="140"/>
      <c r="N2852" s="211"/>
    </row>
    <row r="2853" spans="10:14" x14ac:dyDescent="0.4">
      <c r="J2853" s="140"/>
      <c r="N2853" s="211"/>
    </row>
    <row r="2854" spans="10:14" x14ac:dyDescent="0.4">
      <c r="J2854" s="140"/>
      <c r="N2854" s="211"/>
    </row>
    <row r="2855" spans="10:14" x14ac:dyDescent="0.4">
      <c r="J2855" s="140"/>
      <c r="N2855" s="211"/>
    </row>
    <row r="2856" spans="10:14" x14ac:dyDescent="0.4">
      <c r="J2856" s="140"/>
      <c r="N2856" s="211"/>
    </row>
    <row r="2857" spans="10:14" x14ac:dyDescent="0.4">
      <c r="J2857" s="140"/>
      <c r="N2857" s="211"/>
    </row>
    <row r="2858" spans="10:14" x14ac:dyDescent="0.4">
      <c r="J2858" s="140"/>
      <c r="N2858" s="211"/>
    </row>
    <row r="2859" spans="10:14" x14ac:dyDescent="0.4">
      <c r="J2859" s="140"/>
      <c r="N2859" s="211"/>
    </row>
    <row r="2860" spans="10:14" x14ac:dyDescent="0.4">
      <c r="J2860" s="140"/>
      <c r="N2860" s="211"/>
    </row>
    <row r="2861" spans="10:14" x14ac:dyDescent="0.4">
      <c r="J2861" s="140"/>
      <c r="N2861" s="211"/>
    </row>
    <row r="2862" spans="10:14" x14ac:dyDescent="0.4">
      <c r="J2862" s="140"/>
      <c r="N2862" s="211"/>
    </row>
    <row r="2863" spans="10:14" x14ac:dyDescent="0.4">
      <c r="J2863" s="140"/>
      <c r="N2863" s="211"/>
    </row>
    <row r="2864" spans="10:14" x14ac:dyDescent="0.4">
      <c r="J2864" s="140"/>
      <c r="N2864" s="211"/>
    </row>
    <row r="2865" spans="10:14" x14ac:dyDescent="0.4">
      <c r="J2865" s="140"/>
      <c r="N2865" s="211"/>
    </row>
    <row r="2866" spans="10:14" x14ac:dyDescent="0.4">
      <c r="J2866" s="140"/>
      <c r="N2866" s="211"/>
    </row>
    <row r="2867" spans="10:14" x14ac:dyDescent="0.4">
      <c r="J2867" s="140"/>
      <c r="N2867" s="211"/>
    </row>
    <row r="2868" spans="10:14" x14ac:dyDescent="0.4">
      <c r="J2868" s="140"/>
      <c r="N2868" s="211"/>
    </row>
    <row r="2869" spans="10:14" x14ac:dyDescent="0.4">
      <c r="J2869" s="140"/>
      <c r="N2869" s="211"/>
    </row>
    <row r="2870" spans="10:14" x14ac:dyDescent="0.4">
      <c r="J2870" s="140"/>
      <c r="N2870" s="211"/>
    </row>
    <row r="2871" spans="10:14" x14ac:dyDescent="0.4">
      <c r="J2871" s="140"/>
      <c r="N2871" s="211"/>
    </row>
    <row r="2872" spans="10:14" x14ac:dyDescent="0.4">
      <c r="J2872" s="140"/>
      <c r="N2872" s="211"/>
    </row>
    <row r="2873" spans="10:14" x14ac:dyDescent="0.4">
      <c r="J2873" s="140"/>
      <c r="N2873" s="211"/>
    </row>
    <row r="2874" spans="10:14" x14ac:dyDescent="0.4">
      <c r="J2874" s="140"/>
      <c r="N2874" s="211"/>
    </row>
    <row r="2875" spans="10:14" x14ac:dyDescent="0.4">
      <c r="J2875" s="140"/>
      <c r="N2875" s="211"/>
    </row>
    <row r="2876" spans="10:14" x14ac:dyDescent="0.4">
      <c r="J2876" s="140"/>
      <c r="N2876" s="211"/>
    </row>
    <row r="2877" spans="10:14" x14ac:dyDescent="0.4">
      <c r="J2877" s="140"/>
      <c r="N2877" s="211"/>
    </row>
    <row r="2878" spans="10:14" x14ac:dyDescent="0.4">
      <c r="J2878" s="140"/>
      <c r="N2878" s="211"/>
    </row>
    <row r="2879" spans="10:14" x14ac:dyDescent="0.4">
      <c r="J2879" s="140"/>
      <c r="N2879" s="211"/>
    </row>
    <row r="2880" spans="10:14" x14ac:dyDescent="0.4">
      <c r="J2880" s="140"/>
      <c r="N2880" s="211"/>
    </row>
    <row r="2881" spans="10:14" x14ac:dyDescent="0.4">
      <c r="J2881" s="140"/>
      <c r="N2881" s="211"/>
    </row>
    <row r="2882" spans="10:14" x14ac:dyDescent="0.4">
      <c r="J2882" s="140"/>
      <c r="N2882" s="211"/>
    </row>
    <row r="2883" spans="10:14" x14ac:dyDescent="0.4">
      <c r="J2883" s="140"/>
      <c r="N2883" s="211"/>
    </row>
    <row r="2884" spans="10:14" x14ac:dyDescent="0.4">
      <c r="J2884" s="140"/>
      <c r="N2884" s="211"/>
    </row>
    <row r="2885" spans="10:14" x14ac:dyDescent="0.4">
      <c r="J2885" s="140"/>
      <c r="N2885" s="211"/>
    </row>
    <row r="2886" spans="10:14" x14ac:dyDescent="0.4">
      <c r="J2886" s="140"/>
      <c r="N2886" s="211"/>
    </row>
    <row r="2887" spans="10:14" x14ac:dyDescent="0.4">
      <c r="J2887" s="140"/>
      <c r="N2887" s="211"/>
    </row>
    <row r="2888" spans="10:14" x14ac:dyDescent="0.4">
      <c r="J2888" s="140"/>
      <c r="N2888" s="211"/>
    </row>
    <row r="2889" spans="10:14" x14ac:dyDescent="0.4">
      <c r="J2889" s="140"/>
      <c r="N2889" s="211"/>
    </row>
    <row r="2890" spans="10:14" x14ac:dyDescent="0.4">
      <c r="J2890" s="140"/>
      <c r="N2890" s="211"/>
    </row>
    <row r="2891" spans="10:14" x14ac:dyDescent="0.4">
      <c r="J2891" s="140"/>
      <c r="N2891" s="211"/>
    </row>
    <row r="2892" spans="10:14" x14ac:dyDescent="0.4">
      <c r="J2892" s="140"/>
      <c r="N2892" s="211"/>
    </row>
    <row r="2893" spans="10:14" x14ac:dyDescent="0.4">
      <c r="J2893" s="140"/>
      <c r="N2893" s="211"/>
    </row>
    <row r="2894" spans="10:14" x14ac:dyDescent="0.4">
      <c r="J2894" s="140"/>
      <c r="N2894" s="211"/>
    </row>
    <row r="2895" spans="10:14" x14ac:dyDescent="0.4">
      <c r="J2895" s="140"/>
      <c r="N2895" s="211"/>
    </row>
    <row r="2896" spans="10:14" x14ac:dyDescent="0.4">
      <c r="J2896" s="140"/>
      <c r="N2896" s="211"/>
    </row>
    <row r="2897" spans="10:14" x14ac:dyDescent="0.4">
      <c r="J2897" s="140"/>
      <c r="N2897" s="211"/>
    </row>
    <row r="2898" spans="10:14" x14ac:dyDescent="0.4">
      <c r="J2898" s="140"/>
      <c r="N2898" s="211"/>
    </row>
    <row r="2899" spans="10:14" x14ac:dyDescent="0.4">
      <c r="J2899" s="140"/>
      <c r="N2899" s="211"/>
    </row>
    <row r="2900" spans="10:14" x14ac:dyDescent="0.4">
      <c r="J2900" s="140"/>
      <c r="N2900" s="211"/>
    </row>
    <row r="2901" spans="10:14" x14ac:dyDescent="0.4">
      <c r="J2901" s="140"/>
      <c r="N2901" s="211"/>
    </row>
    <row r="2902" spans="10:14" x14ac:dyDescent="0.4">
      <c r="J2902" s="140"/>
      <c r="N2902" s="211"/>
    </row>
    <row r="2903" spans="10:14" x14ac:dyDescent="0.4">
      <c r="J2903" s="140"/>
      <c r="N2903" s="211"/>
    </row>
    <row r="2904" spans="10:14" x14ac:dyDescent="0.4">
      <c r="J2904" s="140"/>
      <c r="N2904" s="211"/>
    </row>
    <row r="2905" spans="10:14" x14ac:dyDescent="0.4">
      <c r="J2905" s="140"/>
      <c r="N2905" s="211"/>
    </row>
    <row r="2906" spans="10:14" x14ac:dyDescent="0.4">
      <c r="J2906" s="140"/>
      <c r="N2906" s="211"/>
    </row>
    <row r="2907" spans="10:14" x14ac:dyDescent="0.4">
      <c r="J2907" s="140"/>
      <c r="N2907" s="211"/>
    </row>
    <row r="2908" spans="10:14" x14ac:dyDescent="0.4">
      <c r="J2908" s="140"/>
      <c r="N2908" s="211"/>
    </row>
    <row r="2909" spans="10:14" x14ac:dyDescent="0.4">
      <c r="J2909" s="140"/>
      <c r="N2909" s="211"/>
    </row>
    <row r="2910" spans="10:14" x14ac:dyDescent="0.4">
      <c r="J2910" s="140"/>
      <c r="N2910" s="211"/>
    </row>
    <row r="2911" spans="10:14" x14ac:dyDescent="0.4">
      <c r="J2911" s="140"/>
      <c r="N2911" s="211"/>
    </row>
    <row r="2912" spans="10:14" x14ac:dyDescent="0.4">
      <c r="J2912" s="140"/>
      <c r="N2912" s="211"/>
    </row>
    <row r="2913" spans="10:14" x14ac:dyDescent="0.4">
      <c r="J2913" s="140"/>
      <c r="N2913" s="211"/>
    </row>
    <row r="2914" spans="10:14" x14ac:dyDescent="0.4">
      <c r="J2914" s="140"/>
      <c r="N2914" s="211"/>
    </row>
    <row r="2915" spans="10:14" x14ac:dyDescent="0.4">
      <c r="J2915" s="140"/>
      <c r="N2915" s="211"/>
    </row>
    <row r="2916" spans="10:14" x14ac:dyDescent="0.4">
      <c r="J2916" s="140"/>
      <c r="N2916" s="211"/>
    </row>
    <row r="2917" spans="10:14" x14ac:dyDescent="0.4">
      <c r="J2917" s="140"/>
      <c r="N2917" s="211"/>
    </row>
    <row r="2918" spans="10:14" x14ac:dyDescent="0.4">
      <c r="J2918" s="140"/>
      <c r="N2918" s="211"/>
    </row>
    <row r="2919" spans="10:14" x14ac:dyDescent="0.4">
      <c r="J2919" s="140"/>
      <c r="N2919" s="211"/>
    </row>
    <row r="2920" spans="10:14" x14ac:dyDescent="0.4">
      <c r="J2920" s="140"/>
      <c r="N2920" s="211"/>
    </row>
    <row r="2921" spans="10:14" x14ac:dyDescent="0.4">
      <c r="J2921" s="140"/>
      <c r="N2921" s="211"/>
    </row>
    <row r="2922" spans="10:14" x14ac:dyDescent="0.4">
      <c r="J2922" s="140"/>
      <c r="N2922" s="211"/>
    </row>
    <row r="2923" spans="10:14" x14ac:dyDescent="0.4">
      <c r="J2923" s="140"/>
      <c r="N2923" s="211"/>
    </row>
    <row r="2924" spans="10:14" x14ac:dyDescent="0.4">
      <c r="J2924" s="140"/>
      <c r="N2924" s="211"/>
    </row>
    <row r="2925" spans="10:14" x14ac:dyDescent="0.4">
      <c r="J2925" s="140"/>
      <c r="N2925" s="211"/>
    </row>
    <row r="2926" spans="10:14" x14ac:dyDescent="0.4">
      <c r="J2926" s="140"/>
      <c r="N2926" s="211"/>
    </row>
    <row r="2927" spans="10:14" x14ac:dyDescent="0.4">
      <c r="J2927" s="140"/>
      <c r="N2927" s="211"/>
    </row>
    <row r="2928" spans="10:14" x14ac:dyDescent="0.4">
      <c r="J2928" s="140"/>
      <c r="N2928" s="211"/>
    </row>
    <row r="2929" spans="10:14" x14ac:dyDescent="0.4">
      <c r="J2929" s="140"/>
      <c r="N2929" s="211"/>
    </row>
    <row r="2930" spans="10:14" x14ac:dyDescent="0.4">
      <c r="J2930" s="140"/>
      <c r="N2930" s="211"/>
    </row>
    <row r="2931" spans="10:14" x14ac:dyDescent="0.4">
      <c r="J2931" s="140"/>
      <c r="N2931" s="211"/>
    </row>
    <row r="2932" spans="10:14" x14ac:dyDescent="0.4">
      <c r="J2932" s="140"/>
      <c r="N2932" s="211"/>
    </row>
    <row r="2933" spans="10:14" x14ac:dyDescent="0.4">
      <c r="J2933" s="140"/>
      <c r="N2933" s="211"/>
    </row>
    <row r="2934" spans="10:14" x14ac:dyDescent="0.4">
      <c r="J2934" s="140"/>
      <c r="N2934" s="211"/>
    </row>
    <row r="2935" spans="10:14" x14ac:dyDescent="0.4">
      <c r="J2935" s="140"/>
      <c r="N2935" s="211"/>
    </row>
    <row r="2936" spans="10:14" x14ac:dyDescent="0.4">
      <c r="J2936" s="140"/>
      <c r="N2936" s="211"/>
    </row>
    <row r="2937" spans="10:14" x14ac:dyDescent="0.4">
      <c r="J2937" s="140"/>
      <c r="N2937" s="211"/>
    </row>
    <row r="2938" spans="10:14" x14ac:dyDescent="0.4">
      <c r="J2938" s="140"/>
      <c r="N2938" s="211"/>
    </row>
    <row r="2939" spans="10:14" x14ac:dyDescent="0.4">
      <c r="J2939" s="140"/>
      <c r="N2939" s="211"/>
    </row>
    <row r="2940" spans="10:14" x14ac:dyDescent="0.4">
      <c r="J2940" s="140"/>
      <c r="N2940" s="211"/>
    </row>
    <row r="2941" spans="10:14" x14ac:dyDescent="0.4">
      <c r="J2941" s="140"/>
      <c r="N2941" s="211"/>
    </row>
    <row r="2942" spans="10:14" x14ac:dyDescent="0.4">
      <c r="J2942" s="140"/>
      <c r="N2942" s="211"/>
    </row>
    <row r="2943" spans="10:14" x14ac:dyDescent="0.4">
      <c r="J2943" s="140"/>
      <c r="N2943" s="211"/>
    </row>
    <row r="2944" spans="10:14" x14ac:dyDescent="0.4">
      <c r="J2944" s="140"/>
      <c r="N2944" s="211"/>
    </row>
    <row r="2945" spans="10:14" x14ac:dyDescent="0.4">
      <c r="J2945" s="140"/>
      <c r="N2945" s="211"/>
    </row>
    <row r="2946" spans="10:14" x14ac:dyDescent="0.4">
      <c r="J2946" s="140"/>
      <c r="N2946" s="211"/>
    </row>
    <row r="2947" spans="10:14" x14ac:dyDescent="0.4">
      <c r="J2947" s="140"/>
      <c r="N2947" s="211"/>
    </row>
    <row r="2948" spans="10:14" x14ac:dyDescent="0.4">
      <c r="J2948" s="140"/>
      <c r="N2948" s="211"/>
    </row>
    <row r="2949" spans="10:14" x14ac:dyDescent="0.4">
      <c r="J2949" s="140"/>
      <c r="N2949" s="211"/>
    </row>
    <row r="2950" spans="10:14" x14ac:dyDescent="0.4">
      <c r="J2950" s="140"/>
      <c r="N2950" s="211"/>
    </row>
    <row r="2951" spans="10:14" x14ac:dyDescent="0.4">
      <c r="J2951" s="140"/>
      <c r="N2951" s="211"/>
    </row>
    <row r="2952" spans="10:14" x14ac:dyDescent="0.4">
      <c r="J2952" s="140"/>
      <c r="N2952" s="211"/>
    </row>
    <row r="2953" spans="10:14" x14ac:dyDescent="0.4">
      <c r="J2953" s="140"/>
      <c r="N2953" s="211"/>
    </row>
    <row r="2954" spans="10:14" x14ac:dyDescent="0.4">
      <c r="J2954" s="140"/>
      <c r="N2954" s="211"/>
    </row>
    <row r="2955" spans="10:14" x14ac:dyDescent="0.4">
      <c r="J2955" s="140"/>
      <c r="N2955" s="211"/>
    </row>
    <row r="2956" spans="10:14" x14ac:dyDescent="0.4">
      <c r="J2956" s="140"/>
      <c r="N2956" s="211"/>
    </row>
    <row r="2957" spans="10:14" x14ac:dyDescent="0.4">
      <c r="J2957" s="140"/>
      <c r="N2957" s="211"/>
    </row>
    <row r="2958" spans="10:14" x14ac:dyDescent="0.4">
      <c r="J2958" s="140"/>
      <c r="N2958" s="211"/>
    </row>
    <row r="2959" spans="10:14" x14ac:dyDescent="0.4">
      <c r="J2959" s="140"/>
      <c r="N2959" s="211"/>
    </row>
    <row r="2960" spans="10:14" x14ac:dyDescent="0.4">
      <c r="J2960" s="140"/>
      <c r="N2960" s="211"/>
    </row>
    <row r="2961" spans="10:14" x14ac:dyDescent="0.4">
      <c r="J2961" s="140"/>
      <c r="N2961" s="211"/>
    </row>
    <row r="2962" spans="10:14" x14ac:dyDescent="0.4">
      <c r="J2962" s="140"/>
      <c r="N2962" s="211"/>
    </row>
    <row r="2963" spans="10:14" x14ac:dyDescent="0.4">
      <c r="J2963" s="140"/>
      <c r="N2963" s="211"/>
    </row>
    <row r="2964" spans="10:14" x14ac:dyDescent="0.4">
      <c r="J2964" s="140"/>
      <c r="N2964" s="211"/>
    </row>
    <row r="2965" spans="10:14" x14ac:dyDescent="0.4">
      <c r="J2965" s="140"/>
      <c r="N2965" s="211"/>
    </row>
    <row r="2966" spans="10:14" x14ac:dyDescent="0.4">
      <c r="J2966" s="140"/>
      <c r="N2966" s="211"/>
    </row>
    <row r="2967" spans="10:14" x14ac:dyDescent="0.4">
      <c r="J2967" s="140"/>
      <c r="N2967" s="211"/>
    </row>
    <row r="2968" spans="10:14" x14ac:dyDescent="0.4">
      <c r="J2968" s="140"/>
      <c r="N2968" s="211"/>
    </row>
    <row r="2969" spans="10:14" x14ac:dyDescent="0.4">
      <c r="J2969" s="140"/>
      <c r="N2969" s="211"/>
    </row>
    <row r="2970" spans="10:14" x14ac:dyDescent="0.4">
      <c r="J2970" s="140"/>
      <c r="N2970" s="211"/>
    </row>
    <row r="2971" spans="10:14" x14ac:dyDescent="0.4">
      <c r="J2971" s="140"/>
      <c r="N2971" s="211"/>
    </row>
    <row r="2972" spans="10:14" x14ac:dyDescent="0.4">
      <c r="J2972" s="140"/>
      <c r="N2972" s="211"/>
    </row>
    <row r="2973" spans="10:14" x14ac:dyDescent="0.4">
      <c r="J2973" s="140"/>
      <c r="N2973" s="211"/>
    </row>
    <row r="2974" spans="10:14" x14ac:dyDescent="0.4">
      <c r="J2974" s="140"/>
      <c r="N2974" s="211"/>
    </row>
    <row r="2975" spans="10:14" x14ac:dyDescent="0.4">
      <c r="J2975" s="140"/>
      <c r="N2975" s="211"/>
    </row>
    <row r="2976" spans="10:14" x14ac:dyDescent="0.4">
      <c r="J2976" s="140"/>
      <c r="N2976" s="211"/>
    </row>
    <row r="2977" spans="10:14" x14ac:dyDescent="0.4">
      <c r="J2977" s="140"/>
      <c r="N2977" s="211"/>
    </row>
    <row r="2978" spans="10:14" x14ac:dyDescent="0.4">
      <c r="J2978" s="140"/>
      <c r="N2978" s="211"/>
    </row>
    <row r="2979" spans="10:14" x14ac:dyDescent="0.4">
      <c r="J2979" s="140"/>
      <c r="N2979" s="211"/>
    </row>
    <row r="2980" spans="10:14" x14ac:dyDescent="0.4">
      <c r="J2980" s="140"/>
      <c r="N2980" s="211"/>
    </row>
    <row r="2981" spans="10:14" x14ac:dyDescent="0.4">
      <c r="J2981" s="140"/>
      <c r="N2981" s="211"/>
    </row>
    <row r="2982" spans="10:14" x14ac:dyDescent="0.4">
      <c r="J2982" s="140"/>
      <c r="N2982" s="211"/>
    </row>
    <row r="2983" spans="10:14" x14ac:dyDescent="0.4">
      <c r="J2983" s="140"/>
      <c r="N2983" s="211"/>
    </row>
    <row r="2984" spans="10:14" x14ac:dyDescent="0.4">
      <c r="J2984" s="140"/>
      <c r="N2984" s="211"/>
    </row>
    <row r="2985" spans="10:14" x14ac:dyDescent="0.4">
      <c r="J2985" s="140"/>
      <c r="N2985" s="211"/>
    </row>
    <row r="2986" spans="10:14" x14ac:dyDescent="0.4">
      <c r="J2986" s="140"/>
      <c r="N2986" s="211"/>
    </row>
    <row r="2987" spans="10:14" x14ac:dyDescent="0.4">
      <c r="J2987" s="140"/>
      <c r="N2987" s="211"/>
    </row>
    <row r="2988" spans="10:14" x14ac:dyDescent="0.4">
      <c r="J2988" s="140"/>
      <c r="N2988" s="211"/>
    </row>
    <row r="2989" spans="10:14" x14ac:dyDescent="0.4">
      <c r="J2989" s="140"/>
      <c r="N2989" s="211"/>
    </row>
    <row r="2990" spans="10:14" x14ac:dyDescent="0.4">
      <c r="J2990" s="140"/>
      <c r="N2990" s="211"/>
    </row>
    <row r="2991" spans="10:14" x14ac:dyDescent="0.4">
      <c r="J2991" s="140"/>
      <c r="N2991" s="211"/>
    </row>
    <row r="2992" spans="10:14" x14ac:dyDescent="0.4">
      <c r="J2992" s="140"/>
      <c r="N2992" s="211"/>
    </row>
    <row r="2993" spans="10:14" x14ac:dyDescent="0.4">
      <c r="J2993" s="140"/>
      <c r="N2993" s="211"/>
    </row>
    <row r="2994" spans="10:14" x14ac:dyDescent="0.4">
      <c r="J2994" s="140"/>
      <c r="N2994" s="211"/>
    </row>
    <row r="2995" spans="10:14" x14ac:dyDescent="0.4">
      <c r="J2995" s="140"/>
      <c r="N2995" s="211"/>
    </row>
    <row r="2996" spans="10:14" x14ac:dyDescent="0.4">
      <c r="J2996" s="140"/>
      <c r="N2996" s="211"/>
    </row>
    <row r="2997" spans="10:14" x14ac:dyDescent="0.4">
      <c r="J2997" s="140"/>
      <c r="N2997" s="211"/>
    </row>
    <row r="2998" spans="10:14" x14ac:dyDescent="0.4">
      <c r="J2998" s="140"/>
      <c r="N2998" s="211"/>
    </row>
    <row r="2999" spans="10:14" x14ac:dyDescent="0.4">
      <c r="J2999" s="140"/>
      <c r="N2999" s="211"/>
    </row>
    <row r="3000" spans="10:14" x14ac:dyDescent="0.4">
      <c r="J3000" s="140"/>
      <c r="N3000" s="211"/>
    </row>
    <row r="3001" spans="10:14" x14ac:dyDescent="0.4">
      <c r="J3001" s="140"/>
      <c r="N3001" s="211"/>
    </row>
    <row r="3002" spans="10:14" x14ac:dyDescent="0.4">
      <c r="J3002" s="140"/>
      <c r="N3002" s="211"/>
    </row>
    <row r="3003" spans="10:14" x14ac:dyDescent="0.4">
      <c r="J3003" s="140"/>
      <c r="N3003" s="211"/>
    </row>
    <row r="3004" spans="10:14" x14ac:dyDescent="0.4">
      <c r="J3004" s="140"/>
      <c r="N3004" s="211"/>
    </row>
    <row r="3005" spans="10:14" x14ac:dyDescent="0.4">
      <c r="J3005" s="140"/>
      <c r="N3005" s="211"/>
    </row>
    <row r="3006" spans="10:14" x14ac:dyDescent="0.4">
      <c r="J3006" s="140"/>
      <c r="N3006" s="211"/>
    </row>
    <row r="3007" spans="10:14" x14ac:dyDescent="0.4">
      <c r="J3007" s="140"/>
      <c r="N3007" s="211"/>
    </row>
    <row r="3008" spans="10:14" x14ac:dyDescent="0.4">
      <c r="J3008" s="140"/>
      <c r="N3008" s="211"/>
    </row>
    <row r="3009" spans="10:14" x14ac:dyDescent="0.4">
      <c r="J3009" s="140"/>
      <c r="N3009" s="211"/>
    </row>
    <row r="3010" spans="10:14" x14ac:dyDescent="0.4">
      <c r="J3010" s="140"/>
      <c r="N3010" s="211"/>
    </row>
    <row r="3011" spans="10:14" x14ac:dyDescent="0.4">
      <c r="J3011" s="140"/>
      <c r="N3011" s="211"/>
    </row>
    <row r="3012" spans="10:14" x14ac:dyDescent="0.4">
      <c r="J3012" s="140"/>
      <c r="N3012" s="211"/>
    </row>
    <row r="3013" spans="10:14" x14ac:dyDescent="0.4">
      <c r="J3013" s="140"/>
      <c r="N3013" s="211"/>
    </row>
    <row r="3014" spans="10:14" x14ac:dyDescent="0.4">
      <c r="J3014" s="140"/>
      <c r="N3014" s="211"/>
    </row>
    <row r="3015" spans="10:14" x14ac:dyDescent="0.4">
      <c r="J3015" s="140"/>
      <c r="N3015" s="211"/>
    </row>
    <row r="3016" spans="10:14" x14ac:dyDescent="0.4">
      <c r="J3016" s="140"/>
      <c r="N3016" s="211"/>
    </row>
    <row r="3017" spans="10:14" x14ac:dyDescent="0.4">
      <c r="J3017" s="140"/>
      <c r="N3017" s="211"/>
    </row>
    <row r="3018" spans="10:14" x14ac:dyDescent="0.4">
      <c r="J3018" s="140"/>
      <c r="N3018" s="211"/>
    </row>
    <row r="3019" spans="10:14" x14ac:dyDescent="0.4">
      <c r="J3019" s="140"/>
      <c r="N3019" s="211"/>
    </row>
    <row r="3020" spans="10:14" x14ac:dyDescent="0.4">
      <c r="J3020" s="140"/>
      <c r="N3020" s="211"/>
    </row>
    <row r="3021" spans="10:14" x14ac:dyDescent="0.4">
      <c r="J3021" s="140"/>
      <c r="N3021" s="211"/>
    </row>
    <row r="3022" spans="10:14" x14ac:dyDescent="0.4">
      <c r="J3022" s="140"/>
      <c r="N3022" s="211"/>
    </row>
    <row r="3023" spans="10:14" x14ac:dyDescent="0.4">
      <c r="J3023" s="140"/>
      <c r="N3023" s="211"/>
    </row>
    <row r="3024" spans="10:14" x14ac:dyDescent="0.4">
      <c r="J3024" s="140"/>
      <c r="N3024" s="211"/>
    </row>
    <row r="3025" spans="10:14" x14ac:dyDescent="0.4">
      <c r="J3025" s="140"/>
      <c r="N3025" s="211"/>
    </row>
    <row r="3026" spans="10:14" x14ac:dyDescent="0.4">
      <c r="J3026" s="140"/>
      <c r="N3026" s="211"/>
    </row>
    <row r="3027" spans="10:14" x14ac:dyDescent="0.4">
      <c r="J3027" s="140"/>
      <c r="N3027" s="211"/>
    </row>
    <row r="3028" spans="10:14" x14ac:dyDescent="0.4">
      <c r="J3028" s="140"/>
      <c r="N3028" s="211"/>
    </row>
    <row r="3029" spans="10:14" x14ac:dyDescent="0.4">
      <c r="J3029" s="140"/>
      <c r="N3029" s="211"/>
    </row>
    <row r="3030" spans="10:14" x14ac:dyDescent="0.4">
      <c r="J3030" s="140"/>
      <c r="N3030" s="211"/>
    </row>
    <row r="3031" spans="10:14" x14ac:dyDescent="0.4">
      <c r="J3031" s="140"/>
      <c r="N3031" s="211"/>
    </row>
    <row r="3032" spans="10:14" x14ac:dyDescent="0.4">
      <c r="J3032" s="140"/>
      <c r="N3032" s="211"/>
    </row>
    <row r="3033" spans="10:14" x14ac:dyDescent="0.4">
      <c r="J3033" s="140"/>
      <c r="N3033" s="211"/>
    </row>
    <row r="3034" spans="10:14" x14ac:dyDescent="0.4">
      <c r="J3034" s="140"/>
      <c r="N3034" s="211"/>
    </row>
    <row r="3035" spans="10:14" x14ac:dyDescent="0.4">
      <c r="J3035" s="140"/>
      <c r="N3035" s="211"/>
    </row>
    <row r="3036" spans="10:14" x14ac:dyDescent="0.4">
      <c r="J3036" s="140"/>
      <c r="N3036" s="211"/>
    </row>
    <row r="3037" spans="10:14" x14ac:dyDescent="0.4">
      <c r="J3037" s="140"/>
      <c r="N3037" s="211"/>
    </row>
    <row r="3038" spans="10:14" x14ac:dyDescent="0.4">
      <c r="J3038" s="140"/>
      <c r="N3038" s="211"/>
    </row>
    <row r="3039" spans="10:14" x14ac:dyDescent="0.4">
      <c r="J3039" s="140"/>
      <c r="N3039" s="211"/>
    </row>
    <row r="3040" spans="10:14" x14ac:dyDescent="0.4">
      <c r="J3040" s="140"/>
      <c r="N3040" s="211"/>
    </row>
    <row r="3041" spans="10:14" x14ac:dyDescent="0.4">
      <c r="J3041" s="140"/>
      <c r="N3041" s="211"/>
    </row>
    <row r="3042" spans="10:14" x14ac:dyDescent="0.4">
      <c r="J3042" s="140"/>
      <c r="N3042" s="211"/>
    </row>
    <row r="3043" spans="10:14" x14ac:dyDescent="0.4">
      <c r="J3043" s="140"/>
      <c r="N3043" s="211"/>
    </row>
    <row r="3044" spans="10:14" x14ac:dyDescent="0.4">
      <c r="J3044" s="140"/>
      <c r="N3044" s="211"/>
    </row>
    <row r="3045" spans="10:14" x14ac:dyDescent="0.4">
      <c r="J3045" s="140"/>
      <c r="N3045" s="211"/>
    </row>
    <row r="3046" spans="10:14" x14ac:dyDescent="0.4">
      <c r="J3046" s="140"/>
      <c r="N3046" s="211"/>
    </row>
    <row r="3047" spans="10:14" x14ac:dyDescent="0.4">
      <c r="J3047" s="140"/>
      <c r="N3047" s="211"/>
    </row>
    <row r="3048" spans="10:14" x14ac:dyDescent="0.4">
      <c r="J3048" s="140"/>
      <c r="N3048" s="211"/>
    </row>
    <row r="3049" spans="10:14" x14ac:dyDescent="0.4">
      <c r="J3049" s="140"/>
      <c r="N3049" s="211"/>
    </row>
    <row r="3050" spans="10:14" x14ac:dyDescent="0.4">
      <c r="J3050" s="140"/>
      <c r="N3050" s="211"/>
    </row>
    <row r="3051" spans="10:14" x14ac:dyDescent="0.4">
      <c r="J3051" s="140"/>
      <c r="N3051" s="211"/>
    </row>
    <row r="3052" spans="10:14" x14ac:dyDescent="0.4">
      <c r="J3052" s="140"/>
      <c r="N3052" s="211"/>
    </row>
    <row r="3053" spans="10:14" x14ac:dyDescent="0.4">
      <c r="J3053" s="140"/>
      <c r="N3053" s="211"/>
    </row>
    <row r="3054" spans="10:14" x14ac:dyDescent="0.4">
      <c r="J3054" s="140"/>
      <c r="N3054" s="211"/>
    </row>
    <row r="3055" spans="10:14" x14ac:dyDescent="0.4">
      <c r="J3055" s="140"/>
      <c r="N3055" s="211"/>
    </row>
    <row r="3056" spans="10:14" x14ac:dyDescent="0.4">
      <c r="J3056" s="140"/>
      <c r="N3056" s="211"/>
    </row>
    <row r="3057" spans="10:14" x14ac:dyDescent="0.4">
      <c r="J3057" s="140"/>
      <c r="N3057" s="211"/>
    </row>
    <row r="3058" spans="10:14" x14ac:dyDescent="0.4">
      <c r="J3058" s="140"/>
      <c r="N3058" s="211"/>
    </row>
    <row r="3059" spans="10:14" x14ac:dyDescent="0.4">
      <c r="J3059" s="140"/>
      <c r="N3059" s="211"/>
    </row>
    <row r="3060" spans="10:14" x14ac:dyDescent="0.4">
      <c r="J3060" s="140"/>
      <c r="N3060" s="211"/>
    </row>
    <row r="3061" spans="10:14" x14ac:dyDescent="0.4">
      <c r="J3061" s="140"/>
      <c r="N3061" s="211"/>
    </row>
    <row r="3062" spans="10:14" x14ac:dyDescent="0.4">
      <c r="J3062" s="140"/>
      <c r="N3062" s="211"/>
    </row>
    <row r="3063" spans="10:14" x14ac:dyDescent="0.4">
      <c r="J3063" s="140"/>
      <c r="N3063" s="211"/>
    </row>
    <row r="3064" spans="10:14" x14ac:dyDescent="0.4">
      <c r="J3064" s="140"/>
      <c r="N3064" s="211"/>
    </row>
    <row r="3065" spans="10:14" x14ac:dyDescent="0.4">
      <c r="J3065" s="140"/>
      <c r="N3065" s="211"/>
    </row>
    <row r="3066" spans="10:14" x14ac:dyDescent="0.4">
      <c r="J3066" s="140"/>
      <c r="N3066" s="211"/>
    </row>
    <row r="3067" spans="10:14" x14ac:dyDescent="0.4">
      <c r="J3067" s="140"/>
      <c r="N3067" s="211"/>
    </row>
    <row r="3068" spans="10:14" x14ac:dyDescent="0.4">
      <c r="J3068" s="140"/>
      <c r="N3068" s="211"/>
    </row>
    <row r="3069" spans="10:14" x14ac:dyDescent="0.4">
      <c r="J3069" s="140"/>
      <c r="N3069" s="211"/>
    </row>
    <row r="3070" spans="10:14" x14ac:dyDescent="0.4">
      <c r="J3070" s="140"/>
      <c r="N3070" s="211"/>
    </row>
    <row r="3071" spans="10:14" x14ac:dyDescent="0.4">
      <c r="J3071" s="140"/>
      <c r="N3071" s="211"/>
    </row>
    <row r="3072" spans="10:14" x14ac:dyDescent="0.4">
      <c r="J3072" s="140"/>
      <c r="N3072" s="211"/>
    </row>
    <row r="3073" spans="10:14" x14ac:dyDescent="0.4">
      <c r="J3073" s="140"/>
      <c r="N3073" s="211"/>
    </row>
    <row r="3074" spans="10:14" x14ac:dyDescent="0.4">
      <c r="J3074" s="140"/>
      <c r="N3074" s="211"/>
    </row>
    <row r="3075" spans="10:14" x14ac:dyDescent="0.4">
      <c r="J3075" s="140"/>
      <c r="N3075" s="211"/>
    </row>
    <row r="3076" spans="10:14" x14ac:dyDescent="0.4">
      <c r="J3076" s="140"/>
      <c r="N3076" s="211"/>
    </row>
    <row r="3077" spans="10:14" x14ac:dyDescent="0.4">
      <c r="J3077" s="140"/>
      <c r="N3077" s="211"/>
    </row>
    <row r="3078" spans="10:14" x14ac:dyDescent="0.4">
      <c r="J3078" s="140"/>
      <c r="N3078" s="211"/>
    </row>
    <row r="3079" spans="10:14" x14ac:dyDescent="0.4">
      <c r="J3079" s="140"/>
      <c r="N3079" s="211"/>
    </row>
    <row r="3080" spans="10:14" x14ac:dyDescent="0.4">
      <c r="J3080" s="140"/>
      <c r="N3080" s="211"/>
    </row>
    <row r="3081" spans="10:14" x14ac:dyDescent="0.4">
      <c r="J3081" s="140"/>
      <c r="N3081" s="211"/>
    </row>
    <row r="3082" spans="10:14" x14ac:dyDescent="0.4">
      <c r="J3082" s="140"/>
      <c r="N3082" s="211"/>
    </row>
    <row r="3083" spans="10:14" x14ac:dyDescent="0.4">
      <c r="J3083" s="140"/>
      <c r="N3083" s="211"/>
    </row>
    <row r="3084" spans="10:14" x14ac:dyDescent="0.4">
      <c r="J3084" s="140"/>
      <c r="N3084" s="211"/>
    </row>
    <row r="3085" spans="10:14" x14ac:dyDescent="0.4">
      <c r="J3085" s="140"/>
      <c r="N3085" s="211"/>
    </row>
    <row r="3086" spans="10:14" x14ac:dyDescent="0.4">
      <c r="J3086" s="140"/>
      <c r="N3086" s="211"/>
    </row>
    <row r="3087" spans="10:14" x14ac:dyDescent="0.4">
      <c r="J3087" s="140"/>
      <c r="N3087" s="211"/>
    </row>
    <row r="3088" spans="10:14" x14ac:dyDescent="0.4">
      <c r="J3088" s="140"/>
      <c r="N3088" s="211"/>
    </row>
    <row r="3089" spans="10:14" x14ac:dyDescent="0.4">
      <c r="J3089" s="140"/>
      <c r="N3089" s="211"/>
    </row>
    <row r="3090" spans="10:14" x14ac:dyDescent="0.4">
      <c r="J3090" s="140"/>
      <c r="N3090" s="211"/>
    </row>
    <row r="3091" spans="10:14" x14ac:dyDescent="0.4">
      <c r="J3091" s="140"/>
      <c r="N3091" s="211"/>
    </row>
    <row r="3092" spans="10:14" x14ac:dyDescent="0.4">
      <c r="J3092" s="140"/>
      <c r="N3092" s="211"/>
    </row>
    <row r="3093" spans="10:14" x14ac:dyDescent="0.4">
      <c r="J3093" s="140"/>
      <c r="N3093" s="211"/>
    </row>
    <row r="3094" spans="10:14" x14ac:dyDescent="0.4">
      <c r="J3094" s="140"/>
      <c r="N3094" s="211"/>
    </row>
    <row r="3095" spans="10:14" x14ac:dyDescent="0.4">
      <c r="J3095" s="140"/>
      <c r="N3095" s="211"/>
    </row>
    <row r="3096" spans="10:14" x14ac:dyDescent="0.4">
      <c r="J3096" s="140"/>
      <c r="N3096" s="211"/>
    </row>
    <row r="3097" spans="10:14" x14ac:dyDescent="0.4">
      <c r="J3097" s="140"/>
      <c r="N3097" s="211"/>
    </row>
    <row r="3098" spans="10:14" x14ac:dyDescent="0.4">
      <c r="J3098" s="140"/>
      <c r="N3098" s="211"/>
    </row>
    <row r="3099" spans="10:14" x14ac:dyDescent="0.4">
      <c r="J3099" s="140"/>
      <c r="N3099" s="211"/>
    </row>
    <row r="3100" spans="10:14" x14ac:dyDescent="0.4">
      <c r="J3100" s="140"/>
      <c r="N3100" s="211"/>
    </row>
    <row r="3101" spans="10:14" x14ac:dyDescent="0.4">
      <c r="J3101" s="140"/>
      <c r="N3101" s="211"/>
    </row>
    <row r="3102" spans="10:14" x14ac:dyDescent="0.4">
      <c r="J3102" s="140"/>
      <c r="N3102" s="211"/>
    </row>
    <row r="3103" spans="10:14" x14ac:dyDescent="0.4">
      <c r="J3103" s="140"/>
      <c r="N3103" s="211"/>
    </row>
    <row r="3104" spans="10:14" x14ac:dyDescent="0.4">
      <c r="J3104" s="140"/>
      <c r="N3104" s="211"/>
    </row>
    <row r="3105" spans="10:14" x14ac:dyDescent="0.4">
      <c r="J3105" s="140"/>
      <c r="N3105" s="211"/>
    </row>
    <row r="3106" spans="10:14" x14ac:dyDescent="0.4">
      <c r="J3106" s="140"/>
      <c r="N3106" s="211"/>
    </row>
    <row r="3107" spans="10:14" x14ac:dyDescent="0.4">
      <c r="J3107" s="140"/>
      <c r="N3107" s="211"/>
    </row>
    <row r="3108" spans="10:14" x14ac:dyDescent="0.4">
      <c r="J3108" s="140"/>
      <c r="N3108" s="211"/>
    </row>
    <row r="3109" spans="10:14" x14ac:dyDescent="0.4">
      <c r="J3109" s="140"/>
      <c r="N3109" s="211"/>
    </row>
    <row r="3110" spans="10:14" x14ac:dyDescent="0.4">
      <c r="J3110" s="140"/>
      <c r="N3110" s="211"/>
    </row>
    <row r="3111" spans="10:14" x14ac:dyDescent="0.4">
      <c r="J3111" s="140"/>
      <c r="N3111" s="211"/>
    </row>
    <row r="3112" spans="10:14" x14ac:dyDescent="0.4">
      <c r="J3112" s="140"/>
      <c r="N3112" s="211"/>
    </row>
    <row r="3113" spans="10:14" x14ac:dyDescent="0.4">
      <c r="J3113" s="140"/>
      <c r="N3113" s="211"/>
    </row>
    <row r="3114" spans="10:14" x14ac:dyDescent="0.4">
      <c r="J3114" s="140"/>
      <c r="N3114" s="211"/>
    </row>
    <row r="3115" spans="10:14" x14ac:dyDescent="0.4">
      <c r="J3115" s="140"/>
      <c r="N3115" s="211"/>
    </row>
    <row r="3116" spans="10:14" x14ac:dyDescent="0.4">
      <c r="J3116" s="140"/>
      <c r="N3116" s="211"/>
    </row>
    <row r="3117" spans="10:14" x14ac:dyDescent="0.4">
      <c r="J3117" s="140"/>
      <c r="N3117" s="211"/>
    </row>
    <row r="3118" spans="10:14" x14ac:dyDescent="0.4">
      <c r="J3118" s="140"/>
      <c r="N3118" s="211"/>
    </row>
    <row r="3119" spans="10:14" x14ac:dyDescent="0.4">
      <c r="J3119" s="140"/>
      <c r="N3119" s="211"/>
    </row>
    <row r="3120" spans="10:14" x14ac:dyDescent="0.4">
      <c r="J3120" s="140"/>
      <c r="N3120" s="211"/>
    </row>
    <row r="3121" spans="10:14" x14ac:dyDescent="0.4">
      <c r="J3121" s="140"/>
      <c r="N3121" s="211"/>
    </row>
    <row r="3122" spans="10:14" x14ac:dyDescent="0.4">
      <c r="J3122" s="140"/>
      <c r="N3122" s="211"/>
    </row>
    <row r="3123" spans="10:14" x14ac:dyDescent="0.4">
      <c r="J3123" s="140"/>
      <c r="N3123" s="211"/>
    </row>
    <row r="3124" spans="10:14" x14ac:dyDescent="0.4">
      <c r="J3124" s="140"/>
      <c r="N3124" s="211"/>
    </row>
    <row r="3125" spans="10:14" x14ac:dyDescent="0.4">
      <c r="J3125" s="140"/>
      <c r="N3125" s="211"/>
    </row>
    <row r="3126" spans="10:14" x14ac:dyDescent="0.4">
      <c r="J3126" s="140"/>
      <c r="N3126" s="211"/>
    </row>
    <row r="3127" spans="10:14" x14ac:dyDescent="0.4">
      <c r="J3127" s="140"/>
      <c r="N3127" s="211"/>
    </row>
    <row r="3128" spans="10:14" x14ac:dyDescent="0.4">
      <c r="J3128" s="140"/>
      <c r="N3128" s="211"/>
    </row>
    <row r="3129" spans="10:14" x14ac:dyDescent="0.4">
      <c r="J3129" s="140"/>
      <c r="N3129" s="211"/>
    </row>
    <row r="3130" spans="10:14" x14ac:dyDescent="0.4">
      <c r="J3130" s="140"/>
      <c r="N3130" s="211"/>
    </row>
    <row r="3131" spans="10:14" x14ac:dyDescent="0.4">
      <c r="J3131" s="140"/>
      <c r="N3131" s="211"/>
    </row>
    <row r="3132" spans="10:14" x14ac:dyDescent="0.4">
      <c r="J3132" s="140"/>
      <c r="N3132" s="211"/>
    </row>
    <row r="3133" spans="10:14" x14ac:dyDescent="0.4">
      <c r="J3133" s="140"/>
      <c r="N3133" s="211"/>
    </row>
    <row r="3134" spans="10:14" x14ac:dyDescent="0.4">
      <c r="J3134" s="140"/>
      <c r="N3134" s="211"/>
    </row>
    <row r="3135" spans="10:14" x14ac:dyDescent="0.4">
      <c r="J3135" s="140"/>
      <c r="N3135" s="211"/>
    </row>
    <row r="3136" spans="10:14" x14ac:dyDescent="0.4">
      <c r="J3136" s="140"/>
      <c r="N3136" s="211"/>
    </row>
    <row r="3137" spans="10:14" x14ac:dyDescent="0.4">
      <c r="J3137" s="140"/>
      <c r="N3137" s="211"/>
    </row>
    <row r="3138" spans="10:14" x14ac:dyDescent="0.4">
      <c r="J3138" s="140"/>
      <c r="N3138" s="211"/>
    </row>
    <row r="3139" spans="10:14" x14ac:dyDescent="0.4">
      <c r="J3139" s="140"/>
      <c r="N3139" s="211"/>
    </row>
    <row r="3140" spans="10:14" x14ac:dyDescent="0.4">
      <c r="J3140" s="140"/>
      <c r="N3140" s="211"/>
    </row>
    <row r="3141" spans="10:14" x14ac:dyDescent="0.4">
      <c r="J3141" s="140"/>
      <c r="N3141" s="211"/>
    </row>
    <row r="3142" spans="10:14" x14ac:dyDescent="0.4">
      <c r="J3142" s="140"/>
      <c r="N3142" s="211"/>
    </row>
    <row r="3143" spans="10:14" x14ac:dyDescent="0.4">
      <c r="J3143" s="140"/>
      <c r="N3143" s="211"/>
    </row>
    <row r="3144" spans="10:14" x14ac:dyDescent="0.4">
      <c r="J3144" s="140"/>
      <c r="N3144" s="211"/>
    </row>
    <row r="3145" spans="10:14" x14ac:dyDescent="0.4">
      <c r="J3145" s="140"/>
      <c r="N3145" s="211"/>
    </row>
    <row r="3146" spans="10:14" x14ac:dyDescent="0.4">
      <c r="J3146" s="140"/>
      <c r="N3146" s="211"/>
    </row>
    <row r="3147" spans="10:14" x14ac:dyDescent="0.4">
      <c r="J3147" s="140"/>
      <c r="N3147" s="211"/>
    </row>
    <row r="3148" spans="10:14" x14ac:dyDescent="0.4">
      <c r="J3148" s="140"/>
      <c r="N3148" s="211"/>
    </row>
    <row r="3149" spans="10:14" x14ac:dyDescent="0.4">
      <c r="J3149" s="140"/>
      <c r="N3149" s="211"/>
    </row>
    <row r="3150" spans="10:14" x14ac:dyDescent="0.4">
      <c r="J3150" s="140"/>
      <c r="N3150" s="211"/>
    </row>
    <row r="3151" spans="10:14" x14ac:dyDescent="0.4">
      <c r="J3151" s="140"/>
      <c r="N3151" s="211"/>
    </row>
    <row r="3152" spans="10:14" x14ac:dyDescent="0.4">
      <c r="J3152" s="140"/>
      <c r="N3152" s="211"/>
    </row>
    <row r="3153" spans="10:14" x14ac:dyDescent="0.4">
      <c r="J3153" s="140"/>
      <c r="N3153" s="211"/>
    </row>
    <row r="3154" spans="10:14" x14ac:dyDescent="0.4">
      <c r="J3154" s="140"/>
      <c r="N3154" s="211"/>
    </row>
    <row r="3155" spans="10:14" x14ac:dyDescent="0.4">
      <c r="J3155" s="140"/>
      <c r="N3155" s="211"/>
    </row>
    <row r="3156" spans="10:14" x14ac:dyDescent="0.4">
      <c r="J3156" s="140"/>
      <c r="N3156" s="211"/>
    </row>
    <row r="3157" spans="10:14" x14ac:dyDescent="0.4">
      <c r="J3157" s="140"/>
      <c r="N3157" s="211"/>
    </row>
    <row r="3158" spans="10:14" x14ac:dyDescent="0.4">
      <c r="J3158" s="140"/>
      <c r="N3158" s="211"/>
    </row>
    <row r="3159" spans="10:14" x14ac:dyDescent="0.4">
      <c r="J3159" s="140"/>
      <c r="N3159" s="211"/>
    </row>
    <row r="3160" spans="10:14" x14ac:dyDescent="0.4">
      <c r="J3160" s="140"/>
      <c r="N3160" s="211"/>
    </row>
    <row r="3161" spans="10:14" x14ac:dyDescent="0.4">
      <c r="J3161" s="140"/>
      <c r="N3161" s="211"/>
    </row>
    <row r="3162" spans="10:14" x14ac:dyDescent="0.4">
      <c r="J3162" s="140"/>
      <c r="N3162" s="211"/>
    </row>
    <row r="3163" spans="10:14" x14ac:dyDescent="0.4">
      <c r="J3163" s="140"/>
      <c r="N3163" s="211"/>
    </row>
    <row r="3164" spans="10:14" x14ac:dyDescent="0.4">
      <c r="J3164" s="140"/>
      <c r="N3164" s="211"/>
    </row>
    <row r="3165" spans="10:14" x14ac:dyDescent="0.4">
      <c r="J3165" s="140"/>
      <c r="N3165" s="211"/>
    </row>
    <row r="3166" spans="10:14" x14ac:dyDescent="0.4">
      <c r="J3166" s="140"/>
      <c r="N3166" s="211"/>
    </row>
    <row r="3167" spans="10:14" x14ac:dyDescent="0.4">
      <c r="J3167" s="140"/>
      <c r="N3167" s="211"/>
    </row>
    <row r="3168" spans="10:14" x14ac:dyDescent="0.4">
      <c r="J3168" s="140"/>
      <c r="N3168" s="211"/>
    </row>
    <row r="3169" spans="10:14" x14ac:dyDescent="0.4">
      <c r="J3169" s="140"/>
      <c r="N3169" s="211"/>
    </row>
    <row r="3170" spans="10:14" x14ac:dyDescent="0.4">
      <c r="J3170" s="140"/>
      <c r="N3170" s="211"/>
    </row>
    <row r="3171" spans="10:14" x14ac:dyDescent="0.4">
      <c r="J3171" s="140"/>
      <c r="N3171" s="211"/>
    </row>
    <row r="3172" spans="10:14" x14ac:dyDescent="0.4">
      <c r="J3172" s="140"/>
      <c r="N3172" s="211"/>
    </row>
    <row r="3173" spans="10:14" x14ac:dyDescent="0.4">
      <c r="J3173" s="140"/>
      <c r="N3173" s="211"/>
    </row>
    <row r="3174" spans="10:14" x14ac:dyDescent="0.4">
      <c r="J3174" s="140"/>
      <c r="N3174" s="211"/>
    </row>
    <row r="3175" spans="10:14" x14ac:dyDescent="0.4">
      <c r="J3175" s="140"/>
      <c r="N3175" s="211"/>
    </row>
    <row r="3176" spans="10:14" x14ac:dyDescent="0.4">
      <c r="J3176" s="140"/>
      <c r="N3176" s="211"/>
    </row>
    <row r="3177" spans="10:14" x14ac:dyDescent="0.4">
      <c r="J3177" s="140"/>
      <c r="N3177" s="211"/>
    </row>
    <row r="3178" spans="10:14" x14ac:dyDescent="0.4">
      <c r="J3178" s="140"/>
      <c r="N3178" s="211"/>
    </row>
    <row r="3179" spans="10:14" x14ac:dyDescent="0.4">
      <c r="J3179" s="140"/>
      <c r="N3179" s="211"/>
    </row>
    <row r="3180" spans="10:14" x14ac:dyDescent="0.4">
      <c r="J3180" s="140"/>
      <c r="N3180" s="211"/>
    </row>
    <row r="3181" spans="10:14" x14ac:dyDescent="0.4">
      <c r="J3181" s="140"/>
      <c r="N3181" s="211"/>
    </row>
    <row r="3182" spans="10:14" x14ac:dyDescent="0.4">
      <c r="J3182" s="140"/>
      <c r="N3182" s="211"/>
    </row>
    <row r="3183" spans="10:14" x14ac:dyDescent="0.4">
      <c r="J3183" s="140"/>
      <c r="N3183" s="211"/>
    </row>
    <row r="3184" spans="10:14" x14ac:dyDescent="0.4">
      <c r="J3184" s="140"/>
      <c r="N3184" s="211"/>
    </row>
    <row r="3185" spans="10:14" x14ac:dyDescent="0.4">
      <c r="J3185" s="140"/>
      <c r="N3185" s="211"/>
    </row>
    <row r="3186" spans="10:14" x14ac:dyDescent="0.4">
      <c r="J3186" s="140"/>
      <c r="N3186" s="211"/>
    </row>
    <row r="3187" spans="10:14" x14ac:dyDescent="0.4">
      <c r="J3187" s="140"/>
      <c r="N3187" s="211"/>
    </row>
    <row r="3188" spans="10:14" x14ac:dyDescent="0.4">
      <c r="J3188" s="140"/>
      <c r="N3188" s="211"/>
    </row>
    <row r="3189" spans="10:14" x14ac:dyDescent="0.4">
      <c r="J3189" s="140"/>
      <c r="N3189" s="211"/>
    </row>
    <row r="3190" spans="10:14" x14ac:dyDescent="0.4">
      <c r="J3190" s="140"/>
      <c r="N3190" s="211"/>
    </row>
    <row r="3191" spans="10:14" x14ac:dyDescent="0.4">
      <c r="J3191" s="140"/>
      <c r="N3191" s="211"/>
    </row>
    <row r="3192" spans="10:14" x14ac:dyDescent="0.4">
      <c r="J3192" s="140"/>
      <c r="N3192" s="211"/>
    </row>
    <row r="3193" spans="10:14" x14ac:dyDescent="0.4">
      <c r="J3193" s="140"/>
      <c r="N3193" s="211"/>
    </row>
    <row r="3194" spans="10:14" x14ac:dyDescent="0.4">
      <c r="J3194" s="140"/>
      <c r="N3194" s="211"/>
    </row>
    <row r="3195" spans="10:14" x14ac:dyDescent="0.4">
      <c r="J3195" s="140"/>
      <c r="N3195" s="211"/>
    </row>
    <row r="3196" spans="10:14" x14ac:dyDescent="0.4">
      <c r="J3196" s="140"/>
      <c r="N3196" s="211"/>
    </row>
    <row r="3197" spans="10:14" x14ac:dyDescent="0.4">
      <c r="J3197" s="140"/>
      <c r="N3197" s="211"/>
    </row>
    <row r="3198" spans="10:14" x14ac:dyDescent="0.4">
      <c r="J3198" s="140"/>
      <c r="N3198" s="211"/>
    </row>
    <row r="3199" spans="10:14" x14ac:dyDescent="0.4">
      <c r="J3199" s="140"/>
      <c r="N3199" s="211"/>
    </row>
    <row r="3200" spans="10:14" x14ac:dyDescent="0.4">
      <c r="J3200" s="140"/>
      <c r="N3200" s="211"/>
    </row>
    <row r="3201" spans="10:14" x14ac:dyDescent="0.4">
      <c r="J3201" s="140"/>
      <c r="N3201" s="211"/>
    </row>
    <row r="3202" spans="10:14" x14ac:dyDescent="0.4">
      <c r="J3202" s="140"/>
      <c r="N3202" s="211"/>
    </row>
    <row r="3203" spans="10:14" x14ac:dyDescent="0.4">
      <c r="J3203" s="140"/>
      <c r="N3203" s="211"/>
    </row>
    <row r="3204" spans="10:14" x14ac:dyDescent="0.4">
      <c r="J3204" s="140"/>
      <c r="N3204" s="211"/>
    </row>
    <row r="3205" spans="10:14" x14ac:dyDescent="0.4">
      <c r="J3205" s="140"/>
      <c r="N3205" s="211"/>
    </row>
    <row r="3206" spans="10:14" x14ac:dyDescent="0.4">
      <c r="J3206" s="140"/>
      <c r="N3206" s="211"/>
    </row>
    <row r="3207" spans="10:14" x14ac:dyDescent="0.4">
      <c r="J3207" s="140"/>
      <c r="N3207" s="211"/>
    </row>
    <row r="3208" spans="10:14" x14ac:dyDescent="0.4">
      <c r="J3208" s="140"/>
      <c r="N3208" s="211"/>
    </row>
    <row r="3209" spans="10:14" x14ac:dyDescent="0.4">
      <c r="J3209" s="140"/>
      <c r="N3209" s="211"/>
    </row>
    <row r="3210" spans="10:14" x14ac:dyDescent="0.4">
      <c r="J3210" s="140"/>
      <c r="N3210" s="211"/>
    </row>
    <row r="3211" spans="10:14" x14ac:dyDescent="0.4">
      <c r="J3211" s="140"/>
      <c r="N3211" s="211"/>
    </row>
    <row r="3212" spans="10:14" x14ac:dyDescent="0.4">
      <c r="J3212" s="140"/>
      <c r="N3212" s="211"/>
    </row>
    <row r="3213" spans="10:14" x14ac:dyDescent="0.4">
      <c r="J3213" s="140"/>
      <c r="N3213" s="211"/>
    </row>
    <row r="3214" spans="10:14" x14ac:dyDescent="0.4">
      <c r="J3214" s="140"/>
      <c r="N3214" s="211"/>
    </row>
    <row r="3215" spans="10:14" x14ac:dyDescent="0.4">
      <c r="J3215" s="140"/>
      <c r="N3215" s="211"/>
    </row>
    <row r="3216" spans="10:14" x14ac:dyDescent="0.4">
      <c r="J3216" s="140"/>
      <c r="N3216" s="211"/>
    </row>
    <row r="3217" spans="10:14" x14ac:dyDescent="0.4">
      <c r="J3217" s="140"/>
      <c r="N3217" s="211"/>
    </row>
    <row r="3218" spans="10:14" x14ac:dyDescent="0.4">
      <c r="J3218" s="140"/>
      <c r="N3218" s="211"/>
    </row>
    <row r="3219" spans="10:14" x14ac:dyDescent="0.4">
      <c r="J3219" s="140"/>
      <c r="N3219" s="211"/>
    </row>
    <row r="3220" spans="10:14" x14ac:dyDescent="0.4">
      <c r="J3220" s="140"/>
      <c r="N3220" s="211"/>
    </row>
    <row r="3221" spans="10:14" x14ac:dyDescent="0.4">
      <c r="J3221" s="140"/>
      <c r="N3221" s="211"/>
    </row>
    <row r="3222" spans="10:14" x14ac:dyDescent="0.4">
      <c r="J3222" s="140"/>
      <c r="N3222" s="211"/>
    </row>
    <row r="3223" spans="10:14" x14ac:dyDescent="0.4">
      <c r="J3223" s="140"/>
      <c r="N3223" s="211"/>
    </row>
    <row r="3224" spans="10:14" x14ac:dyDescent="0.4">
      <c r="J3224" s="140"/>
      <c r="N3224" s="211"/>
    </row>
    <row r="3225" spans="10:14" x14ac:dyDescent="0.4">
      <c r="J3225" s="140"/>
      <c r="N3225" s="211"/>
    </row>
    <row r="3226" spans="10:14" x14ac:dyDescent="0.4">
      <c r="J3226" s="140"/>
      <c r="N3226" s="211"/>
    </row>
    <row r="3227" spans="10:14" x14ac:dyDescent="0.4">
      <c r="J3227" s="140"/>
      <c r="N3227" s="211"/>
    </row>
    <row r="3228" spans="10:14" x14ac:dyDescent="0.4">
      <c r="J3228" s="140"/>
      <c r="N3228" s="211"/>
    </row>
    <row r="3229" spans="10:14" x14ac:dyDescent="0.4">
      <c r="J3229" s="140"/>
      <c r="N3229" s="211"/>
    </row>
    <row r="3230" spans="10:14" x14ac:dyDescent="0.4">
      <c r="J3230" s="140"/>
      <c r="N3230" s="211"/>
    </row>
    <row r="3231" spans="10:14" x14ac:dyDescent="0.4">
      <c r="J3231" s="140"/>
      <c r="N3231" s="211"/>
    </row>
    <row r="3232" spans="10:14" x14ac:dyDescent="0.4">
      <c r="J3232" s="140"/>
      <c r="N3232" s="211"/>
    </row>
    <row r="3233" spans="10:14" x14ac:dyDescent="0.4">
      <c r="J3233" s="140"/>
      <c r="N3233" s="211"/>
    </row>
    <row r="3234" spans="10:14" x14ac:dyDescent="0.4">
      <c r="J3234" s="140"/>
      <c r="N3234" s="211"/>
    </row>
    <row r="3235" spans="10:14" x14ac:dyDescent="0.4">
      <c r="J3235" s="140"/>
      <c r="N3235" s="211"/>
    </row>
    <row r="3236" spans="10:14" x14ac:dyDescent="0.4">
      <c r="J3236" s="140"/>
      <c r="N3236" s="211"/>
    </row>
    <row r="3237" spans="10:14" x14ac:dyDescent="0.4">
      <c r="J3237" s="140"/>
      <c r="N3237" s="211"/>
    </row>
    <row r="3238" spans="10:14" x14ac:dyDescent="0.4">
      <c r="J3238" s="140"/>
      <c r="N3238" s="211"/>
    </row>
    <row r="3239" spans="10:14" x14ac:dyDescent="0.4">
      <c r="J3239" s="140"/>
      <c r="N3239" s="211"/>
    </row>
    <row r="3240" spans="10:14" x14ac:dyDescent="0.4">
      <c r="J3240" s="140"/>
      <c r="N3240" s="211"/>
    </row>
    <row r="3241" spans="10:14" x14ac:dyDescent="0.4">
      <c r="J3241" s="140"/>
      <c r="N3241" s="211"/>
    </row>
    <row r="3242" spans="10:14" x14ac:dyDescent="0.4">
      <c r="J3242" s="140"/>
      <c r="N3242" s="211"/>
    </row>
    <row r="3243" spans="10:14" x14ac:dyDescent="0.4">
      <c r="J3243" s="140"/>
      <c r="N3243" s="211"/>
    </row>
    <row r="3244" spans="10:14" x14ac:dyDescent="0.4">
      <c r="J3244" s="140"/>
      <c r="N3244" s="211"/>
    </row>
    <row r="3245" spans="10:14" x14ac:dyDescent="0.4">
      <c r="J3245" s="140"/>
      <c r="N3245" s="211"/>
    </row>
    <row r="3246" spans="10:14" x14ac:dyDescent="0.4">
      <c r="J3246" s="140"/>
      <c r="N3246" s="211"/>
    </row>
    <row r="3247" spans="10:14" x14ac:dyDescent="0.4">
      <c r="J3247" s="140"/>
      <c r="N3247" s="211"/>
    </row>
    <row r="3248" spans="10:14" x14ac:dyDescent="0.4">
      <c r="J3248" s="140"/>
      <c r="N3248" s="211"/>
    </row>
    <row r="3249" spans="10:14" x14ac:dyDescent="0.4">
      <c r="J3249" s="140"/>
      <c r="N3249" s="211"/>
    </row>
    <row r="3250" spans="10:14" x14ac:dyDescent="0.4">
      <c r="J3250" s="140"/>
      <c r="N3250" s="211"/>
    </row>
    <row r="3251" spans="10:14" x14ac:dyDescent="0.4">
      <c r="J3251" s="140"/>
      <c r="N3251" s="211"/>
    </row>
    <row r="3252" spans="10:14" x14ac:dyDescent="0.4">
      <c r="J3252" s="140"/>
      <c r="N3252" s="211"/>
    </row>
    <row r="3253" spans="10:14" x14ac:dyDescent="0.4">
      <c r="J3253" s="140"/>
      <c r="N3253" s="211"/>
    </row>
    <row r="3254" spans="10:14" x14ac:dyDescent="0.4">
      <c r="J3254" s="140"/>
      <c r="N3254" s="211"/>
    </row>
    <row r="3255" spans="10:14" x14ac:dyDescent="0.4">
      <c r="J3255" s="140"/>
      <c r="N3255" s="211"/>
    </row>
    <row r="3256" spans="10:14" x14ac:dyDescent="0.4">
      <c r="J3256" s="140"/>
      <c r="N3256" s="211"/>
    </row>
    <row r="3257" spans="10:14" x14ac:dyDescent="0.4">
      <c r="J3257" s="140"/>
      <c r="N3257" s="211"/>
    </row>
    <row r="3258" spans="10:14" x14ac:dyDescent="0.4">
      <c r="J3258" s="140"/>
      <c r="N3258" s="211"/>
    </row>
    <row r="3259" spans="10:14" x14ac:dyDescent="0.4">
      <c r="J3259" s="140"/>
      <c r="N3259" s="211"/>
    </row>
    <row r="3260" spans="10:14" x14ac:dyDescent="0.4">
      <c r="J3260" s="140"/>
      <c r="N3260" s="211"/>
    </row>
    <row r="3261" spans="10:14" x14ac:dyDescent="0.4">
      <c r="J3261" s="140"/>
      <c r="N3261" s="211"/>
    </row>
    <row r="3262" spans="10:14" x14ac:dyDescent="0.4">
      <c r="J3262" s="140"/>
      <c r="N3262" s="211"/>
    </row>
    <row r="3263" spans="10:14" x14ac:dyDescent="0.4">
      <c r="J3263" s="140"/>
      <c r="N3263" s="211"/>
    </row>
    <row r="3264" spans="10:14" x14ac:dyDescent="0.4">
      <c r="J3264" s="140"/>
      <c r="N3264" s="211"/>
    </row>
    <row r="3265" spans="10:14" x14ac:dyDescent="0.4">
      <c r="J3265" s="140"/>
      <c r="N3265" s="211"/>
    </row>
    <row r="3266" spans="10:14" x14ac:dyDescent="0.4">
      <c r="J3266" s="140"/>
      <c r="N3266" s="211"/>
    </row>
    <row r="3267" spans="10:14" x14ac:dyDescent="0.4">
      <c r="J3267" s="140"/>
      <c r="N3267" s="211"/>
    </row>
    <row r="3268" spans="10:14" x14ac:dyDescent="0.4">
      <c r="J3268" s="140"/>
      <c r="N3268" s="211"/>
    </row>
    <row r="3269" spans="10:14" x14ac:dyDescent="0.4">
      <c r="J3269" s="140"/>
      <c r="N3269" s="211"/>
    </row>
    <row r="3270" spans="10:14" x14ac:dyDescent="0.4">
      <c r="J3270" s="140"/>
      <c r="N3270" s="211"/>
    </row>
    <row r="3271" spans="10:14" x14ac:dyDescent="0.4">
      <c r="J3271" s="140"/>
      <c r="N3271" s="211"/>
    </row>
    <row r="3272" spans="10:14" x14ac:dyDescent="0.4">
      <c r="J3272" s="140"/>
      <c r="N3272" s="211"/>
    </row>
    <row r="3273" spans="10:14" x14ac:dyDescent="0.4">
      <c r="J3273" s="140"/>
      <c r="N3273" s="211"/>
    </row>
    <row r="3274" spans="10:14" x14ac:dyDescent="0.4">
      <c r="J3274" s="140"/>
      <c r="N3274" s="211"/>
    </row>
    <row r="3275" spans="10:14" x14ac:dyDescent="0.4">
      <c r="J3275" s="140"/>
      <c r="N3275" s="211"/>
    </row>
    <row r="3276" spans="10:14" x14ac:dyDescent="0.4">
      <c r="J3276" s="140"/>
      <c r="N3276" s="211"/>
    </row>
    <row r="3277" spans="10:14" x14ac:dyDescent="0.4">
      <c r="J3277" s="140"/>
      <c r="N3277" s="211"/>
    </row>
    <row r="3278" spans="10:14" x14ac:dyDescent="0.4">
      <c r="J3278" s="140"/>
      <c r="N3278" s="211"/>
    </row>
    <row r="3279" spans="10:14" x14ac:dyDescent="0.4">
      <c r="J3279" s="140"/>
      <c r="N3279" s="211"/>
    </row>
    <row r="3280" spans="10:14" x14ac:dyDescent="0.4">
      <c r="J3280" s="140"/>
      <c r="N3280" s="211"/>
    </row>
    <row r="3281" spans="10:14" x14ac:dyDescent="0.4">
      <c r="J3281" s="140"/>
      <c r="N3281" s="211"/>
    </row>
    <row r="3282" spans="10:14" x14ac:dyDescent="0.4">
      <c r="J3282" s="140"/>
      <c r="N3282" s="211"/>
    </row>
    <row r="3283" spans="10:14" x14ac:dyDescent="0.4">
      <c r="J3283" s="140"/>
      <c r="N3283" s="211"/>
    </row>
    <row r="3284" spans="10:14" x14ac:dyDescent="0.4">
      <c r="J3284" s="140"/>
      <c r="N3284" s="211"/>
    </row>
    <row r="3285" spans="10:14" x14ac:dyDescent="0.4">
      <c r="J3285" s="140"/>
      <c r="N3285" s="211"/>
    </row>
    <row r="3286" spans="10:14" x14ac:dyDescent="0.4">
      <c r="J3286" s="140"/>
      <c r="N3286" s="211"/>
    </row>
    <row r="3287" spans="10:14" x14ac:dyDescent="0.4">
      <c r="J3287" s="140"/>
      <c r="N3287" s="211"/>
    </row>
    <row r="3288" spans="10:14" x14ac:dyDescent="0.4">
      <c r="J3288" s="140"/>
      <c r="N3288" s="211"/>
    </row>
    <row r="3289" spans="10:14" x14ac:dyDescent="0.4">
      <c r="J3289" s="140"/>
      <c r="N3289" s="211"/>
    </row>
    <row r="3290" spans="10:14" x14ac:dyDescent="0.4">
      <c r="J3290" s="140"/>
      <c r="N3290" s="211"/>
    </row>
    <row r="3291" spans="10:14" x14ac:dyDescent="0.4">
      <c r="J3291" s="140"/>
      <c r="N3291" s="211"/>
    </row>
    <row r="3292" spans="10:14" x14ac:dyDescent="0.4">
      <c r="J3292" s="140"/>
      <c r="N3292" s="211"/>
    </row>
    <row r="3293" spans="10:14" x14ac:dyDescent="0.4">
      <c r="J3293" s="140"/>
      <c r="N3293" s="211"/>
    </row>
    <row r="3294" spans="10:14" x14ac:dyDescent="0.4">
      <c r="J3294" s="140"/>
      <c r="N3294" s="211"/>
    </row>
    <row r="3295" spans="10:14" x14ac:dyDescent="0.4">
      <c r="J3295" s="140"/>
      <c r="N3295" s="211"/>
    </row>
    <row r="3296" spans="10:14" x14ac:dyDescent="0.4">
      <c r="J3296" s="140"/>
      <c r="N3296" s="211"/>
    </row>
    <row r="3297" spans="10:14" x14ac:dyDescent="0.4">
      <c r="J3297" s="140"/>
      <c r="N3297" s="211"/>
    </row>
    <row r="3298" spans="10:14" x14ac:dyDescent="0.4">
      <c r="J3298" s="140"/>
      <c r="N3298" s="211"/>
    </row>
    <row r="3299" spans="10:14" x14ac:dyDescent="0.4">
      <c r="J3299" s="140"/>
      <c r="N3299" s="211"/>
    </row>
    <row r="3300" spans="10:14" x14ac:dyDescent="0.4">
      <c r="J3300" s="140"/>
      <c r="N3300" s="211"/>
    </row>
    <row r="3301" spans="10:14" x14ac:dyDescent="0.4">
      <c r="J3301" s="140"/>
      <c r="N3301" s="211"/>
    </row>
    <row r="3302" spans="10:14" x14ac:dyDescent="0.4">
      <c r="J3302" s="140"/>
      <c r="N3302" s="211"/>
    </row>
    <row r="3303" spans="10:14" x14ac:dyDescent="0.4">
      <c r="J3303" s="140"/>
      <c r="N3303" s="211"/>
    </row>
    <row r="3304" spans="10:14" x14ac:dyDescent="0.4">
      <c r="J3304" s="140"/>
      <c r="N3304" s="211"/>
    </row>
    <row r="3305" spans="10:14" x14ac:dyDescent="0.4">
      <c r="J3305" s="140"/>
      <c r="N3305" s="211"/>
    </row>
    <row r="3306" spans="10:14" x14ac:dyDescent="0.4">
      <c r="J3306" s="140"/>
      <c r="N3306" s="211"/>
    </row>
    <row r="3307" spans="10:14" x14ac:dyDescent="0.4">
      <c r="J3307" s="140"/>
      <c r="N3307" s="211"/>
    </row>
    <row r="3308" spans="10:14" x14ac:dyDescent="0.4">
      <c r="J3308" s="140"/>
      <c r="N3308" s="211"/>
    </row>
    <row r="3309" spans="10:14" x14ac:dyDescent="0.4">
      <c r="J3309" s="140"/>
      <c r="N3309" s="211"/>
    </row>
    <row r="3310" spans="10:14" x14ac:dyDescent="0.4">
      <c r="J3310" s="140"/>
      <c r="N3310" s="211"/>
    </row>
    <row r="3311" spans="10:14" x14ac:dyDescent="0.4">
      <c r="J3311" s="140"/>
      <c r="N3311" s="211"/>
    </row>
    <row r="3312" spans="10:14" x14ac:dyDescent="0.4">
      <c r="J3312" s="140"/>
      <c r="N3312" s="211"/>
    </row>
    <row r="3313" spans="10:14" x14ac:dyDescent="0.4">
      <c r="J3313" s="140"/>
      <c r="N3313" s="211"/>
    </row>
    <row r="3314" spans="10:14" x14ac:dyDescent="0.4">
      <c r="J3314" s="140"/>
      <c r="N3314" s="211"/>
    </row>
    <row r="3315" spans="10:14" x14ac:dyDescent="0.4">
      <c r="J3315" s="140"/>
      <c r="N3315" s="211"/>
    </row>
    <row r="3316" spans="10:14" x14ac:dyDescent="0.4">
      <c r="J3316" s="140"/>
      <c r="N3316" s="211"/>
    </row>
    <row r="3317" spans="10:14" x14ac:dyDescent="0.4">
      <c r="J3317" s="140"/>
      <c r="N3317" s="211"/>
    </row>
    <row r="3318" spans="10:14" x14ac:dyDescent="0.4">
      <c r="J3318" s="140"/>
      <c r="N3318" s="211"/>
    </row>
    <row r="3319" spans="10:14" x14ac:dyDescent="0.4">
      <c r="J3319" s="140"/>
      <c r="N3319" s="211"/>
    </row>
    <row r="3320" spans="10:14" x14ac:dyDescent="0.4">
      <c r="J3320" s="140"/>
      <c r="N3320" s="211"/>
    </row>
    <row r="3321" spans="10:14" x14ac:dyDescent="0.4">
      <c r="J3321" s="140"/>
      <c r="N3321" s="211"/>
    </row>
    <row r="3322" spans="10:14" x14ac:dyDescent="0.4">
      <c r="J3322" s="140"/>
      <c r="N3322" s="211"/>
    </row>
    <row r="3323" spans="10:14" x14ac:dyDescent="0.4">
      <c r="J3323" s="140"/>
      <c r="N3323" s="211"/>
    </row>
    <row r="3324" spans="10:14" x14ac:dyDescent="0.4">
      <c r="J3324" s="140"/>
      <c r="N3324" s="211"/>
    </row>
    <row r="3325" spans="10:14" x14ac:dyDescent="0.4">
      <c r="J3325" s="140"/>
      <c r="N3325" s="211"/>
    </row>
    <row r="3326" spans="10:14" x14ac:dyDescent="0.4">
      <c r="J3326" s="140"/>
      <c r="N3326" s="211"/>
    </row>
    <row r="3327" spans="10:14" x14ac:dyDescent="0.4">
      <c r="J3327" s="140"/>
      <c r="N3327" s="211"/>
    </row>
    <row r="3328" spans="10:14" x14ac:dyDescent="0.4">
      <c r="J3328" s="140"/>
      <c r="N3328" s="211"/>
    </row>
    <row r="3329" spans="10:14" x14ac:dyDescent="0.4">
      <c r="J3329" s="140"/>
      <c r="N3329" s="211"/>
    </row>
    <row r="3330" spans="10:14" x14ac:dyDescent="0.4">
      <c r="J3330" s="140"/>
      <c r="N3330" s="211"/>
    </row>
    <row r="3331" spans="10:14" x14ac:dyDescent="0.4">
      <c r="J3331" s="140"/>
      <c r="N3331" s="211"/>
    </row>
    <row r="3332" spans="10:14" x14ac:dyDescent="0.4">
      <c r="J3332" s="140"/>
      <c r="N3332" s="211"/>
    </row>
    <row r="3333" spans="10:14" x14ac:dyDescent="0.4">
      <c r="J3333" s="140"/>
      <c r="N3333" s="211"/>
    </row>
    <row r="3334" spans="10:14" x14ac:dyDescent="0.4">
      <c r="J3334" s="140"/>
      <c r="N3334" s="211"/>
    </row>
    <row r="3335" spans="10:14" x14ac:dyDescent="0.4">
      <c r="J3335" s="140"/>
      <c r="N3335" s="211"/>
    </row>
    <row r="3336" spans="10:14" x14ac:dyDescent="0.4">
      <c r="J3336" s="140"/>
      <c r="N3336" s="211"/>
    </row>
    <row r="3337" spans="10:14" x14ac:dyDescent="0.4">
      <c r="J3337" s="140"/>
      <c r="N3337" s="211"/>
    </row>
    <row r="3338" spans="10:14" x14ac:dyDescent="0.4">
      <c r="J3338" s="140"/>
      <c r="N3338" s="211"/>
    </row>
    <row r="3339" spans="10:14" x14ac:dyDescent="0.4">
      <c r="J3339" s="140"/>
      <c r="N3339" s="211"/>
    </row>
    <row r="3340" spans="10:14" x14ac:dyDescent="0.4">
      <c r="J3340" s="140"/>
      <c r="N3340" s="211"/>
    </row>
    <row r="3341" spans="10:14" x14ac:dyDescent="0.4">
      <c r="J3341" s="140"/>
      <c r="N3341" s="211"/>
    </row>
    <row r="3342" spans="10:14" x14ac:dyDescent="0.4">
      <c r="J3342" s="140"/>
      <c r="N3342" s="211"/>
    </row>
    <row r="3343" spans="10:14" x14ac:dyDescent="0.4">
      <c r="J3343" s="140"/>
      <c r="N3343" s="211"/>
    </row>
    <row r="3344" spans="10:14" x14ac:dyDescent="0.4">
      <c r="J3344" s="140"/>
      <c r="N3344" s="211"/>
    </row>
    <row r="3345" spans="10:14" x14ac:dyDescent="0.4">
      <c r="J3345" s="140"/>
      <c r="N3345" s="211"/>
    </row>
    <row r="3346" spans="10:14" x14ac:dyDescent="0.4">
      <c r="J3346" s="140"/>
      <c r="N3346" s="211"/>
    </row>
    <row r="3347" spans="10:14" x14ac:dyDescent="0.4">
      <c r="J3347" s="140"/>
      <c r="N3347" s="211"/>
    </row>
    <row r="3348" spans="10:14" x14ac:dyDescent="0.4">
      <c r="J3348" s="140"/>
      <c r="N3348" s="211"/>
    </row>
    <row r="3349" spans="10:14" x14ac:dyDescent="0.4">
      <c r="J3349" s="140"/>
      <c r="N3349" s="211"/>
    </row>
    <row r="3350" spans="10:14" x14ac:dyDescent="0.4">
      <c r="J3350" s="140"/>
      <c r="N3350" s="211"/>
    </row>
    <row r="3351" spans="10:14" x14ac:dyDescent="0.4">
      <c r="J3351" s="140"/>
      <c r="N3351" s="211"/>
    </row>
    <row r="3352" spans="10:14" x14ac:dyDescent="0.4">
      <c r="J3352" s="140"/>
      <c r="N3352" s="211"/>
    </row>
    <row r="3353" spans="10:14" x14ac:dyDescent="0.4">
      <c r="J3353" s="140"/>
      <c r="N3353" s="211"/>
    </row>
    <row r="3354" spans="10:14" x14ac:dyDescent="0.4">
      <c r="J3354" s="140"/>
      <c r="N3354" s="211"/>
    </row>
    <row r="3355" spans="10:14" x14ac:dyDescent="0.4">
      <c r="J3355" s="140"/>
      <c r="N3355" s="211"/>
    </row>
    <row r="3356" spans="10:14" x14ac:dyDescent="0.4">
      <c r="J3356" s="140"/>
      <c r="N3356" s="211"/>
    </row>
    <row r="3357" spans="10:14" x14ac:dyDescent="0.4">
      <c r="J3357" s="140"/>
      <c r="N3357" s="211"/>
    </row>
    <row r="3358" spans="10:14" x14ac:dyDescent="0.4">
      <c r="J3358" s="140"/>
      <c r="N3358" s="211"/>
    </row>
    <row r="3359" spans="10:14" x14ac:dyDescent="0.4">
      <c r="J3359" s="140"/>
      <c r="N3359" s="211"/>
    </row>
    <row r="3360" spans="10:14" x14ac:dyDescent="0.4">
      <c r="J3360" s="140"/>
      <c r="N3360" s="211"/>
    </row>
    <row r="3361" spans="10:14" x14ac:dyDescent="0.4">
      <c r="J3361" s="140"/>
      <c r="N3361" s="211"/>
    </row>
    <row r="3362" spans="10:14" x14ac:dyDescent="0.4">
      <c r="J3362" s="140"/>
      <c r="N3362" s="211"/>
    </row>
    <row r="3363" spans="10:14" x14ac:dyDescent="0.4">
      <c r="J3363" s="140"/>
      <c r="N3363" s="211"/>
    </row>
    <row r="3364" spans="10:14" x14ac:dyDescent="0.4">
      <c r="J3364" s="140"/>
      <c r="N3364" s="211"/>
    </row>
    <row r="3365" spans="10:14" x14ac:dyDescent="0.4">
      <c r="J3365" s="140"/>
      <c r="N3365" s="211"/>
    </row>
    <row r="3366" spans="10:14" x14ac:dyDescent="0.4">
      <c r="J3366" s="140"/>
      <c r="N3366" s="211"/>
    </row>
    <row r="3367" spans="10:14" x14ac:dyDescent="0.4">
      <c r="J3367" s="140"/>
      <c r="N3367" s="211"/>
    </row>
    <row r="3368" spans="10:14" x14ac:dyDescent="0.4">
      <c r="J3368" s="140"/>
      <c r="N3368" s="211"/>
    </row>
    <row r="3369" spans="10:14" x14ac:dyDescent="0.4">
      <c r="J3369" s="140"/>
      <c r="N3369" s="211"/>
    </row>
    <row r="3370" spans="10:14" x14ac:dyDescent="0.4">
      <c r="J3370" s="140"/>
      <c r="N3370" s="211"/>
    </row>
    <row r="3371" spans="10:14" x14ac:dyDescent="0.4">
      <c r="J3371" s="140"/>
      <c r="N3371" s="211"/>
    </row>
    <row r="3372" spans="10:14" x14ac:dyDescent="0.4">
      <c r="J3372" s="140"/>
      <c r="N3372" s="211"/>
    </row>
    <row r="3373" spans="10:14" x14ac:dyDescent="0.4">
      <c r="J3373" s="140"/>
      <c r="N3373" s="211"/>
    </row>
    <row r="3374" spans="10:14" x14ac:dyDescent="0.4">
      <c r="J3374" s="140"/>
      <c r="N3374" s="211"/>
    </row>
    <row r="3375" spans="10:14" x14ac:dyDescent="0.4">
      <c r="J3375" s="140"/>
      <c r="N3375" s="211"/>
    </row>
    <row r="3376" spans="10:14" x14ac:dyDescent="0.4">
      <c r="J3376" s="140"/>
      <c r="N3376" s="211"/>
    </row>
    <row r="3377" spans="10:14" x14ac:dyDescent="0.4">
      <c r="J3377" s="140"/>
      <c r="N3377" s="211"/>
    </row>
    <row r="3378" spans="10:14" x14ac:dyDescent="0.4">
      <c r="J3378" s="140"/>
      <c r="N3378" s="211"/>
    </row>
    <row r="3379" spans="10:14" x14ac:dyDescent="0.4">
      <c r="J3379" s="140"/>
      <c r="N3379" s="211"/>
    </row>
    <row r="3380" spans="10:14" x14ac:dyDescent="0.4">
      <c r="J3380" s="140"/>
      <c r="N3380" s="211"/>
    </row>
    <row r="3381" spans="10:14" x14ac:dyDescent="0.4">
      <c r="J3381" s="140"/>
      <c r="N3381" s="211"/>
    </row>
    <row r="3382" spans="10:14" x14ac:dyDescent="0.4">
      <c r="J3382" s="140"/>
      <c r="N3382" s="211"/>
    </row>
    <row r="3383" spans="10:14" x14ac:dyDescent="0.4">
      <c r="J3383" s="140"/>
      <c r="N3383" s="211"/>
    </row>
    <row r="3384" spans="10:14" x14ac:dyDescent="0.4">
      <c r="J3384" s="140"/>
      <c r="N3384" s="211"/>
    </row>
    <row r="3385" spans="10:14" x14ac:dyDescent="0.4">
      <c r="J3385" s="140"/>
      <c r="N3385" s="211"/>
    </row>
    <row r="3386" spans="10:14" x14ac:dyDescent="0.4">
      <c r="J3386" s="140"/>
      <c r="N3386" s="211"/>
    </row>
    <row r="3387" spans="10:14" x14ac:dyDescent="0.4">
      <c r="J3387" s="140"/>
      <c r="N3387" s="211"/>
    </row>
    <row r="3388" spans="10:14" x14ac:dyDescent="0.4">
      <c r="J3388" s="140"/>
      <c r="N3388" s="211"/>
    </row>
    <row r="3389" spans="10:14" x14ac:dyDescent="0.4">
      <c r="J3389" s="140"/>
      <c r="N3389" s="211"/>
    </row>
    <row r="3390" spans="10:14" x14ac:dyDescent="0.4">
      <c r="J3390" s="140"/>
      <c r="N3390" s="211"/>
    </row>
    <row r="3391" spans="10:14" x14ac:dyDescent="0.4">
      <c r="J3391" s="140"/>
      <c r="N3391" s="211"/>
    </row>
    <row r="3392" spans="10:14" x14ac:dyDescent="0.4">
      <c r="J3392" s="140"/>
      <c r="N3392" s="211"/>
    </row>
    <row r="3393" spans="10:14" x14ac:dyDescent="0.4">
      <c r="J3393" s="140"/>
      <c r="N3393" s="211"/>
    </row>
    <row r="3394" spans="10:14" x14ac:dyDescent="0.4">
      <c r="J3394" s="140"/>
      <c r="N3394" s="211"/>
    </row>
    <row r="3395" spans="10:14" x14ac:dyDescent="0.4">
      <c r="J3395" s="140"/>
      <c r="N3395" s="211"/>
    </row>
    <row r="3396" spans="10:14" x14ac:dyDescent="0.4">
      <c r="J3396" s="140"/>
      <c r="N3396" s="211"/>
    </row>
    <row r="3397" spans="10:14" x14ac:dyDescent="0.4">
      <c r="J3397" s="140"/>
      <c r="N3397" s="211"/>
    </row>
    <row r="3398" spans="10:14" x14ac:dyDescent="0.4">
      <c r="J3398" s="140"/>
      <c r="N3398" s="211"/>
    </row>
    <row r="3399" spans="10:14" x14ac:dyDescent="0.4">
      <c r="J3399" s="140"/>
      <c r="N3399" s="211"/>
    </row>
    <row r="3400" spans="10:14" x14ac:dyDescent="0.4">
      <c r="J3400" s="140"/>
      <c r="N3400" s="211"/>
    </row>
    <row r="3401" spans="10:14" x14ac:dyDescent="0.4">
      <c r="J3401" s="140"/>
      <c r="N3401" s="211"/>
    </row>
    <row r="3402" spans="10:14" x14ac:dyDescent="0.4">
      <c r="J3402" s="140"/>
      <c r="N3402" s="211"/>
    </row>
    <row r="3403" spans="10:14" x14ac:dyDescent="0.4">
      <c r="J3403" s="140"/>
      <c r="N3403" s="211"/>
    </row>
    <row r="3404" spans="10:14" x14ac:dyDescent="0.4">
      <c r="J3404" s="140"/>
      <c r="N3404" s="211"/>
    </row>
    <row r="3405" spans="10:14" x14ac:dyDescent="0.4">
      <c r="J3405" s="140"/>
      <c r="N3405" s="211"/>
    </row>
    <row r="3406" spans="10:14" x14ac:dyDescent="0.4">
      <c r="J3406" s="140"/>
      <c r="N3406" s="211"/>
    </row>
    <row r="3407" spans="10:14" x14ac:dyDescent="0.4">
      <c r="J3407" s="140"/>
      <c r="N3407" s="211"/>
    </row>
    <row r="3408" spans="10:14" x14ac:dyDescent="0.4">
      <c r="J3408" s="140"/>
      <c r="N3408" s="211"/>
    </row>
    <row r="3409" spans="10:14" x14ac:dyDescent="0.4">
      <c r="J3409" s="140"/>
      <c r="N3409" s="211"/>
    </row>
    <row r="3410" spans="10:14" x14ac:dyDescent="0.4">
      <c r="J3410" s="140"/>
      <c r="N3410" s="211"/>
    </row>
    <row r="3411" spans="10:14" x14ac:dyDescent="0.4">
      <c r="J3411" s="140"/>
      <c r="N3411" s="211"/>
    </row>
    <row r="3412" spans="10:14" x14ac:dyDescent="0.4">
      <c r="J3412" s="140"/>
      <c r="N3412" s="211"/>
    </row>
    <row r="3413" spans="10:14" x14ac:dyDescent="0.4">
      <c r="J3413" s="140"/>
      <c r="N3413" s="211"/>
    </row>
    <row r="3414" spans="10:14" x14ac:dyDescent="0.4">
      <c r="J3414" s="140"/>
      <c r="N3414" s="211"/>
    </row>
    <row r="3415" spans="10:14" x14ac:dyDescent="0.4">
      <c r="J3415" s="140"/>
      <c r="N3415" s="211"/>
    </row>
    <row r="3416" spans="10:14" x14ac:dyDescent="0.4">
      <c r="J3416" s="140"/>
      <c r="N3416" s="211"/>
    </row>
    <row r="3417" spans="10:14" x14ac:dyDescent="0.4">
      <c r="J3417" s="140"/>
      <c r="N3417" s="211"/>
    </row>
    <row r="3418" spans="10:14" x14ac:dyDescent="0.4">
      <c r="J3418" s="140"/>
      <c r="N3418" s="211"/>
    </row>
    <row r="3419" spans="10:14" x14ac:dyDescent="0.4">
      <c r="J3419" s="140"/>
      <c r="N3419" s="211"/>
    </row>
    <row r="3420" spans="10:14" x14ac:dyDescent="0.4">
      <c r="J3420" s="140"/>
      <c r="N3420" s="211"/>
    </row>
    <row r="3421" spans="10:14" x14ac:dyDescent="0.4">
      <c r="J3421" s="140"/>
      <c r="N3421" s="211"/>
    </row>
    <row r="3422" spans="10:14" x14ac:dyDescent="0.4">
      <c r="J3422" s="140"/>
      <c r="N3422" s="211"/>
    </row>
    <row r="3423" spans="10:14" x14ac:dyDescent="0.4">
      <c r="J3423" s="140"/>
      <c r="N3423" s="211"/>
    </row>
    <row r="3424" spans="10:14" x14ac:dyDescent="0.4">
      <c r="J3424" s="140"/>
      <c r="N3424" s="211"/>
    </row>
    <row r="3425" spans="10:14" x14ac:dyDescent="0.4">
      <c r="J3425" s="140"/>
      <c r="N3425" s="211"/>
    </row>
    <row r="3426" spans="10:14" x14ac:dyDescent="0.4">
      <c r="J3426" s="140"/>
      <c r="N3426" s="211"/>
    </row>
    <row r="3427" spans="10:14" x14ac:dyDescent="0.4">
      <c r="J3427" s="140"/>
      <c r="N3427" s="211"/>
    </row>
    <row r="3428" spans="10:14" x14ac:dyDescent="0.4">
      <c r="J3428" s="140"/>
      <c r="N3428" s="211"/>
    </row>
    <row r="3429" spans="10:14" x14ac:dyDescent="0.4">
      <c r="J3429" s="140"/>
      <c r="N3429" s="211"/>
    </row>
    <row r="3430" spans="10:14" x14ac:dyDescent="0.4">
      <c r="J3430" s="140"/>
      <c r="N3430" s="211"/>
    </row>
    <row r="3431" spans="10:14" x14ac:dyDescent="0.4">
      <c r="J3431" s="140"/>
      <c r="N3431" s="211"/>
    </row>
    <row r="3432" spans="10:14" x14ac:dyDescent="0.4">
      <c r="J3432" s="140"/>
      <c r="N3432" s="211"/>
    </row>
    <row r="3433" spans="10:14" x14ac:dyDescent="0.4">
      <c r="J3433" s="140"/>
      <c r="N3433" s="211"/>
    </row>
    <row r="3434" spans="10:14" x14ac:dyDescent="0.4">
      <c r="J3434" s="140"/>
      <c r="N3434" s="211"/>
    </row>
    <row r="3435" spans="10:14" x14ac:dyDescent="0.4">
      <c r="J3435" s="140"/>
      <c r="N3435" s="211"/>
    </row>
    <row r="3436" spans="10:14" x14ac:dyDescent="0.4">
      <c r="J3436" s="140"/>
      <c r="N3436" s="211"/>
    </row>
    <row r="3437" spans="10:14" x14ac:dyDescent="0.4">
      <c r="J3437" s="140"/>
      <c r="N3437" s="211"/>
    </row>
    <row r="3438" spans="10:14" x14ac:dyDescent="0.4">
      <c r="J3438" s="140"/>
      <c r="N3438" s="211"/>
    </row>
    <row r="3439" spans="10:14" x14ac:dyDescent="0.4">
      <c r="J3439" s="140"/>
      <c r="N3439" s="211"/>
    </row>
    <row r="3440" spans="10:14" x14ac:dyDescent="0.4">
      <c r="J3440" s="140"/>
      <c r="N3440" s="211"/>
    </row>
    <row r="3441" spans="10:14" x14ac:dyDescent="0.4">
      <c r="J3441" s="140"/>
      <c r="N3441" s="211"/>
    </row>
    <row r="3442" spans="10:14" x14ac:dyDescent="0.4">
      <c r="J3442" s="140"/>
      <c r="N3442" s="211"/>
    </row>
    <row r="3443" spans="10:14" x14ac:dyDescent="0.4">
      <c r="J3443" s="140"/>
      <c r="N3443" s="211"/>
    </row>
    <row r="3444" spans="10:14" x14ac:dyDescent="0.4">
      <c r="J3444" s="140"/>
      <c r="N3444" s="211"/>
    </row>
    <row r="3445" spans="10:14" x14ac:dyDescent="0.4">
      <c r="J3445" s="140"/>
      <c r="N3445" s="211"/>
    </row>
    <row r="3446" spans="10:14" x14ac:dyDescent="0.4">
      <c r="J3446" s="140"/>
      <c r="N3446" s="211"/>
    </row>
    <row r="3447" spans="10:14" x14ac:dyDescent="0.4">
      <c r="J3447" s="140"/>
      <c r="N3447" s="211"/>
    </row>
    <row r="3448" spans="10:14" x14ac:dyDescent="0.4">
      <c r="J3448" s="140"/>
      <c r="N3448" s="211"/>
    </row>
    <row r="3449" spans="10:14" x14ac:dyDescent="0.4">
      <c r="J3449" s="140"/>
      <c r="N3449" s="211"/>
    </row>
    <row r="3450" spans="10:14" x14ac:dyDescent="0.4">
      <c r="J3450" s="140"/>
      <c r="N3450" s="211"/>
    </row>
    <row r="3451" spans="10:14" x14ac:dyDescent="0.4">
      <c r="J3451" s="140"/>
      <c r="N3451" s="211"/>
    </row>
    <row r="3452" spans="10:14" x14ac:dyDescent="0.4">
      <c r="J3452" s="140"/>
      <c r="N3452" s="211"/>
    </row>
    <row r="3453" spans="10:14" x14ac:dyDescent="0.4">
      <c r="J3453" s="140"/>
      <c r="N3453" s="211"/>
    </row>
    <row r="3454" spans="10:14" x14ac:dyDescent="0.4">
      <c r="J3454" s="140"/>
      <c r="N3454" s="211"/>
    </row>
    <row r="3455" spans="10:14" x14ac:dyDescent="0.4">
      <c r="J3455" s="140"/>
      <c r="N3455" s="211"/>
    </row>
    <row r="3456" spans="10:14" x14ac:dyDescent="0.4">
      <c r="J3456" s="140"/>
      <c r="N3456" s="211"/>
    </row>
    <row r="3457" spans="10:14" x14ac:dyDescent="0.4">
      <c r="J3457" s="140"/>
      <c r="N3457" s="211"/>
    </row>
    <row r="3458" spans="10:14" x14ac:dyDescent="0.4">
      <c r="J3458" s="140"/>
      <c r="N3458" s="211"/>
    </row>
    <row r="3459" spans="10:14" x14ac:dyDescent="0.4">
      <c r="J3459" s="140"/>
      <c r="N3459" s="211"/>
    </row>
    <row r="3460" spans="10:14" x14ac:dyDescent="0.4">
      <c r="J3460" s="140"/>
      <c r="N3460" s="211"/>
    </row>
    <row r="3461" spans="10:14" x14ac:dyDescent="0.4">
      <c r="J3461" s="140"/>
      <c r="N3461" s="211"/>
    </row>
    <row r="3462" spans="10:14" x14ac:dyDescent="0.4">
      <c r="J3462" s="140"/>
      <c r="N3462" s="211"/>
    </row>
    <row r="3463" spans="10:14" x14ac:dyDescent="0.4">
      <c r="J3463" s="140"/>
      <c r="N3463" s="211"/>
    </row>
    <row r="3464" spans="10:14" x14ac:dyDescent="0.4">
      <c r="J3464" s="140"/>
      <c r="N3464" s="211"/>
    </row>
    <row r="3465" spans="10:14" x14ac:dyDescent="0.4">
      <c r="J3465" s="140"/>
      <c r="N3465" s="211"/>
    </row>
    <row r="3466" spans="10:14" x14ac:dyDescent="0.4">
      <c r="J3466" s="140"/>
      <c r="N3466" s="211"/>
    </row>
    <row r="3467" spans="10:14" x14ac:dyDescent="0.4">
      <c r="J3467" s="140"/>
      <c r="N3467" s="211"/>
    </row>
    <row r="3468" spans="10:14" x14ac:dyDescent="0.4">
      <c r="J3468" s="140"/>
      <c r="N3468" s="211"/>
    </row>
    <row r="3469" spans="10:14" x14ac:dyDescent="0.4">
      <c r="J3469" s="140"/>
      <c r="N3469" s="211"/>
    </row>
    <row r="3470" spans="10:14" x14ac:dyDescent="0.4">
      <c r="J3470" s="140"/>
      <c r="N3470" s="211"/>
    </row>
    <row r="3471" spans="10:14" x14ac:dyDescent="0.4">
      <c r="J3471" s="140"/>
      <c r="N3471" s="211"/>
    </row>
    <row r="3472" spans="10:14" x14ac:dyDescent="0.4">
      <c r="J3472" s="140"/>
      <c r="N3472" s="211"/>
    </row>
    <row r="3473" spans="10:14" x14ac:dyDescent="0.4">
      <c r="J3473" s="140"/>
      <c r="N3473" s="211"/>
    </row>
    <row r="3474" spans="10:14" x14ac:dyDescent="0.4">
      <c r="J3474" s="140"/>
      <c r="N3474" s="211"/>
    </row>
    <row r="3475" spans="10:14" x14ac:dyDescent="0.4">
      <c r="J3475" s="140"/>
      <c r="N3475" s="211"/>
    </row>
    <row r="3476" spans="10:14" x14ac:dyDescent="0.4">
      <c r="J3476" s="140"/>
      <c r="N3476" s="211"/>
    </row>
    <row r="3477" spans="10:14" x14ac:dyDescent="0.4">
      <c r="J3477" s="140"/>
      <c r="N3477" s="211"/>
    </row>
    <row r="3478" spans="10:14" x14ac:dyDescent="0.4">
      <c r="J3478" s="140"/>
      <c r="N3478" s="211"/>
    </row>
    <row r="3479" spans="10:14" x14ac:dyDescent="0.4">
      <c r="J3479" s="140"/>
      <c r="N3479" s="211"/>
    </row>
    <row r="3480" spans="10:14" x14ac:dyDescent="0.4">
      <c r="J3480" s="140"/>
      <c r="N3480" s="211"/>
    </row>
    <row r="3481" spans="10:14" x14ac:dyDescent="0.4">
      <c r="J3481" s="140"/>
      <c r="N3481" s="211"/>
    </row>
    <row r="3482" spans="10:14" x14ac:dyDescent="0.4">
      <c r="J3482" s="140"/>
      <c r="N3482" s="211"/>
    </row>
    <row r="3483" spans="10:14" x14ac:dyDescent="0.4">
      <c r="J3483" s="140"/>
      <c r="N3483" s="211"/>
    </row>
    <row r="3484" spans="10:14" x14ac:dyDescent="0.4">
      <c r="J3484" s="140"/>
      <c r="N3484" s="211"/>
    </row>
    <row r="3485" spans="10:14" x14ac:dyDescent="0.4">
      <c r="J3485" s="140"/>
      <c r="N3485" s="211"/>
    </row>
    <row r="3486" spans="10:14" x14ac:dyDescent="0.4">
      <c r="J3486" s="140"/>
      <c r="N3486" s="211"/>
    </row>
    <row r="3487" spans="10:14" x14ac:dyDescent="0.4">
      <c r="J3487" s="140"/>
      <c r="N3487" s="211"/>
    </row>
    <row r="3488" spans="10:14" x14ac:dyDescent="0.4">
      <c r="J3488" s="140"/>
      <c r="N3488" s="211"/>
    </row>
    <row r="3489" spans="10:14" x14ac:dyDescent="0.4">
      <c r="J3489" s="140"/>
      <c r="N3489" s="211"/>
    </row>
    <row r="3490" spans="10:14" x14ac:dyDescent="0.4">
      <c r="J3490" s="140"/>
      <c r="N3490" s="211"/>
    </row>
    <row r="3491" spans="10:14" x14ac:dyDescent="0.4">
      <c r="J3491" s="140"/>
      <c r="N3491" s="211"/>
    </row>
    <row r="3492" spans="10:14" x14ac:dyDescent="0.4">
      <c r="J3492" s="140"/>
      <c r="N3492" s="211"/>
    </row>
    <row r="3493" spans="10:14" x14ac:dyDescent="0.4">
      <c r="J3493" s="140"/>
      <c r="N3493" s="211"/>
    </row>
    <row r="3494" spans="10:14" x14ac:dyDescent="0.4">
      <c r="J3494" s="140"/>
      <c r="N3494" s="211"/>
    </row>
    <row r="3495" spans="10:14" x14ac:dyDescent="0.4">
      <c r="J3495" s="140"/>
      <c r="N3495" s="211"/>
    </row>
    <row r="3496" spans="10:14" x14ac:dyDescent="0.4">
      <c r="J3496" s="140"/>
      <c r="N3496" s="211"/>
    </row>
    <row r="3497" spans="10:14" x14ac:dyDescent="0.4">
      <c r="J3497" s="140"/>
      <c r="N3497" s="211"/>
    </row>
    <row r="3498" spans="10:14" x14ac:dyDescent="0.4">
      <c r="J3498" s="140"/>
      <c r="N3498" s="211"/>
    </row>
    <row r="3499" spans="10:14" x14ac:dyDescent="0.4">
      <c r="J3499" s="140"/>
      <c r="N3499" s="211"/>
    </row>
    <row r="3500" spans="10:14" x14ac:dyDescent="0.4">
      <c r="J3500" s="140"/>
      <c r="N3500" s="211"/>
    </row>
    <row r="3501" spans="10:14" x14ac:dyDescent="0.4">
      <c r="J3501" s="140"/>
      <c r="N3501" s="211"/>
    </row>
    <row r="3502" spans="10:14" x14ac:dyDescent="0.4">
      <c r="J3502" s="140"/>
      <c r="N3502" s="211"/>
    </row>
    <row r="3503" spans="10:14" x14ac:dyDescent="0.4">
      <c r="J3503" s="140"/>
      <c r="N3503" s="211"/>
    </row>
    <row r="3504" spans="10:14" x14ac:dyDescent="0.4">
      <c r="J3504" s="140"/>
      <c r="N3504" s="211"/>
    </row>
    <row r="3505" spans="10:14" x14ac:dyDescent="0.4">
      <c r="J3505" s="140"/>
      <c r="N3505" s="211"/>
    </row>
    <row r="3506" spans="10:14" x14ac:dyDescent="0.4">
      <c r="J3506" s="140"/>
      <c r="N3506" s="211"/>
    </row>
    <row r="3507" spans="10:14" x14ac:dyDescent="0.4">
      <c r="J3507" s="140"/>
      <c r="N3507" s="211"/>
    </row>
    <row r="3508" spans="10:14" x14ac:dyDescent="0.4">
      <c r="J3508" s="140"/>
      <c r="N3508" s="211"/>
    </row>
    <row r="3509" spans="10:14" x14ac:dyDescent="0.4">
      <c r="J3509" s="140"/>
      <c r="N3509" s="211"/>
    </row>
    <row r="3510" spans="10:14" x14ac:dyDescent="0.4">
      <c r="J3510" s="140"/>
      <c r="N3510" s="211"/>
    </row>
    <row r="3511" spans="10:14" x14ac:dyDescent="0.4">
      <c r="J3511" s="140"/>
      <c r="N3511" s="211"/>
    </row>
    <row r="3512" spans="10:14" x14ac:dyDescent="0.4">
      <c r="J3512" s="140"/>
      <c r="N3512" s="211"/>
    </row>
    <row r="3513" spans="10:14" x14ac:dyDescent="0.4">
      <c r="J3513" s="140"/>
      <c r="N3513" s="211"/>
    </row>
    <row r="3514" spans="10:14" x14ac:dyDescent="0.4">
      <c r="J3514" s="140"/>
      <c r="N3514" s="211"/>
    </row>
    <row r="3515" spans="10:14" x14ac:dyDescent="0.4">
      <c r="J3515" s="140"/>
      <c r="N3515" s="211"/>
    </row>
    <row r="3516" spans="10:14" x14ac:dyDescent="0.4">
      <c r="J3516" s="140"/>
      <c r="N3516" s="211"/>
    </row>
    <row r="3517" spans="10:14" x14ac:dyDescent="0.4">
      <c r="J3517" s="140"/>
      <c r="N3517" s="211"/>
    </row>
    <row r="3518" spans="10:14" x14ac:dyDescent="0.4">
      <c r="J3518" s="140"/>
      <c r="N3518" s="211"/>
    </row>
    <row r="3519" spans="10:14" x14ac:dyDescent="0.4">
      <c r="J3519" s="140"/>
      <c r="N3519" s="211"/>
    </row>
    <row r="3520" spans="10:14" x14ac:dyDescent="0.4">
      <c r="J3520" s="140"/>
      <c r="N3520" s="211"/>
    </row>
    <row r="3521" spans="10:14" x14ac:dyDescent="0.4">
      <c r="J3521" s="140"/>
      <c r="N3521" s="211"/>
    </row>
    <row r="3522" spans="10:14" x14ac:dyDescent="0.4">
      <c r="J3522" s="140"/>
      <c r="N3522" s="211"/>
    </row>
    <row r="3523" spans="10:14" x14ac:dyDescent="0.4">
      <c r="J3523" s="140"/>
      <c r="N3523" s="211"/>
    </row>
    <row r="3524" spans="10:14" x14ac:dyDescent="0.4">
      <c r="J3524" s="140"/>
      <c r="N3524" s="211"/>
    </row>
    <row r="3525" spans="10:14" x14ac:dyDescent="0.4">
      <c r="J3525" s="140"/>
      <c r="N3525" s="211"/>
    </row>
    <row r="3526" spans="10:14" x14ac:dyDescent="0.4">
      <c r="J3526" s="140"/>
      <c r="N3526" s="211"/>
    </row>
    <row r="3527" spans="10:14" x14ac:dyDescent="0.4">
      <c r="J3527" s="140"/>
      <c r="N3527" s="211"/>
    </row>
    <row r="3528" spans="10:14" x14ac:dyDescent="0.4">
      <c r="J3528" s="140"/>
      <c r="N3528" s="211"/>
    </row>
    <row r="3529" spans="10:14" x14ac:dyDescent="0.4">
      <c r="J3529" s="140"/>
      <c r="N3529" s="211"/>
    </row>
    <row r="3530" spans="10:14" x14ac:dyDescent="0.4">
      <c r="J3530" s="140"/>
      <c r="N3530" s="211"/>
    </row>
    <row r="3531" spans="10:14" x14ac:dyDescent="0.4">
      <c r="J3531" s="140"/>
      <c r="N3531" s="211"/>
    </row>
    <row r="3532" spans="10:14" x14ac:dyDescent="0.4">
      <c r="J3532" s="140"/>
      <c r="N3532" s="211"/>
    </row>
    <row r="3533" spans="10:14" x14ac:dyDescent="0.4">
      <c r="J3533" s="140"/>
      <c r="N3533" s="211"/>
    </row>
    <row r="3534" spans="10:14" x14ac:dyDescent="0.4">
      <c r="J3534" s="140"/>
      <c r="N3534" s="211"/>
    </row>
    <row r="3535" spans="10:14" x14ac:dyDescent="0.4">
      <c r="J3535" s="140"/>
      <c r="N3535" s="211"/>
    </row>
    <row r="3536" spans="10:14" x14ac:dyDescent="0.4">
      <c r="J3536" s="140"/>
      <c r="N3536" s="211"/>
    </row>
    <row r="3537" spans="10:14" x14ac:dyDescent="0.4">
      <c r="J3537" s="140"/>
      <c r="N3537" s="211"/>
    </row>
    <row r="3538" spans="10:14" x14ac:dyDescent="0.4">
      <c r="J3538" s="140"/>
      <c r="N3538" s="211"/>
    </row>
    <row r="3539" spans="10:14" x14ac:dyDescent="0.4">
      <c r="J3539" s="140"/>
      <c r="N3539" s="211"/>
    </row>
    <row r="3540" spans="10:14" x14ac:dyDescent="0.4">
      <c r="J3540" s="140"/>
      <c r="N3540" s="211"/>
    </row>
    <row r="3541" spans="10:14" x14ac:dyDescent="0.4">
      <c r="J3541" s="140"/>
      <c r="N3541" s="211"/>
    </row>
    <row r="3542" spans="10:14" x14ac:dyDescent="0.4">
      <c r="J3542" s="140"/>
      <c r="N3542" s="211"/>
    </row>
    <row r="3543" spans="10:14" x14ac:dyDescent="0.4">
      <c r="J3543" s="140"/>
      <c r="N3543" s="211"/>
    </row>
    <row r="3544" spans="10:14" x14ac:dyDescent="0.4">
      <c r="J3544" s="140"/>
      <c r="N3544" s="211"/>
    </row>
    <row r="3545" spans="10:14" x14ac:dyDescent="0.4">
      <c r="J3545" s="140"/>
      <c r="N3545" s="211"/>
    </row>
    <row r="3546" spans="10:14" x14ac:dyDescent="0.4">
      <c r="J3546" s="140"/>
      <c r="N3546" s="211"/>
    </row>
    <row r="3547" spans="10:14" x14ac:dyDescent="0.4">
      <c r="J3547" s="140"/>
      <c r="N3547" s="211"/>
    </row>
    <row r="3548" spans="10:14" x14ac:dyDescent="0.4">
      <c r="J3548" s="140"/>
      <c r="N3548" s="211"/>
    </row>
    <row r="3549" spans="10:14" x14ac:dyDescent="0.4">
      <c r="J3549" s="140"/>
      <c r="N3549" s="211"/>
    </row>
    <row r="3550" spans="10:14" x14ac:dyDescent="0.4">
      <c r="J3550" s="140"/>
      <c r="N3550" s="211"/>
    </row>
    <row r="3551" spans="10:14" x14ac:dyDescent="0.4">
      <c r="J3551" s="140"/>
      <c r="N3551" s="211"/>
    </row>
    <row r="3552" spans="10:14" x14ac:dyDescent="0.4">
      <c r="J3552" s="140"/>
      <c r="N3552" s="211"/>
    </row>
    <row r="3553" spans="10:14" x14ac:dyDescent="0.4">
      <c r="J3553" s="140"/>
      <c r="N3553" s="211"/>
    </row>
    <row r="3554" spans="10:14" x14ac:dyDescent="0.4">
      <c r="J3554" s="140"/>
      <c r="N3554" s="211"/>
    </row>
    <row r="3555" spans="10:14" x14ac:dyDescent="0.4">
      <c r="J3555" s="140"/>
      <c r="N3555" s="211"/>
    </row>
    <row r="3556" spans="10:14" x14ac:dyDescent="0.4">
      <c r="J3556" s="140"/>
      <c r="N3556" s="211"/>
    </row>
    <row r="3557" spans="10:14" x14ac:dyDescent="0.4">
      <c r="J3557" s="140"/>
      <c r="N3557" s="211"/>
    </row>
    <row r="3558" spans="10:14" x14ac:dyDescent="0.4">
      <c r="J3558" s="140"/>
      <c r="N3558" s="211"/>
    </row>
    <row r="3559" spans="10:14" x14ac:dyDescent="0.4">
      <c r="J3559" s="140"/>
      <c r="N3559" s="211"/>
    </row>
    <row r="3560" spans="10:14" x14ac:dyDescent="0.4">
      <c r="J3560" s="140"/>
      <c r="N3560" s="211"/>
    </row>
    <row r="3561" spans="10:14" x14ac:dyDescent="0.4">
      <c r="J3561" s="140"/>
      <c r="N3561" s="211"/>
    </row>
    <row r="3562" spans="10:14" x14ac:dyDescent="0.4">
      <c r="J3562" s="140"/>
      <c r="N3562" s="211"/>
    </row>
    <row r="3563" spans="10:14" x14ac:dyDescent="0.4">
      <c r="J3563" s="140"/>
      <c r="N3563" s="211"/>
    </row>
    <row r="3564" spans="10:14" x14ac:dyDescent="0.4">
      <c r="J3564" s="140"/>
      <c r="N3564" s="211"/>
    </row>
    <row r="3565" spans="10:14" x14ac:dyDescent="0.4">
      <c r="J3565" s="140"/>
      <c r="N3565" s="211"/>
    </row>
    <row r="3566" spans="10:14" x14ac:dyDescent="0.4">
      <c r="J3566" s="140"/>
      <c r="N3566" s="211"/>
    </row>
    <row r="3567" spans="10:14" x14ac:dyDescent="0.4">
      <c r="J3567" s="140"/>
      <c r="N3567" s="211"/>
    </row>
    <row r="3568" spans="10:14" x14ac:dyDescent="0.4">
      <c r="J3568" s="140"/>
      <c r="N3568" s="211"/>
    </row>
    <row r="3569" spans="10:14" x14ac:dyDescent="0.4">
      <c r="J3569" s="140"/>
      <c r="N3569" s="211"/>
    </row>
    <row r="3570" spans="10:14" x14ac:dyDescent="0.4">
      <c r="J3570" s="140"/>
      <c r="N3570" s="211"/>
    </row>
    <row r="3571" spans="10:14" x14ac:dyDescent="0.4">
      <c r="J3571" s="140"/>
      <c r="N3571" s="211"/>
    </row>
    <row r="3572" spans="10:14" x14ac:dyDescent="0.4">
      <c r="J3572" s="140"/>
      <c r="N3572" s="211"/>
    </row>
    <row r="3573" spans="10:14" x14ac:dyDescent="0.4">
      <c r="J3573" s="140"/>
      <c r="N3573" s="211"/>
    </row>
    <row r="3574" spans="10:14" x14ac:dyDescent="0.4">
      <c r="J3574" s="140"/>
      <c r="N3574" s="211"/>
    </row>
    <row r="3575" spans="10:14" x14ac:dyDescent="0.4">
      <c r="J3575" s="140"/>
      <c r="N3575" s="211"/>
    </row>
    <row r="3576" spans="10:14" x14ac:dyDescent="0.4">
      <c r="J3576" s="140"/>
      <c r="N3576" s="211"/>
    </row>
    <row r="3577" spans="10:14" x14ac:dyDescent="0.4">
      <c r="J3577" s="140"/>
      <c r="N3577" s="211"/>
    </row>
    <row r="3578" spans="10:14" x14ac:dyDescent="0.4">
      <c r="J3578" s="140"/>
      <c r="N3578" s="211"/>
    </row>
    <row r="3579" spans="10:14" x14ac:dyDescent="0.4">
      <c r="J3579" s="140"/>
      <c r="N3579" s="211"/>
    </row>
    <row r="3580" spans="10:14" x14ac:dyDescent="0.4">
      <c r="J3580" s="140"/>
      <c r="N3580" s="211"/>
    </row>
    <row r="3581" spans="10:14" x14ac:dyDescent="0.4">
      <c r="J3581" s="140"/>
      <c r="N3581" s="211"/>
    </row>
    <row r="3582" spans="10:14" x14ac:dyDescent="0.4">
      <c r="J3582" s="140"/>
      <c r="N3582" s="211"/>
    </row>
    <row r="3583" spans="10:14" x14ac:dyDescent="0.4">
      <c r="J3583" s="140"/>
      <c r="N3583" s="211"/>
    </row>
    <row r="3584" spans="10:14" x14ac:dyDescent="0.4">
      <c r="J3584" s="140"/>
      <c r="N3584" s="211"/>
    </row>
    <row r="3585" spans="10:14" x14ac:dyDescent="0.4">
      <c r="J3585" s="140"/>
      <c r="N3585" s="211"/>
    </row>
    <row r="3586" spans="10:14" x14ac:dyDescent="0.4">
      <c r="J3586" s="140"/>
      <c r="N3586" s="211"/>
    </row>
    <row r="3587" spans="10:14" x14ac:dyDescent="0.4">
      <c r="J3587" s="140"/>
      <c r="N3587" s="211"/>
    </row>
    <row r="3588" spans="10:14" x14ac:dyDescent="0.4">
      <c r="J3588" s="140"/>
      <c r="N3588" s="211"/>
    </row>
    <row r="3589" spans="10:14" x14ac:dyDescent="0.4">
      <c r="J3589" s="140"/>
      <c r="N3589" s="211"/>
    </row>
    <row r="3590" spans="10:14" x14ac:dyDescent="0.4">
      <c r="J3590" s="140"/>
      <c r="N3590" s="211"/>
    </row>
    <row r="3591" spans="10:14" x14ac:dyDescent="0.4">
      <c r="J3591" s="140"/>
      <c r="N3591" s="211"/>
    </row>
    <row r="3592" spans="10:14" x14ac:dyDescent="0.4">
      <c r="J3592" s="140"/>
      <c r="N3592" s="211"/>
    </row>
    <row r="3593" spans="10:14" x14ac:dyDescent="0.4">
      <c r="J3593" s="140"/>
      <c r="N3593" s="211"/>
    </row>
    <row r="3594" spans="10:14" x14ac:dyDescent="0.4">
      <c r="J3594" s="140"/>
      <c r="N3594" s="211"/>
    </row>
    <row r="3595" spans="10:14" x14ac:dyDescent="0.4">
      <c r="J3595" s="140"/>
      <c r="N3595" s="211"/>
    </row>
    <row r="3596" spans="10:14" x14ac:dyDescent="0.4">
      <c r="J3596" s="140"/>
      <c r="N3596" s="211"/>
    </row>
    <row r="3597" spans="10:14" x14ac:dyDescent="0.4">
      <c r="J3597" s="140"/>
      <c r="N3597" s="211"/>
    </row>
    <row r="3598" spans="10:14" x14ac:dyDescent="0.4">
      <c r="J3598" s="140"/>
      <c r="N3598" s="211"/>
    </row>
    <row r="3599" spans="10:14" x14ac:dyDescent="0.4">
      <c r="J3599" s="140"/>
      <c r="N3599" s="211"/>
    </row>
    <row r="3600" spans="10:14" x14ac:dyDescent="0.4">
      <c r="J3600" s="140"/>
      <c r="N3600" s="211"/>
    </row>
    <row r="3601" spans="10:14" x14ac:dyDescent="0.4">
      <c r="J3601" s="140"/>
      <c r="N3601" s="211"/>
    </row>
    <row r="3602" spans="10:14" x14ac:dyDescent="0.4">
      <c r="J3602" s="140"/>
      <c r="N3602" s="211"/>
    </row>
    <row r="3603" spans="10:14" x14ac:dyDescent="0.4">
      <c r="J3603" s="140"/>
      <c r="N3603" s="211"/>
    </row>
    <row r="3604" spans="10:14" x14ac:dyDescent="0.4">
      <c r="J3604" s="140"/>
      <c r="N3604" s="211"/>
    </row>
    <row r="3605" spans="10:14" x14ac:dyDescent="0.4">
      <c r="J3605" s="140"/>
      <c r="N3605" s="211"/>
    </row>
    <row r="3606" spans="10:14" x14ac:dyDescent="0.4">
      <c r="J3606" s="140"/>
      <c r="N3606" s="211"/>
    </row>
    <row r="3607" spans="10:14" x14ac:dyDescent="0.4">
      <c r="J3607" s="140"/>
      <c r="N3607" s="211"/>
    </row>
    <row r="3608" spans="10:14" x14ac:dyDescent="0.4">
      <c r="J3608" s="140"/>
      <c r="N3608" s="211"/>
    </row>
    <row r="3609" spans="10:14" x14ac:dyDescent="0.4">
      <c r="J3609" s="140"/>
      <c r="N3609" s="211"/>
    </row>
    <row r="3610" spans="10:14" x14ac:dyDescent="0.4">
      <c r="J3610" s="140"/>
      <c r="N3610" s="211"/>
    </row>
    <row r="3611" spans="10:14" x14ac:dyDescent="0.4">
      <c r="J3611" s="140"/>
      <c r="N3611" s="211"/>
    </row>
    <row r="3612" spans="10:14" x14ac:dyDescent="0.4">
      <c r="J3612" s="140"/>
      <c r="N3612" s="211"/>
    </row>
    <row r="3613" spans="10:14" x14ac:dyDescent="0.4">
      <c r="J3613" s="140"/>
      <c r="N3613" s="211"/>
    </row>
    <row r="3614" spans="10:14" x14ac:dyDescent="0.4">
      <c r="J3614" s="140"/>
      <c r="N3614" s="211"/>
    </row>
    <row r="3615" spans="10:14" x14ac:dyDescent="0.4">
      <c r="J3615" s="140"/>
      <c r="N3615" s="211"/>
    </row>
    <row r="3616" spans="10:14" x14ac:dyDescent="0.4">
      <c r="J3616" s="140"/>
      <c r="N3616" s="211"/>
    </row>
    <row r="3617" spans="10:14" x14ac:dyDescent="0.4">
      <c r="J3617" s="140"/>
      <c r="N3617" s="211"/>
    </row>
    <row r="3618" spans="10:14" x14ac:dyDescent="0.4">
      <c r="J3618" s="140"/>
      <c r="N3618" s="211"/>
    </row>
    <row r="3619" spans="10:14" x14ac:dyDescent="0.4">
      <c r="J3619" s="140"/>
      <c r="N3619" s="211"/>
    </row>
    <row r="3620" spans="10:14" x14ac:dyDescent="0.4">
      <c r="J3620" s="140"/>
      <c r="N3620" s="211"/>
    </row>
    <row r="3621" spans="10:14" x14ac:dyDescent="0.4">
      <c r="J3621" s="140"/>
      <c r="N3621" s="211"/>
    </row>
    <row r="3622" spans="10:14" x14ac:dyDescent="0.4">
      <c r="J3622" s="140"/>
      <c r="N3622" s="211"/>
    </row>
    <row r="3623" spans="10:14" x14ac:dyDescent="0.4">
      <c r="J3623" s="140"/>
      <c r="N3623" s="211"/>
    </row>
    <row r="3624" spans="10:14" x14ac:dyDescent="0.4">
      <c r="J3624" s="140"/>
      <c r="N3624" s="211"/>
    </row>
    <row r="3625" spans="10:14" x14ac:dyDescent="0.4">
      <c r="J3625" s="140"/>
      <c r="N3625" s="211"/>
    </row>
    <row r="3626" spans="10:14" x14ac:dyDescent="0.4">
      <c r="J3626" s="140"/>
      <c r="N3626" s="211"/>
    </row>
    <row r="3627" spans="10:14" x14ac:dyDescent="0.4">
      <c r="J3627" s="140"/>
      <c r="N3627" s="211"/>
    </row>
    <row r="3628" spans="10:14" x14ac:dyDescent="0.4">
      <c r="J3628" s="140"/>
      <c r="N3628" s="211"/>
    </row>
    <row r="3629" spans="10:14" x14ac:dyDescent="0.4">
      <c r="J3629" s="140"/>
      <c r="N3629" s="211"/>
    </row>
    <row r="3630" spans="10:14" x14ac:dyDescent="0.4">
      <c r="J3630" s="140"/>
      <c r="N3630" s="211"/>
    </row>
    <row r="3631" spans="10:14" x14ac:dyDescent="0.4">
      <c r="J3631" s="140"/>
      <c r="N3631" s="211"/>
    </row>
    <row r="3632" spans="10:14" x14ac:dyDescent="0.4">
      <c r="J3632" s="140"/>
      <c r="N3632" s="211"/>
    </row>
    <row r="3633" spans="10:14" x14ac:dyDescent="0.4">
      <c r="J3633" s="140"/>
      <c r="N3633" s="211"/>
    </row>
    <row r="3634" spans="10:14" x14ac:dyDescent="0.4">
      <c r="J3634" s="140"/>
      <c r="N3634" s="211"/>
    </row>
    <row r="3635" spans="10:14" x14ac:dyDescent="0.4">
      <c r="J3635" s="140"/>
      <c r="N3635" s="211"/>
    </row>
    <row r="3636" spans="10:14" x14ac:dyDescent="0.4">
      <c r="J3636" s="140"/>
      <c r="N3636" s="211"/>
    </row>
    <row r="3637" spans="10:14" x14ac:dyDescent="0.4">
      <c r="J3637" s="140"/>
      <c r="N3637" s="211"/>
    </row>
    <row r="3638" spans="10:14" x14ac:dyDescent="0.4">
      <c r="J3638" s="140"/>
      <c r="N3638" s="211"/>
    </row>
    <row r="3639" spans="10:14" x14ac:dyDescent="0.4">
      <c r="J3639" s="140"/>
      <c r="N3639" s="211"/>
    </row>
    <row r="3640" spans="10:14" x14ac:dyDescent="0.4">
      <c r="J3640" s="140"/>
      <c r="N3640" s="211"/>
    </row>
    <row r="3641" spans="10:14" x14ac:dyDescent="0.4">
      <c r="J3641" s="140"/>
      <c r="N3641" s="211"/>
    </row>
    <row r="3642" spans="10:14" x14ac:dyDescent="0.4">
      <c r="J3642" s="140"/>
      <c r="N3642" s="211"/>
    </row>
    <row r="3643" spans="10:14" x14ac:dyDescent="0.4">
      <c r="J3643" s="140"/>
      <c r="N3643" s="211"/>
    </row>
    <row r="3644" spans="10:14" x14ac:dyDescent="0.4">
      <c r="J3644" s="140"/>
      <c r="N3644" s="211"/>
    </row>
    <row r="3645" spans="10:14" x14ac:dyDescent="0.4">
      <c r="J3645" s="140"/>
      <c r="N3645" s="211"/>
    </row>
    <row r="3646" spans="10:14" x14ac:dyDescent="0.4">
      <c r="J3646" s="140"/>
      <c r="N3646" s="211"/>
    </row>
    <row r="3647" spans="10:14" x14ac:dyDescent="0.4">
      <c r="J3647" s="140"/>
      <c r="N3647" s="211"/>
    </row>
    <row r="3648" spans="10:14" x14ac:dyDescent="0.4">
      <c r="J3648" s="140"/>
      <c r="N3648" s="211"/>
    </row>
    <row r="3649" spans="10:14" x14ac:dyDescent="0.4">
      <c r="J3649" s="140"/>
      <c r="N3649" s="211"/>
    </row>
    <row r="3650" spans="10:14" x14ac:dyDescent="0.4">
      <c r="J3650" s="140"/>
      <c r="N3650" s="211"/>
    </row>
    <row r="3651" spans="10:14" x14ac:dyDescent="0.4">
      <c r="J3651" s="140"/>
      <c r="N3651" s="211"/>
    </row>
    <row r="3652" spans="10:14" x14ac:dyDescent="0.4">
      <c r="J3652" s="140"/>
      <c r="N3652" s="211"/>
    </row>
    <row r="3653" spans="10:14" x14ac:dyDescent="0.4">
      <c r="J3653" s="140"/>
      <c r="N3653" s="211"/>
    </row>
    <row r="3654" spans="10:14" x14ac:dyDescent="0.4">
      <c r="J3654" s="140"/>
      <c r="N3654" s="211"/>
    </row>
    <row r="3655" spans="10:14" x14ac:dyDescent="0.4">
      <c r="J3655" s="140"/>
      <c r="N3655" s="211"/>
    </row>
    <row r="3656" spans="10:14" x14ac:dyDescent="0.4">
      <c r="J3656" s="140"/>
      <c r="N3656" s="211"/>
    </row>
    <row r="3657" spans="10:14" x14ac:dyDescent="0.4">
      <c r="J3657" s="140"/>
      <c r="N3657" s="211"/>
    </row>
    <row r="3658" spans="10:14" x14ac:dyDescent="0.4">
      <c r="J3658" s="140"/>
      <c r="N3658" s="211"/>
    </row>
    <row r="3659" spans="10:14" x14ac:dyDescent="0.4">
      <c r="J3659" s="140"/>
      <c r="N3659" s="211"/>
    </row>
    <row r="3660" spans="10:14" x14ac:dyDescent="0.4">
      <c r="J3660" s="140"/>
      <c r="N3660" s="211"/>
    </row>
    <row r="3661" spans="10:14" x14ac:dyDescent="0.4">
      <c r="J3661" s="140"/>
      <c r="N3661" s="211"/>
    </row>
    <row r="3662" spans="10:14" x14ac:dyDescent="0.4">
      <c r="J3662" s="140"/>
      <c r="N3662" s="211"/>
    </row>
    <row r="3663" spans="10:14" x14ac:dyDescent="0.4">
      <c r="J3663" s="140"/>
      <c r="N3663" s="211"/>
    </row>
    <row r="3664" spans="10:14" x14ac:dyDescent="0.4">
      <c r="J3664" s="140"/>
      <c r="N3664" s="211"/>
    </row>
    <row r="3665" spans="10:14" x14ac:dyDescent="0.4">
      <c r="J3665" s="140"/>
      <c r="N3665" s="211"/>
    </row>
    <row r="3666" spans="10:14" x14ac:dyDescent="0.4">
      <c r="J3666" s="140"/>
      <c r="N3666" s="211"/>
    </row>
    <row r="3667" spans="10:14" x14ac:dyDescent="0.4">
      <c r="J3667" s="140"/>
      <c r="N3667" s="211"/>
    </row>
    <row r="3668" spans="10:14" x14ac:dyDescent="0.4">
      <c r="J3668" s="140"/>
      <c r="N3668" s="211"/>
    </row>
    <row r="3669" spans="10:14" x14ac:dyDescent="0.4">
      <c r="J3669" s="140"/>
      <c r="N3669" s="211"/>
    </row>
    <row r="3670" spans="10:14" x14ac:dyDescent="0.4">
      <c r="J3670" s="140"/>
      <c r="N3670" s="211"/>
    </row>
    <row r="3671" spans="10:14" x14ac:dyDescent="0.4">
      <c r="J3671" s="140"/>
      <c r="N3671" s="211"/>
    </row>
    <row r="3672" spans="10:14" x14ac:dyDescent="0.4">
      <c r="J3672" s="140"/>
      <c r="N3672" s="211"/>
    </row>
    <row r="3673" spans="10:14" x14ac:dyDescent="0.4">
      <c r="J3673" s="140"/>
      <c r="N3673" s="211"/>
    </row>
    <row r="3674" spans="10:14" x14ac:dyDescent="0.4">
      <c r="J3674" s="140"/>
      <c r="N3674" s="211"/>
    </row>
    <row r="3675" spans="10:14" x14ac:dyDescent="0.4">
      <c r="J3675" s="140"/>
      <c r="N3675" s="211"/>
    </row>
    <row r="3676" spans="10:14" x14ac:dyDescent="0.4">
      <c r="J3676" s="140"/>
      <c r="N3676" s="211"/>
    </row>
    <row r="3677" spans="10:14" x14ac:dyDescent="0.4">
      <c r="J3677" s="140"/>
      <c r="N3677" s="211"/>
    </row>
    <row r="3678" spans="10:14" x14ac:dyDescent="0.4">
      <c r="J3678" s="140"/>
      <c r="N3678" s="211"/>
    </row>
    <row r="3679" spans="10:14" x14ac:dyDescent="0.4">
      <c r="J3679" s="140"/>
      <c r="N3679" s="211"/>
    </row>
    <row r="3680" spans="10:14" x14ac:dyDescent="0.4">
      <c r="J3680" s="140"/>
      <c r="N3680" s="211"/>
    </row>
    <row r="3681" spans="10:14" x14ac:dyDescent="0.4">
      <c r="J3681" s="140"/>
      <c r="N3681" s="211"/>
    </row>
    <row r="3682" spans="10:14" x14ac:dyDescent="0.4">
      <c r="J3682" s="140"/>
      <c r="N3682" s="211"/>
    </row>
    <row r="3683" spans="10:14" x14ac:dyDescent="0.4">
      <c r="J3683" s="140"/>
      <c r="N3683" s="211"/>
    </row>
    <row r="3684" spans="10:14" x14ac:dyDescent="0.4">
      <c r="J3684" s="140"/>
      <c r="N3684" s="211"/>
    </row>
    <row r="3685" spans="10:14" x14ac:dyDescent="0.4">
      <c r="J3685" s="140"/>
      <c r="N3685" s="211"/>
    </row>
    <row r="3686" spans="10:14" x14ac:dyDescent="0.4">
      <c r="J3686" s="140"/>
      <c r="N3686" s="211"/>
    </row>
    <row r="3687" spans="10:14" x14ac:dyDescent="0.4">
      <c r="J3687" s="140"/>
      <c r="N3687" s="211"/>
    </row>
    <row r="3688" spans="10:14" x14ac:dyDescent="0.4">
      <c r="J3688" s="140"/>
      <c r="N3688" s="211"/>
    </row>
    <row r="3689" spans="10:14" x14ac:dyDescent="0.4">
      <c r="J3689" s="140"/>
      <c r="N3689" s="211"/>
    </row>
    <row r="3690" spans="10:14" x14ac:dyDescent="0.4">
      <c r="J3690" s="140"/>
      <c r="N3690" s="211"/>
    </row>
    <row r="3691" spans="10:14" x14ac:dyDescent="0.4">
      <c r="J3691" s="140"/>
      <c r="N3691" s="211"/>
    </row>
    <row r="3692" spans="10:14" x14ac:dyDescent="0.4">
      <c r="J3692" s="140"/>
      <c r="N3692" s="211"/>
    </row>
    <row r="3693" spans="10:14" x14ac:dyDescent="0.4">
      <c r="J3693" s="140"/>
      <c r="N3693" s="211"/>
    </row>
    <row r="3694" spans="10:14" x14ac:dyDescent="0.4">
      <c r="J3694" s="140"/>
      <c r="N3694" s="211"/>
    </row>
    <row r="3695" spans="10:14" x14ac:dyDescent="0.4">
      <c r="J3695" s="140"/>
      <c r="N3695" s="211"/>
    </row>
    <row r="3696" spans="10:14" x14ac:dyDescent="0.4">
      <c r="J3696" s="140"/>
      <c r="N3696" s="211"/>
    </row>
    <row r="3697" spans="10:14" x14ac:dyDescent="0.4">
      <c r="J3697" s="140"/>
      <c r="N3697" s="211"/>
    </row>
    <row r="3698" spans="10:14" x14ac:dyDescent="0.4">
      <c r="J3698" s="140"/>
      <c r="N3698" s="211"/>
    </row>
    <row r="3699" spans="10:14" x14ac:dyDescent="0.4">
      <c r="J3699" s="140"/>
      <c r="N3699" s="211"/>
    </row>
    <row r="3700" spans="10:14" x14ac:dyDescent="0.4">
      <c r="J3700" s="140"/>
      <c r="N3700" s="211"/>
    </row>
    <row r="3701" spans="10:14" x14ac:dyDescent="0.4">
      <c r="J3701" s="140"/>
      <c r="N3701" s="211"/>
    </row>
    <row r="3702" spans="10:14" x14ac:dyDescent="0.4">
      <c r="J3702" s="140"/>
      <c r="N3702" s="211"/>
    </row>
    <row r="3703" spans="10:14" x14ac:dyDescent="0.4">
      <c r="J3703" s="140"/>
      <c r="N3703" s="211"/>
    </row>
    <row r="3704" spans="10:14" x14ac:dyDescent="0.4">
      <c r="J3704" s="140"/>
      <c r="N3704" s="211"/>
    </row>
    <row r="3705" spans="10:14" x14ac:dyDescent="0.4">
      <c r="J3705" s="140"/>
      <c r="N3705" s="211"/>
    </row>
    <row r="3706" spans="10:14" x14ac:dyDescent="0.4">
      <c r="J3706" s="140"/>
      <c r="N3706" s="211"/>
    </row>
    <row r="3707" spans="10:14" x14ac:dyDescent="0.4">
      <c r="J3707" s="140"/>
      <c r="N3707" s="211"/>
    </row>
    <row r="3708" spans="10:14" x14ac:dyDescent="0.4">
      <c r="J3708" s="140"/>
      <c r="N3708" s="211"/>
    </row>
    <row r="3709" spans="10:14" x14ac:dyDescent="0.4">
      <c r="J3709" s="140"/>
      <c r="N3709" s="211"/>
    </row>
    <row r="3710" spans="10:14" x14ac:dyDescent="0.4">
      <c r="J3710" s="140"/>
      <c r="N3710" s="211"/>
    </row>
    <row r="3711" spans="10:14" x14ac:dyDescent="0.4">
      <c r="J3711" s="140"/>
      <c r="N3711" s="211"/>
    </row>
    <row r="3712" spans="10:14" x14ac:dyDescent="0.4">
      <c r="J3712" s="140"/>
      <c r="N3712" s="211"/>
    </row>
    <row r="3713" spans="10:14" x14ac:dyDescent="0.4">
      <c r="J3713" s="140"/>
      <c r="N3713" s="211"/>
    </row>
    <row r="3714" spans="10:14" x14ac:dyDescent="0.4">
      <c r="J3714" s="140"/>
      <c r="N3714" s="211"/>
    </row>
    <row r="3715" spans="10:14" x14ac:dyDescent="0.4">
      <c r="J3715" s="140"/>
      <c r="N3715" s="211"/>
    </row>
    <row r="3716" spans="10:14" x14ac:dyDescent="0.4">
      <c r="J3716" s="140"/>
      <c r="N3716" s="211"/>
    </row>
    <row r="3717" spans="10:14" x14ac:dyDescent="0.4">
      <c r="J3717" s="140"/>
      <c r="N3717" s="211"/>
    </row>
    <row r="3718" spans="10:14" x14ac:dyDescent="0.4">
      <c r="J3718" s="140"/>
      <c r="N3718" s="211"/>
    </row>
    <row r="3719" spans="10:14" x14ac:dyDescent="0.4">
      <c r="J3719" s="140"/>
      <c r="N3719" s="211"/>
    </row>
    <row r="3720" spans="10:14" x14ac:dyDescent="0.4">
      <c r="J3720" s="140"/>
      <c r="N3720" s="211"/>
    </row>
    <row r="3721" spans="10:14" x14ac:dyDescent="0.4">
      <c r="J3721" s="140"/>
      <c r="N3721" s="211"/>
    </row>
    <row r="3722" spans="10:14" x14ac:dyDescent="0.4">
      <c r="J3722" s="140"/>
      <c r="N3722" s="211"/>
    </row>
    <row r="3723" spans="10:14" x14ac:dyDescent="0.4">
      <c r="J3723" s="140"/>
      <c r="N3723" s="211"/>
    </row>
    <row r="3724" spans="10:14" x14ac:dyDescent="0.4">
      <c r="J3724" s="140"/>
      <c r="N3724" s="211"/>
    </row>
    <row r="3725" spans="10:14" x14ac:dyDescent="0.4">
      <c r="J3725" s="140"/>
      <c r="N3725" s="211"/>
    </row>
    <row r="3726" spans="10:14" x14ac:dyDescent="0.4">
      <c r="J3726" s="140"/>
      <c r="N3726" s="211"/>
    </row>
    <row r="3727" spans="10:14" x14ac:dyDescent="0.4">
      <c r="J3727" s="140"/>
      <c r="N3727" s="211"/>
    </row>
    <row r="3728" spans="10:14" x14ac:dyDescent="0.4">
      <c r="J3728" s="140"/>
      <c r="N3728" s="211"/>
    </row>
    <row r="3729" spans="10:14" x14ac:dyDescent="0.4">
      <c r="J3729" s="140"/>
      <c r="N3729" s="211"/>
    </row>
    <row r="3730" spans="10:14" x14ac:dyDescent="0.4">
      <c r="J3730" s="140"/>
      <c r="N3730" s="211"/>
    </row>
    <row r="3731" spans="10:14" x14ac:dyDescent="0.4">
      <c r="J3731" s="140"/>
      <c r="N3731" s="211"/>
    </row>
    <row r="3732" spans="10:14" x14ac:dyDescent="0.4">
      <c r="J3732" s="140"/>
      <c r="N3732" s="211"/>
    </row>
    <row r="3733" spans="10:14" x14ac:dyDescent="0.4">
      <c r="J3733" s="140"/>
      <c r="N3733" s="211"/>
    </row>
    <row r="3734" spans="10:14" x14ac:dyDescent="0.4">
      <c r="J3734" s="140"/>
      <c r="N3734" s="211"/>
    </row>
    <row r="3735" spans="10:14" x14ac:dyDescent="0.4">
      <c r="J3735" s="140"/>
      <c r="N3735" s="211"/>
    </row>
    <row r="3736" spans="10:14" x14ac:dyDescent="0.4">
      <c r="J3736" s="140"/>
      <c r="N3736" s="211"/>
    </row>
    <row r="3737" spans="10:14" x14ac:dyDescent="0.4">
      <c r="J3737" s="140"/>
      <c r="N3737" s="211"/>
    </row>
    <row r="3738" spans="10:14" x14ac:dyDescent="0.4">
      <c r="J3738" s="140"/>
      <c r="N3738" s="211"/>
    </row>
    <row r="3739" spans="10:14" x14ac:dyDescent="0.4">
      <c r="J3739" s="140"/>
      <c r="N3739" s="211"/>
    </row>
    <row r="3740" spans="10:14" x14ac:dyDescent="0.4">
      <c r="J3740" s="140"/>
      <c r="N3740" s="211"/>
    </row>
    <row r="3741" spans="10:14" x14ac:dyDescent="0.4">
      <c r="J3741" s="140"/>
      <c r="N3741" s="211"/>
    </row>
    <row r="3742" spans="10:14" x14ac:dyDescent="0.4">
      <c r="J3742" s="140"/>
      <c r="N3742" s="211"/>
    </row>
    <row r="3743" spans="10:14" x14ac:dyDescent="0.4">
      <c r="J3743" s="140"/>
      <c r="N3743" s="211"/>
    </row>
    <row r="3744" spans="10:14" x14ac:dyDescent="0.4">
      <c r="J3744" s="140"/>
      <c r="N3744" s="211"/>
    </row>
    <row r="3745" spans="10:14" x14ac:dyDescent="0.4">
      <c r="J3745" s="140"/>
      <c r="N3745" s="211"/>
    </row>
    <row r="3746" spans="10:14" x14ac:dyDescent="0.4">
      <c r="J3746" s="140"/>
      <c r="N3746" s="211"/>
    </row>
    <row r="3747" spans="10:14" x14ac:dyDescent="0.4">
      <c r="J3747" s="140"/>
      <c r="N3747" s="211"/>
    </row>
    <row r="3748" spans="10:14" x14ac:dyDescent="0.4">
      <c r="J3748" s="140"/>
      <c r="N3748" s="211"/>
    </row>
    <row r="3749" spans="10:14" x14ac:dyDescent="0.4">
      <c r="J3749" s="140"/>
      <c r="N3749" s="211"/>
    </row>
    <row r="3750" spans="10:14" x14ac:dyDescent="0.4">
      <c r="J3750" s="140"/>
      <c r="N3750" s="211"/>
    </row>
    <row r="3751" spans="10:14" x14ac:dyDescent="0.4">
      <c r="J3751" s="140"/>
      <c r="N3751" s="211"/>
    </row>
    <row r="3752" spans="10:14" x14ac:dyDescent="0.4">
      <c r="J3752" s="140"/>
      <c r="N3752" s="211"/>
    </row>
    <row r="3753" spans="10:14" x14ac:dyDescent="0.4">
      <c r="J3753" s="140"/>
      <c r="N3753" s="211"/>
    </row>
    <row r="3754" spans="10:14" x14ac:dyDescent="0.4">
      <c r="J3754" s="140"/>
      <c r="N3754" s="211"/>
    </row>
    <row r="3755" spans="10:14" x14ac:dyDescent="0.4">
      <c r="J3755" s="140"/>
      <c r="N3755" s="211"/>
    </row>
    <row r="3756" spans="10:14" x14ac:dyDescent="0.4">
      <c r="J3756" s="140"/>
      <c r="N3756" s="211"/>
    </row>
    <row r="3757" spans="10:14" x14ac:dyDescent="0.4">
      <c r="J3757" s="140"/>
      <c r="N3757" s="211"/>
    </row>
    <row r="3758" spans="10:14" x14ac:dyDescent="0.4">
      <c r="J3758" s="140"/>
      <c r="N3758" s="211"/>
    </row>
    <row r="3759" spans="10:14" x14ac:dyDescent="0.4">
      <c r="J3759" s="140"/>
      <c r="N3759" s="211"/>
    </row>
    <row r="3760" spans="10:14" x14ac:dyDescent="0.4">
      <c r="J3760" s="140"/>
      <c r="N3760" s="211"/>
    </row>
    <row r="3761" spans="10:14" x14ac:dyDescent="0.4">
      <c r="J3761" s="140"/>
      <c r="N3761" s="211"/>
    </row>
    <row r="3762" spans="10:14" x14ac:dyDescent="0.4">
      <c r="J3762" s="140"/>
      <c r="N3762" s="211"/>
    </row>
    <row r="3763" spans="10:14" x14ac:dyDescent="0.4">
      <c r="J3763" s="140"/>
      <c r="N3763" s="211"/>
    </row>
    <row r="3764" spans="10:14" x14ac:dyDescent="0.4">
      <c r="J3764" s="140"/>
      <c r="N3764" s="211"/>
    </row>
    <row r="3765" spans="10:14" x14ac:dyDescent="0.4">
      <c r="J3765" s="140"/>
      <c r="N3765" s="211"/>
    </row>
    <row r="3766" spans="10:14" x14ac:dyDescent="0.4">
      <c r="J3766" s="140"/>
      <c r="N3766" s="211"/>
    </row>
    <row r="3767" spans="10:14" x14ac:dyDescent="0.4">
      <c r="J3767" s="140"/>
      <c r="N3767" s="211"/>
    </row>
    <row r="3768" spans="10:14" x14ac:dyDescent="0.4">
      <c r="J3768" s="140"/>
      <c r="N3768" s="211"/>
    </row>
    <row r="3769" spans="10:14" x14ac:dyDescent="0.4">
      <c r="J3769" s="140"/>
      <c r="N3769" s="211"/>
    </row>
    <row r="3770" spans="10:14" x14ac:dyDescent="0.4">
      <c r="J3770" s="140"/>
      <c r="N3770" s="211"/>
    </row>
    <row r="3771" spans="10:14" x14ac:dyDescent="0.4">
      <c r="J3771" s="140"/>
      <c r="N3771" s="211"/>
    </row>
    <row r="3772" spans="10:14" x14ac:dyDescent="0.4">
      <c r="J3772" s="140"/>
      <c r="N3772" s="211"/>
    </row>
    <row r="3773" spans="10:14" x14ac:dyDescent="0.4">
      <c r="J3773" s="140"/>
      <c r="N3773" s="211"/>
    </row>
    <row r="3774" spans="10:14" x14ac:dyDescent="0.4">
      <c r="J3774" s="140"/>
      <c r="N3774" s="211"/>
    </row>
    <row r="3775" spans="10:14" x14ac:dyDescent="0.4">
      <c r="J3775" s="140"/>
      <c r="N3775" s="211"/>
    </row>
    <row r="3776" spans="10:14" x14ac:dyDescent="0.4">
      <c r="J3776" s="140"/>
      <c r="N3776" s="211"/>
    </row>
    <row r="3777" spans="10:14" x14ac:dyDescent="0.4">
      <c r="J3777" s="140"/>
      <c r="N3777" s="211"/>
    </row>
    <row r="3778" spans="10:14" x14ac:dyDescent="0.4">
      <c r="J3778" s="140"/>
      <c r="N3778" s="211"/>
    </row>
    <row r="3779" spans="10:14" x14ac:dyDescent="0.4">
      <c r="J3779" s="140"/>
      <c r="N3779" s="211"/>
    </row>
    <row r="3780" spans="10:14" x14ac:dyDescent="0.4">
      <c r="J3780" s="140"/>
      <c r="N3780" s="211"/>
    </row>
    <row r="3781" spans="10:14" x14ac:dyDescent="0.4">
      <c r="J3781" s="140"/>
      <c r="N3781" s="211"/>
    </row>
    <row r="3782" spans="10:14" x14ac:dyDescent="0.4">
      <c r="J3782" s="140"/>
      <c r="N3782" s="211"/>
    </row>
    <row r="3783" spans="10:14" x14ac:dyDescent="0.4">
      <c r="J3783" s="140"/>
      <c r="N3783" s="211"/>
    </row>
    <row r="3784" spans="10:14" x14ac:dyDescent="0.4">
      <c r="J3784" s="140"/>
      <c r="N3784" s="211"/>
    </row>
    <row r="3785" spans="10:14" x14ac:dyDescent="0.4">
      <c r="J3785" s="140"/>
      <c r="N3785" s="211"/>
    </row>
    <row r="3786" spans="10:14" x14ac:dyDescent="0.4">
      <c r="J3786" s="140"/>
      <c r="N3786" s="211"/>
    </row>
    <row r="3787" spans="10:14" x14ac:dyDescent="0.4">
      <c r="J3787" s="140"/>
      <c r="N3787" s="211"/>
    </row>
    <row r="3788" spans="10:14" x14ac:dyDescent="0.4">
      <c r="J3788" s="140"/>
      <c r="N3788" s="211"/>
    </row>
    <row r="3789" spans="10:14" x14ac:dyDescent="0.4">
      <c r="J3789" s="140"/>
      <c r="N3789" s="211"/>
    </row>
    <row r="3790" spans="10:14" x14ac:dyDescent="0.4">
      <c r="J3790" s="140"/>
      <c r="N3790" s="211"/>
    </row>
    <row r="3791" spans="10:14" x14ac:dyDescent="0.4">
      <c r="J3791" s="140"/>
      <c r="N3791" s="211"/>
    </row>
    <row r="3792" spans="10:14" x14ac:dyDescent="0.4">
      <c r="J3792" s="140"/>
      <c r="N3792" s="211"/>
    </row>
    <row r="3793" spans="10:14" x14ac:dyDescent="0.4">
      <c r="J3793" s="140"/>
      <c r="N3793" s="211"/>
    </row>
    <row r="3794" spans="10:14" x14ac:dyDescent="0.4">
      <c r="J3794" s="140"/>
      <c r="N3794" s="211"/>
    </row>
    <row r="3795" spans="10:14" x14ac:dyDescent="0.4">
      <c r="J3795" s="140"/>
      <c r="N3795" s="211"/>
    </row>
    <row r="3796" spans="10:14" x14ac:dyDescent="0.4">
      <c r="J3796" s="140"/>
      <c r="N3796" s="211"/>
    </row>
    <row r="3797" spans="10:14" x14ac:dyDescent="0.4">
      <c r="J3797" s="140"/>
      <c r="N3797" s="211"/>
    </row>
    <row r="3798" spans="10:14" x14ac:dyDescent="0.4">
      <c r="J3798" s="140"/>
      <c r="N3798" s="211"/>
    </row>
    <row r="3799" spans="10:14" x14ac:dyDescent="0.4">
      <c r="J3799" s="140"/>
      <c r="N3799" s="211"/>
    </row>
    <row r="3800" spans="10:14" x14ac:dyDescent="0.4">
      <c r="J3800" s="140"/>
      <c r="N3800" s="211"/>
    </row>
    <row r="3801" spans="10:14" x14ac:dyDescent="0.4">
      <c r="J3801" s="140"/>
      <c r="N3801" s="211"/>
    </row>
    <row r="3802" spans="10:14" x14ac:dyDescent="0.4">
      <c r="J3802" s="140"/>
      <c r="N3802" s="211"/>
    </row>
    <row r="3803" spans="10:14" x14ac:dyDescent="0.4">
      <c r="J3803" s="140"/>
      <c r="N3803" s="211"/>
    </row>
    <row r="3804" spans="10:14" x14ac:dyDescent="0.4">
      <c r="J3804" s="140"/>
      <c r="N3804" s="211"/>
    </row>
    <row r="3805" spans="10:14" x14ac:dyDescent="0.4">
      <c r="J3805" s="140"/>
      <c r="N3805" s="211"/>
    </row>
    <row r="3806" spans="10:14" x14ac:dyDescent="0.4">
      <c r="J3806" s="140"/>
      <c r="N3806" s="211"/>
    </row>
    <row r="3807" spans="10:14" x14ac:dyDescent="0.4">
      <c r="J3807" s="140"/>
      <c r="N3807" s="211"/>
    </row>
    <row r="3808" spans="10:14" x14ac:dyDescent="0.4">
      <c r="J3808" s="140"/>
      <c r="N3808" s="211"/>
    </row>
    <row r="3809" spans="10:14" x14ac:dyDescent="0.4">
      <c r="J3809" s="140"/>
      <c r="N3809" s="211"/>
    </row>
    <row r="3810" spans="10:14" x14ac:dyDescent="0.4">
      <c r="J3810" s="140"/>
      <c r="N3810" s="211"/>
    </row>
    <row r="3811" spans="10:14" x14ac:dyDescent="0.4">
      <c r="J3811" s="140"/>
      <c r="N3811" s="211"/>
    </row>
    <row r="3812" spans="10:14" x14ac:dyDescent="0.4">
      <c r="J3812" s="140"/>
      <c r="N3812" s="211"/>
    </row>
    <row r="3813" spans="10:14" x14ac:dyDescent="0.4">
      <c r="J3813" s="140"/>
      <c r="N3813" s="211"/>
    </row>
    <row r="3814" spans="10:14" x14ac:dyDescent="0.4">
      <c r="J3814" s="140"/>
      <c r="N3814" s="211"/>
    </row>
    <row r="3815" spans="10:14" x14ac:dyDescent="0.4">
      <c r="J3815" s="140"/>
      <c r="N3815" s="211"/>
    </row>
    <row r="3816" spans="10:14" x14ac:dyDescent="0.4">
      <c r="J3816" s="140"/>
      <c r="N3816" s="211"/>
    </row>
    <row r="3817" spans="10:14" x14ac:dyDescent="0.4">
      <c r="J3817" s="140"/>
      <c r="N3817" s="211"/>
    </row>
    <row r="3818" spans="10:14" x14ac:dyDescent="0.4">
      <c r="J3818" s="140"/>
      <c r="N3818" s="211"/>
    </row>
    <row r="3819" spans="10:14" x14ac:dyDescent="0.4">
      <c r="J3819" s="140"/>
      <c r="N3819" s="211"/>
    </row>
    <row r="3820" spans="10:14" x14ac:dyDescent="0.4">
      <c r="J3820" s="140"/>
      <c r="N3820" s="211"/>
    </row>
    <row r="3821" spans="10:14" x14ac:dyDescent="0.4">
      <c r="J3821" s="140"/>
      <c r="N3821" s="211"/>
    </row>
    <row r="3822" spans="10:14" x14ac:dyDescent="0.4">
      <c r="J3822" s="140"/>
      <c r="N3822" s="211"/>
    </row>
    <row r="3823" spans="10:14" x14ac:dyDescent="0.4">
      <c r="J3823" s="140"/>
      <c r="N3823" s="211"/>
    </row>
    <row r="3824" spans="10:14" x14ac:dyDescent="0.4">
      <c r="J3824" s="140"/>
      <c r="N3824" s="211"/>
    </row>
    <row r="3825" spans="10:14" x14ac:dyDescent="0.4">
      <c r="J3825" s="140"/>
      <c r="N3825" s="211"/>
    </row>
    <row r="3826" spans="10:14" x14ac:dyDescent="0.4">
      <c r="J3826" s="140"/>
      <c r="N3826" s="211"/>
    </row>
    <row r="3827" spans="10:14" x14ac:dyDescent="0.4">
      <c r="J3827" s="140"/>
      <c r="N3827" s="211"/>
    </row>
    <row r="3828" spans="10:14" x14ac:dyDescent="0.4">
      <c r="J3828" s="140"/>
      <c r="N3828" s="211"/>
    </row>
    <row r="3829" spans="10:14" x14ac:dyDescent="0.4">
      <c r="J3829" s="140"/>
      <c r="N3829" s="211"/>
    </row>
    <row r="3830" spans="10:14" x14ac:dyDescent="0.4">
      <c r="J3830" s="140"/>
      <c r="N3830" s="211"/>
    </row>
    <row r="3831" spans="10:14" x14ac:dyDescent="0.4">
      <c r="J3831" s="140"/>
      <c r="N3831" s="211"/>
    </row>
    <row r="3832" spans="10:14" x14ac:dyDescent="0.4">
      <c r="J3832" s="140"/>
      <c r="N3832" s="211"/>
    </row>
    <row r="3833" spans="10:14" x14ac:dyDescent="0.4">
      <c r="J3833" s="140"/>
      <c r="N3833" s="211"/>
    </row>
    <row r="3834" spans="10:14" x14ac:dyDescent="0.4">
      <c r="J3834" s="140"/>
      <c r="N3834" s="211"/>
    </row>
    <row r="3835" spans="10:14" x14ac:dyDescent="0.4">
      <c r="J3835" s="140"/>
      <c r="N3835" s="211"/>
    </row>
    <row r="3836" spans="10:14" x14ac:dyDescent="0.4">
      <c r="J3836" s="140"/>
      <c r="N3836" s="211"/>
    </row>
    <row r="3837" spans="10:14" x14ac:dyDescent="0.4">
      <c r="J3837" s="140"/>
      <c r="N3837" s="211"/>
    </row>
    <row r="3838" spans="10:14" x14ac:dyDescent="0.4">
      <c r="J3838" s="140"/>
      <c r="N3838" s="211"/>
    </row>
    <row r="3839" spans="10:14" x14ac:dyDescent="0.4">
      <c r="J3839" s="140"/>
      <c r="N3839" s="211"/>
    </row>
    <row r="3840" spans="10:14" x14ac:dyDescent="0.4">
      <c r="J3840" s="140"/>
      <c r="N3840" s="211"/>
    </row>
    <row r="3841" spans="10:14" x14ac:dyDescent="0.4">
      <c r="J3841" s="140"/>
      <c r="N3841" s="211"/>
    </row>
    <row r="3842" spans="10:14" x14ac:dyDescent="0.4">
      <c r="J3842" s="140"/>
      <c r="N3842" s="211"/>
    </row>
    <row r="3843" spans="10:14" x14ac:dyDescent="0.4">
      <c r="J3843" s="140"/>
      <c r="N3843" s="211"/>
    </row>
    <row r="3844" spans="10:14" x14ac:dyDescent="0.4">
      <c r="J3844" s="140"/>
      <c r="N3844" s="211"/>
    </row>
    <row r="3845" spans="10:14" x14ac:dyDescent="0.4">
      <c r="J3845" s="140"/>
      <c r="N3845" s="211"/>
    </row>
    <row r="3846" spans="10:14" x14ac:dyDescent="0.4">
      <c r="J3846" s="140"/>
      <c r="N3846" s="211"/>
    </row>
    <row r="3847" spans="10:14" x14ac:dyDescent="0.4">
      <c r="J3847" s="140"/>
      <c r="N3847" s="211"/>
    </row>
    <row r="3848" spans="10:14" x14ac:dyDescent="0.4">
      <c r="J3848" s="140"/>
      <c r="N3848" s="211"/>
    </row>
    <row r="3849" spans="10:14" x14ac:dyDescent="0.4">
      <c r="J3849" s="140"/>
      <c r="N3849" s="211"/>
    </row>
    <row r="3850" spans="10:14" x14ac:dyDescent="0.4">
      <c r="J3850" s="140"/>
      <c r="N3850" s="211"/>
    </row>
    <row r="3851" spans="10:14" x14ac:dyDescent="0.4">
      <c r="J3851" s="140"/>
      <c r="N3851" s="211"/>
    </row>
    <row r="3852" spans="10:14" x14ac:dyDescent="0.4">
      <c r="J3852" s="140"/>
      <c r="N3852" s="211"/>
    </row>
    <row r="3853" spans="10:14" x14ac:dyDescent="0.4">
      <c r="J3853" s="140"/>
      <c r="N3853" s="211"/>
    </row>
    <row r="3854" spans="10:14" x14ac:dyDescent="0.4">
      <c r="J3854" s="140"/>
      <c r="N3854" s="211"/>
    </row>
    <row r="3855" spans="10:14" x14ac:dyDescent="0.4">
      <c r="J3855" s="140"/>
      <c r="N3855" s="211"/>
    </row>
    <row r="3856" spans="10:14" x14ac:dyDescent="0.4">
      <c r="J3856" s="140"/>
      <c r="N3856" s="211"/>
    </row>
    <row r="3857" spans="10:14" x14ac:dyDescent="0.4">
      <c r="J3857" s="140"/>
      <c r="N3857" s="211"/>
    </row>
    <row r="3858" spans="10:14" x14ac:dyDescent="0.4">
      <c r="J3858" s="140"/>
      <c r="N3858" s="211"/>
    </row>
    <row r="3859" spans="10:14" x14ac:dyDescent="0.4">
      <c r="J3859" s="140"/>
      <c r="N3859" s="211"/>
    </row>
    <row r="3860" spans="10:14" x14ac:dyDescent="0.4">
      <c r="J3860" s="140"/>
      <c r="N3860" s="211"/>
    </row>
    <row r="3861" spans="10:14" x14ac:dyDescent="0.4">
      <c r="J3861" s="140"/>
      <c r="N3861" s="211"/>
    </row>
    <row r="3862" spans="10:14" x14ac:dyDescent="0.4">
      <c r="J3862" s="140"/>
      <c r="N3862" s="211"/>
    </row>
    <row r="3863" spans="10:14" x14ac:dyDescent="0.4">
      <c r="J3863" s="140"/>
      <c r="N3863" s="211"/>
    </row>
    <row r="3864" spans="10:14" x14ac:dyDescent="0.4">
      <c r="J3864" s="140"/>
      <c r="N3864" s="211"/>
    </row>
    <row r="3865" spans="10:14" x14ac:dyDescent="0.4">
      <c r="J3865" s="140"/>
      <c r="N3865" s="211"/>
    </row>
    <row r="3866" spans="10:14" x14ac:dyDescent="0.4">
      <c r="J3866" s="140"/>
      <c r="N3866" s="211"/>
    </row>
    <row r="3867" spans="10:14" x14ac:dyDescent="0.4">
      <c r="J3867" s="140"/>
      <c r="N3867" s="211"/>
    </row>
    <row r="3868" spans="10:14" x14ac:dyDescent="0.4">
      <c r="J3868" s="140"/>
      <c r="N3868" s="211"/>
    </row>
    <row r="3869" spans="10:14" x14ac:dyDescent="0.4">
      <c r="J3869" s="140"/>
      <c r="N3869" s="211"/>
    </row>
    <row r="3870" spans="10:14" x14ac:dyDescent="0.4">
      <c r="J3870" s="140"/>
      <c r="N3870" s="211"/>
    </row>
    <row r="3871" spans="10:14" x14ac:dyDescent="0.4">
      <c r="J3871" s="140"/>
      <c r="N3871" s="211"/>
    </row>
    <row r="3872" spans="10:14" x14ac:dyDescent="0.4">
      <c r="J3872" s="140"/>
      <c r="N3872" s="211"/>
    </row>
    <row r="3873" spans="10:14" x14ac:dyDescent="0.4">
      <c r="J3873" s="140"/>
      <c r="N3873" s="211"/>
    </row>
    <row r="3874" spans="10:14" x14ac:dyDescent="0.4">
      <c r="J3874" s="140"/>
      <c r="N3874" s="211"/>
    </row>
    <row r="3875" spans="10:14" x14ac:dyDescent="0.4">
      <c r="J3875" s="140"/>
      <c r="N3875" s="211"/>
    </row>
    <row r="3876" spans="10:14" x14ac:dyDescent="0.4">
      <c r="J3876" s="140"/>
      <c r="N3876" s="211"/>
    </row>
    <row r="3877" spans="10:14" x14ac:dyDescent="0.4">
      <c r="J3877" s="140"/>
      <c r="N3877" s="211"/>
    </row>
    <row r="3878" spans="10:14" x14ac:dyDescent="0.4">
      <c r="J3878" s="140"/>
      <c r="N3878" s="211"/>
    </row>
    <row r="3879" spans="10:14" x14ac:dyDescent="0.4">
      <c r="J3879" s="140"/>
      <c r="N3879" s="211"/>
    </row>
    <row r="3880" spans="10:14" x14ac:dyDescent="0.4">
      <c r="J3880" s="140"/>
      <c r="N3880" s="211"/>
    </row>
    <row r="3881" spans="10:14" x14ac:dyDescent="0.4">
      <c r="J3881" s="140"/>
      <c r="N3881" s="211"/>
    </row>
    <row r="3882" spans="10:14" x14ac:dyDescent="0.4">
      <c r="J3882" s="140"/>
      <c r="N3882" s="211"/>
    </row>
    <row r="3883" spans="10:14" x14ac:dyDescent="0.4">
      <c r="J3883" s="140"/>
      <c r="N3883" s="211"/>
    </row>
    <row r="3884" spans="10:14" x14ac:dyDescent="0.4">
      <c r="J3884" s="140"/>
      <c r="N3884" s="211"/>
    </row>
    <row r="3885" spans="10:14" x14ac:dyDescent="0.4">
      <c r="J3885" s="140"/>
      <c r="N3885" s="211"/>
    </row>
    <row r="3886" spans="10:14" x14ac:dyDescent="0.4">
      <c r="J3886" s="140"/>
      <c r="N3886" s="211"/>
    </row>
    <row r="3887" spans="10:14" x14ac:dyDescent="0.4">
      <c r="J3887" s="140"/>
      <c r="N3887" s="211"/>
    </row>
    <row r="3888" spans="10:14" x14ac:dyDescent="0.4">
      <c r="J3888" s="140"/>
      <c r="N3888" s="211"/>
    </row>
    <row r="3889" spans="10:14" x14ac:dyDescent="0.4">
      <c r="J3889" s="140"/>
      <c r="N3889" s="211"/>
    </row>
    <row r="3890" spans="10:14" x14ac:dyDescent="0.4">
      <c r="J3890" s="140"/>
      <c r="N3890" s="211"/>
    </row>
    <row r="3891" spans="10:14" x14ac:dyDescent="0.4">
      <c r="J3891" s="140"/>
      <c r="N3891" s="211"/>
    </row>
    <row r="3892" spans="10:14" x14ac:dyDescent="0.4">
      <c r="J3892" s="140"/>
      <c r="N3892" s="211"/>
    </row>
    <row r="3893" spans="10:14" x14ac:dyDescent="0.4">
      <c r="J3893" s="140"/>
      <c r="N3893" s="211"/>
    </row>
    <row r="3894" spans="10:14" x14ac:dyDescent="0.4">
      <c r="J3894" s="140"/>
      <c r="N3894" s="211"/>
    </row>
    <row r="3895" spans="10:14" x14ac:dyDescent="0.4">
      <c r="J3895" s="140"/>
      <c r="N3895" s="211"/>
    </row>
    <row r="3896" spans="10:14" x14ac:dyDescent="0.4">
      <c r="J3896" s="140"/>
      <c r="N3896" s="211"/>
    </row>
    <row r="3897" spans="10:14" x14ac:dyDescent="0.4">
      <c r="J3897" s="140"/>
      <c r="N3897" s="211"/>
    </row>
    <row r="3898" spans="10:14" x14ac:dyDescent="0.4">
      <c r="J3898" s="140"/>
      <c r="N3898" s="211"/>
    </row>
    <row r="3899" spans="10:14" x14ac:dyDescent="0.4">
      <c r="J3899" s="140"/>
      <c r="N3899" s="211"/>
    </row>
    <row r="3900" spans="10:14" x14ac:dyDescent="0.4">
      <c r="J3900" s="140"/>
      <c r="N3900" s="211"/>
    </row>
    <row r="3901" spans="10:14" x14ac:dyDescent="0.4">
      <c r="J3901" s="140"/>
      <c r="N3901" s="211"/>
    </row>
    <row r="3902" spans="10:14" x14ac:dyDescent="0.4">
      <c r="J3902" s="140"/>
      <c r="N3902" s="211"/>
    </row>
    <row r="3903" spans="10:14" x14ac:dyDescent="0.4">
      <c r="J3903" s="140"/>
      <c r="N3903" s="211"/>
    </row>
    <row r="3904" spans="10:14" x14ac:dyDescent="0.4">
      <c r="J3904" s="140"/>
      <c r="N3904" s="211"/>
    </row>
    <row r="3905" spans="10:14" x14ac:dyDescent="0.4">
      <c r="J3905" s="140"/>
      <c r="N3905" s="211"/>
    </row>
    <row r="3906" spans="10:14" x14ac:dyDescent="0.4">
      <c r="J3906" s="140"/>
      <c r="N3906" s="211"/>
    </row>
    <row r="3907" spans="10:14" x14ac:dyDescent="0.4">
      <c r="J3907" s="140"/>
      <c r="N3907" s="211"/>
    </row>
    <row r="3908" spans="10:14" x14ac:dyDescent="0.4">
      <c r="J3908" s="140"/>
      <c r="N3908" s="211"/>
    </row>
    <row r="3909" spans="10:14" x14ac:dyDescent="0.4">
      <c r="J3909" s="140"/>
      <c r="N3909" s="211"/>
    </row>
    <row r="3910" spans="10:14" x14ac:dyDescent="0.4">
      <c r="J3910" s="140"/>
      <c r="N3910" s="211"/>
    </row>
    <row r="3911" spans="10:14" x14ac:dyDescent="0.4">
      <c r="J3911" s="140"/>
      <c r="N3911" s="211"/>
    </row>
    <row r="3912" spans="10:14" x14ac:dyDescent="0.4">
      <c r="J3912" s="140"/>
      <c r="N3912" s="211"/>
    </row>
    <row r="3913" spans="10:14" x14ac:dyDescent="0.4">
      <c r="J3913" s="140"/>
      <c r="N3913" s="211"/>
    </row>
    <row r="3914" spans="10:14" x14ac:dyDescent="0.4">
      <c r="J3914" s="140"/>
      <c r="N3914" s="211"/>
    </row>
    <row r="3915" spans="10:14" x14ac:dyDescent="0.4">
      <c r="J3915" s="140"/>
      <c r="N3915" s="211"/>
    </row>
    <row r="3916" spans="10:14" x14ac:dyDescent="0.4">
      <c r="J3916" s="140"/>
      <c r="N3916" s="211"/>
    </row>
    <row r="3917" spans="10:14" x14ac:dyDescent="0.4">
      <c r="J3917" s="140"/>
      <c r="N3917" s="211"/>
    </row>
    <row r="3918" spans="10:14" x14ac:dyDescent="0.4">
      <c r="J3918" s="140"/>
      <c r="N3918" s="211"/>
    </row>
    <row r="3919" spans="10:14" x14ac:dyDescent="0.4">
      <c r="J3919" s="140"/>
      <c r="N3919" s="211"/>
    </row>
    <row r="3920" spans="10:14" x14ac:dyDescent="0.4">
      <c r="J3920" s="140"/>
      <c r="N3920" s="211"/>
    </row>
    <row r="3921" spans="10:14" x14ac:dyDescent="0.4">
      <c r="J3921" s="140"/>
      <c r="N3921" s="211"/>
    </row>
    <row r="3922" spans="10:14" x14ac:dyDescent="0.4">
      <c r="J3922" s="140"/>
      <c r="N3922" s="211"/>
    </row>
    <row r="3923" spans="10:14" x14ac:dyDescent="0.4">
      <c r="J3923" s="140"/>
      <c r="N3923" s="211"/>
    </row>
    <row r="3924" spans="10:14" x14ac:dyDescent="0.4">
      <c r="J3924" s="140"/>
      <c r="N3924" s="211"/>
    </row>
    <row r="3925" spans="10:14" x14ac:dyDescent="0.4">
      <c r="J3925" s="140"/>
      <c r="N3925" s="211"/>
    </row>
    <row r="3926" spans="10:14" x14ac:dyDescent="0.4">
      <c r="J3926" s="140"/>
      <c r="N3926" s="211"/>
    </row>
    <row r="3927" spans="10:14" x14ac:dyDescent="0.4">
      <c r="J3927" s="140"/>
      <c r="N3927" s="211"/>
    </row>
    <row r="3928" spans="10:14" x14ac:dyDescent="0.4">
      <c r="J3928" s="140"/>
      <c r="N3928" s="211"/>
    </row>
    <row r="3929" spans="10:14" x14ac:dyDescent="0.4">
      <c r="J3929" s="140"/>
      <c r="N3929" s="211"/>
    </row>
    <row r="3930" spans="10:14" x14ac:dyDescent="0.4">
      <c r="J3930" s="140"/>
      <c r="N3930" s="211"/>
    </row>
    <row r="3931" spans="10:14" x14ac:dyDescent="0.4">
      <c r="J3931" s="140"/>
      <c r="N3931" s="211"/>
    </row>
    <row r="3932" spans="10:14" x14ac:dyDescent="0.4">
      <c r="J3932" s="140"/>
      <c r="N3932" s="211"/>
    </row>
    <row r="3933" spans="10:14" x14ac:dyDescent="0.4">
      <c r="J3933" s="140"/>
      <c r="N3933" s="211"/>
    </row>
    <row r="3934" spans="10:14" x14ac:dyDescent="0.4">
      <c r="J3934" s="140"/>
      <c r="N3934" s="211"/>
    </row>
    <row r="3935" spans="10:14" x14ac:dyDescent="0.4">
      <c r="J3935" s="140"/>
      <c r="N3935" s="211"/>
    </row>
    <row r="3936" spans="10:14" x14ac:dyDescent="0.4">
      <c r="J3936" s="140"/>
      <c r="N3936" s="211"/>
    </row>
    <row r="3937" spans="10:14" x14ac:dyDescent="0.4">
      <c r="J3937" s="140"/>
      <c r="N3937" s="211"/>
    </row>
    <row r="3938" spans="10:14" x14ac:dyDescent="0.4">
      <c r="J3938" s="140"/>
      <c r="N3938" s="211"/>
    </row>
    <row r="3939" spans="10:14" x14ac:dyDescent="0.4">
      <c r="J3939" s="140"/>
      <c r="N3939" s="211"/>
    </row>
    <row r="3940" spans="10:14" x14ac:dyDescent="0.4">
      <c r="J3940" s="140"/>
      <c r="N3940" s="211"/>
    </row>
    <row r="3941" spans="10:14" x14ac:dyDescent="0.4">
      <c r="J3941" s="140"/>
      <c r="N3941" s="211"/>
    </row>
    <row r="3942" spans="10:14" x14ac:dyDescent="0.4">
      <c r="J3942" s="140"/>
      <c r="N3942" s="211"/>
    </row>
    <row r="3943" spans="10:14" x14ac:dyDescent="0.4">
      <c r="J3943" s="140"/>
      <c r="N3943" s="211"/>
    </row>
    <row r="3944" spans="10:14" x14ac:dyDescent="0.4">
      <c r="J3944" s="140"/>
      <c r="N3944" s="211"/>
    </row>
    <row r="3945" spans="10:14" x14ac:dyDescent="0.4">
      <c r="J3945" s="140"/>
      <c r="N3945" s="211"/>
    </row>
    <row r="3946" spans="10:14" x14ac:dyDescent="0.4">
      <c r="J3946" s="140"/>
      <c r="N3946" s="211"/>
    </row>
    <row r="3947" spans="10:14" x14ac:dyDescent="0.4">
      <c r="J3947" s="140"/>
      <c r="N3947" s="211"/>
    </row>
    <row r="3948" spans="10:14" x14ac:dyDescent="0.4">
      <c r="J3948" s="140"/>
      <c r="N3948" s="211"/>
    </row>
    <row r="3949" spans="10:14" x14ac:dyDescent="0.4">
      <c r="J3949" s="140"/>
      <c r="N3949" s="211"/>
    </row>
    <row r="3950" spans="10:14" x14ac:dyDescent="0.4">
      <c r="J3950" s="140"/>
      <c r="N3950" s="211"/>
    </row>
    <row r="3951" spans="10:14" x14ac:dyDescent="0.4">
      <c r="J3951" s="140"/>
      <c r="N3951" s="211"/>
    </row>
    <row r="3952" spans="10:14" x14ac:dyDescent="0.4">
      <c r="J3952" s="140"/>
      <c r="N3952" s="211"/>
    </row>
    <row r="3953" spans="10:14" x14ac:dyDescent="0.4">
      <c r="J3953" s="140"/>
      <c r="N3953" s="211"/>
    </row>
    <row r="3954" spans="10:14" x14ac:dyDescent="0.4">
      <c r="J3954" s="140"/>
      <c r="N3954" s="211"/>
    </row>
    <row r="3955" spans="10:14" x14ac:dyDescent="0.4">
      <c r="J3955" s="140"/>
      <c r="N3955" s="211"/>
    </row>
    <row r="3956" spans="10:14" x14ac:dyDescent="0.4">
      <c r="J3956" s="140"/>
      <c r="N3956" s="211"/>
    </row>
    <row r="3957" spans="10:14" x14ac:dyDescent="0.4">
      <c r="J3957" s="140"/>
      <c r="N3957" s="211"/>
    </row>
    <row r="3958" spans="10:14" x14ac:dyDescent="0.4">
      <c r="J3958" s="140"/>
      <c r="N3958" s="211"/>
    </row>
    <row r="3959" spans="10:14" x14ac:dyDescent="0.4">
      <c r="J3959" s="140"/>
      <c r="N3959" s="211"/>
    </row>
    <row r="3960" spans="10:14" x14ac:dyDescent="0.4">
      <c r="J3960" s="140"/>
      <c r="N3960" s="211"/>
    </row>
    <row r="3961" spans="10:14" x14ac:dyDescent="0.4">
      <c r="J3961" s="140"/>
      <c r="N3961" s="211"/>
    </row>
    <row r="3962" spans="10:14" x14ac:dyDescent="0.4">
      <c r="J3962" s="140"/>
      <c r="N3962" s="211"/>
    </row>
    <row r="3963" spans="10:14" x14ac:dyDescent="0.4">
      <c r="J3963" s="140"/>
      <c r="N3963" s="211"/>
    </row>
    <row r="3964" spans="10:14" x14ac:dyDescent="0.4">
      <c r="J3964" s="140"/>
      <c r="N3964" s="211"/>
    </row>
    <row r="3965" spans="10:14" x14ac:dyDescent="0.4">
      <c r="J3965" s="140"/>
      <c r="N3965" s="211"/>
    </row>
    <row r="3966" spans="10:14" x14ac:dyDescent="0.4">
      <c r="J3966" s="140"/>
      <c r="N3966" s="211"/>
    </row>
    <row r="3967" spans="10:14" x14ac:dyDescent="0.4">
      <c r="J3967" s="140"/>
      <c r="N3967" s="211"/>
    </row>
    <row r="3968" spans="10:14" x14ac:dyDescent="0.4">
      <c r="J3968" s="140"/>
      <c r="N3968" s="211"/>
    </row>
    <row r="3969" spans="10:14" x14ac:dyDescent="0.4">
      <c r="J3969" s="140"/>
      <c r="N3969" s="211"/>
    </row>
    <row r="3970" spans="10:14" x14ac:dyDescent="0.4">
      <c r="J3970" s="140"/>
      <c r="N3970" s="211"/>
    </row>
    <row r="3971" spans="10:14" x14ac:dyDescent="0.4">
      <c r="J3971" s="140"/>
      <c r="N3971" s="211"/>
    </row>
    <row r="3972" spans="10:14" x14ac:dyDescent="0.4">
      <c r="J3972" s="140"/>
      <c r="N3972" s="211"/>
    </row>
    <row r="3973" spans="10:14" x14ac:dyDescent="0.4">
      <c r="J3973" s="140"/>
      <c r="N3973" s="211"/>
    </row>
    <row r="3974" spans="10:14" x14ac:dyDescent="0.4">
      <c r="J3974" s="140"/>
      <c r="N3974" s="211"/>
    </row>
    <row r="3975" spans="10:14" x14ac:dyDescent="0.4">
      <c r="J3975" s="140"/>
      <c r="N3975" s="211"/>
    </row>
    <row r="3976" spans="10:14" x14ac:dyDescent="0.4">
      <c r="J3976" s="140"/>
      <c r="N3976" s="211"/>
    </row>
    <row r="3977" spans="10:14" x14ac:dyDescent="0.4">
      <c r="J3977" s="140"/>
      <c r="N3977" s="211"/>
    </row>
    <row r="3978" spans="10:14" x14ac:dyDescent="0.4">
      <c r="J3978" s="140"/>
      <c r="N3978" s="211"/>
    </row>
    <row r="3979" spans="10:14" x14ac:dyDescent="0.4">
      <c r="J3979" s="140"/>
      <c r="N3979" s="211"/>
    </row>
    <row r="3980" spans="10:14" x14ac:dyDescent="0.4">
      <c r="J3980" s="140"/>
      <c r="N3980" s="211"/>
    </row>
    <row r="3981" spans="10:14" x14ac:dyDescent="0.4">
      <c r="J3981" s="140"/>
      <c r="N3981" s="211"/>
    </row>
    <row r="3982" spans="10:14" x14ac:dyDescent="0.4">
      <c r="J3982" s="140"/>
      <c r="N3982" s="211"/>
    </row>
    <row r="3983" spans="10:14" x14ac:dyDescent="0.4">
      <c r="J3983" s="140"/>
      <c r="N3983" s="211"/>
    </row>
    <row r="3984" spans="10:14" x14ac:dyDescent="0.4">
      <c r="J3984" s="140"/>
      <c r="N3984" s="211"/>
    </row>
    <row r="3985" spans="10:14" x14ac:dyDescent="0.4">
      <c r="J3985" s="140"/>
      <c r="N3985" s="211"/>
    </row>
    <row r="3986" spans="10:14" x14ac:dyDescent="0.4">
      <c r="J3986" s="140"/>
      <c r="N3986" s="211"/>
    </row>
    <row r="3987" spans="10:14" x14ac:dyDescent="0.4">
      <c r="J3987" s="140"/>
      <c r="N3987" s="211"/>
    </row>
    <row r="3988" spans="10:14" x14ac:dyDescent="0.4">
      <c r="J3988" s="140"/>
      <c r="N3988" s="211"/>
    </row>
    <row r="3989" spans="10:14" x14ac:dyDescent="0.4">
      <c r="J3989" s="140"/>
      <c r="N3989" s="211"/>
    </row>
    <row r="3990" spans="10:14" x14ac:dyDescent="0.4">
      <c r="J3990" s="140"/>
      <c r="N3990" s="211"/>
    </row>
    <row r="3991" spans="10:14" x14ac:dyDescent="0.4">
      <c r="J3991" s="140"/>
      <c r="N3991" s="211"/>
    </row>
    <row r="3992" spans="10:14" x14ac:dyDescent="0.4">
      <c r="J3992" s="140"/>
      <c r="N3992" s="211"/>
    </row>
    <row r="3993" spans="10:14" x14ac:dyDescent="0.4">
      <c r="J3993" s="140"/>
      <c r="N3993" s="211"/>
    </row>
    <row r="3994" spans="10:14" x14ac:dyDescent="0.4">
      <c r="J3994" s="140"/>
      <c r="N3994" s="211"/>
    </row>
    <row r="3995" spans="10:14" x14ac:dyDescent="0.4">
      <c r="J3995" s="140"/>
      <c r="N3995" s="211"/>
    </row>
    <row r="3996" spans="10:14" x14ac:dyDescent="0.4">
      <c r="J3996" s="140"/>
      <c r="N3996" s="211"/>
    </row>
    <row r="3997" spans="10:14" x14ac:dyDescent="0.4">
      <c r="J3997" s="140"/>
      <c r="N3997" s="211"/>
    </row>
    <row r="3998" spans="10:14" x14ac:dyDescent="0.4">
      <c r="J3998" s="140"/>
      <c r="N3998" s="211"/>
    </row>
    <row r="3999" spans="10:14" x14ac:dyDescent="0.4">
      <c r="J3999" s="140"/>
      <c r="N3999" s="211"/>
    </row>
    <row r="4000" spans="10:14" x14ac:dyDescent="0.4">
      <c r="J4000" s="140"/>
      <c r="N4000" s="211"/>
    </row>
    <row r="4001" spans="10:14" x14ac:dyDescent="0.4">
      <c r="J4001" s="140"/>
      <c r="N4001" s="211"/>
    </row>
    <row r="4002" spans="10:14" x14ac:dyDescent="0.4">
      <c r="J4002" s="140"/>
      <c r="N4002" s="211"/>
    </row>
    <row r="4003" spans="10:14" x14ac:dyDescent="0.4">
      <c r="J4003" s="140"/>
      <c r="N4003" s="211"/>
    </row>
    <row r="4004" spans="10:14" x14ac:dyDescent="0.4">
      <c r="J4004" s="140"/>
      <c r="N4004" s="211"/>
    </row>
    <row r="4005" spans="10:14" x14ac:dyDescent="0.4">
      <c r="J4005" s="140"/>
      <c r="N4005" s="211"/>
    </row>
    <row r="4006" spans="10:14" x14ac:dyDescent="0.4">
      <c r="J4006" s="140"/>
      <c r="N4006" s="211"/>
    </row>
    <row r="4007" spans="10:14" x14ac:dyDescent="0.4">
      <c r="J4007" s="140"/>
      <c r="N4007" s="211"/>
    </row>
    <row r="4008" spans="10:14" x14ac:dyDescent="0.4">
      <c r="J4008" s="140"/>
      <c r="N4008" s="211"/>
    </row>
    <row r="4009" spans="10:14" x14ac:dyDescent="0.4">
      <c r="J4009" s="140"/>
      <c r="N4009" s="211"/>
    </row>
    <row r="4010" spans="10:14" x14ac:dyDescent="0.4">
      <c r="J4010" s="140"/>
      <c r="N4010" s="211"/>
    </row>
    <row r="4011" spans="10:14" x14ac:dyDescent="0.4">
      <c r="J4011" s="140"/>
      <c r="N4011" s="211"/>
    </row>
    <row r="4012" spans="10:14" x14ac:dyDescent="0.4">
      <c r="J4012" s="140"/>
      <c r="N4012" s="211"/>
    </row>
    <row r="4013" spans="10:14" x14ac:dyDescent="0.4">
      <c r="J4013" s="140"/>
      <c r="N4013" s="211"/>
    </row>
    <row r="4014" spans="10:14" x14ac:dyDescent="0.4">
      <c r="J4014" s="140"/>
      <c r="N4014" s="211"/>
    </row>
    <row r="4015" spans="10:14" x14ac:dyDescent="0.4">
      <c r="J4015" s="140"/>
      <c r="N4015" s="211"/>
    </row>
    <row r="4016" spans="10:14" x14ac:dyDescent="0.4">
      <c r="J4016" s="140"/>
      <c r="N4016" s="211"/>
    </row>
    <row r="4017" spans="10:14" x14ac:dyDescent="0.4">
      <c r="J4017" s="140"/>
      <c r="N4017" s="211"/>
    </row>
    <row r="4018" spans="10:14" x14ac:dyDescent="0.4">
      <c r="J4018" s="140"/>
      <c r="N4018" s="211"/>
    </row>
    <row r="4019" spans="10:14" x14ac:dyDescent="0.4">
      <c r="J4019" s="140"/>
      <c r="N4019" s="211"/>
    </row>
    <row r="4020" spans="10:14" x14ac:dyDescent="0.4">
      <c r="J4020" s="140"/>
      <c r="N4020" s="211"/>
    </row>
    <row r="4021" spans="10:14" x14ac:dyDescent="0.4">
      <c r="J4021" s="140"/>
      <c r="N4021" s="211"/>
    </row>
    <row r="4022" spans="10:14" x14ac:dyDescent="0.4">
      <c r="J4022" s="140"/>
      <c r="N4022" s="211"/>
    </row>
    <row r="4023" spans="10:14" x14ac:dyDescent="0.4">
      <c r="J4023" s="140"/>
      <c r="N4023" s="211"/>
    </row>
    <row r="4024" spans="10:14" x14ac:dyDescent="0.4">
      <c r="J4024" s="140"/>
      <c r="N4024" s="211"/>
    </row>
    <row r="4025" spans="10:14" x14ac:dyDescent="0.4">
      <c r="J4025" s="140"/>
      <c r="N4025" s="211"/>
    </row>
    <row r="4026" spans="10:14" x14ac:dyDescent="0.4">
      <c r="J4026" s="140"/>
      <c r="N4026" s="211"/>
    </row>
    <row r="4027" spans="10:14" x14ac:dyDescent="0.4">
      <c r="J4027" s="140"/>
      <c r="N4027" s="211"/>
    </row>
    <row r="4028" spans="10:14" x14ac:dyDescent="0.4">
      <c r="J4028" s="140"/>
      <c r="N4028" s="211"/>
    </row>
    <row r="4029" spans="10:14" x14ac:dyDescent="0.4">
      <c r="J4029" s="140"/>
      <c r="N4029" s="211"/>
    </row>
    <row r="4030" spans="10:14" x14ac:dyDescent="0.4">
      <c r="J4030" s="140"/>
      <c r="N4030" s="211"/>
    </row>
    <row r="4031" spans="10:14" x14ac:dyDescent="0.4">
      <c r="J4031" s="140"/>
      <c r="N4031" s="211"/>
    </row>
    <row r="4032" spans="10:14" x14ac:dyDescent="0.4">
      <c r="J4032" s="140"/>
      <c r="N4032" s="211"/>
    </row>
    <row r="4033" spans="10:14" x14ac:dyDescent="0.4">
      <c r="J4033" s="140"/>
      <c r="N4033" s="211"/>
    </row>
    <row r="4034" spans="10:14" x14ac:dyDescent="0.4">
      <c r="J4034" s="140"/>
      <c r="N4034" s="211"/>
    </row>
    <row r="4035" spans="10:14" x14ac:dyDescent="0.4">
      <c r="J4035" s="140"/>
      <c r="N4035" s="211"/>
    </row>
    <row r="4036" spans="10:14" x14ac:dyDescent="0.4">
      <c r="J4036" s="140"/>
      <c r="N4036" s="211"/>
    </row>
    <row r="4037" spans="10:14" x14ac:dyDescent="0.4">
      <c r="J4037" s="140"/>
      <c r="N4037" s="211"/>
    </row>
    <row r="4038" spans="10:14" x14ac:dyDescent="0.4">
      <c r="J4038" s="140"/>
      <c r="N4038" s="211"/>
    </row>
    <row r="4039" spans="10:14" x14ac:dyDescent="0.4">
      <c r="J4039" s="140"/>
      <c r="N4039" s="211"/>
    </row>
    <row r="4040" spans="10:14" x14ac:dyDescent="0.4">
      <c r="J4040" s="140"/>
      <c r="N4040" s="211"/>
    </row>
    <row r="4041" spans="10:14" x14ac:dyDescent="0.4">
      <c r="J4041" s="140"/>
      <c r="N4041" s="211"/>
    </row>
    <row r="4042" spans="10:14" x14ac:dyDescent="0.4">
      <c r="J4042" s="140"/>
      <c r="N4042" s="211"/>
    </row>
    <row r="4043" spans="10:14" x14ac:dyDescent="0.4">
      <c r="J4043" s="140"/>
      <c r="N4043" s="211"/>
    </row>
    <row r="4044" spans="10:14" x14ac:dyDescent="0.4">
      <c r="J4044" s="140"/>
      <c r="N4044" s="211"/>
    </row>
    <row r="4045" spans="10:14" x14ac:dyDescent="0.4">
      <c r="J4045" s="140"/>
      <c r="N4045" s="211"/>
    </row>
    <row r="4046" spans="10:14" x14ac:dyDescent="0.4">
      <c r="J4046" s="140"/>
      <c r="N4046" s="211"/>
    </row>
    <row r="4047" spans="10:14" x14ac:dyDescent="0.4">
      <c r="J4047" s="140"/>
      <c r="N4047" s="211"/>
    </row>
    <row r="4048" spans="10:14" x14ac:dyDescent="0.4">
      <c r="J4048" s="140"/>
      <c r="N4048" s="211"/>
    </row>
    <row r="4049" spans="10:14" x14ac:dyDescent="0.4">
      <c r="J4049" s="140"/>
      <c r="N4049" s="211"/>
    </row>
    <row r="4050" spans="10:14" x14ac:dyDescent="0.4">
      <c r="J4050" s="140"/>
      <c r="N4050" s="211"/>
    </row>
    <row r="4051" spans="10:14" x14ac:dyDescent="0.4">
      <c r="J4051" s="140"/>
      <c r="N4051" s="211"/>
    </row>
    <row r="4052" spans="10:14" x14ac:dyDescent="0.4">
      <c r="J4052" s="140"/>
      <c r="N4052" s="211"/>
    </row>
    <row r="4053" spans="10:14" x14ac:dyDescent="0.4">
      <c r="J4053" s="140"/>
      <c r="N4053" s="211"/>
    </row>
    <row r="4054" spans="10:14" x14ac:dyDescent="0.4">
      <c r="J4054" s="140"/>
      <c r="N4054" s="211"/>
    </row>
    <row r="4055" spans="10:14" x14ac:dyDescent="0.4">
      <c r="J4055" s="140"/>
      <c r="N4055" s="211"/>
    </row>
    <row r="4056" spans="10:14" x14ac:dyDescent="0.4">
      <c r="J4056" s="140"/>
      <c r="N4056" s="211"/>
    </row>
    <row r="4057" spans="10:14" x14ac:dyDescent="0.4">
      <c r="J4057" s="140"/>
      <c r="N4057" s="211"/>
    </row>
    <row r="4058" spans="10:14" x14ac:dyDescent="0.4">
      <c r="J4058" s="140"/>
      <c r="N4058" s="211"/>
    </row>
    <row r="4059" spans="10:14" x14ac:dyDescent="0.4">
      <c r="J4059" s="140"/>
      <c r="N4059" s="211"/>
    </row>
    <row r="4060" spans="10:14" x14ac:dyDescent="0.4">
      <c r="J4060" s="140"/>
      <c r="N4060" s="211"/>
    </row>
    <row r="4061" spans="10:14" x14ac:dyDescent="0.4">
      <c r="J4061" s="140"/>
      <c r="N4061" s="211"/>
    </row>
    <row r="4062" spans="10:14" x14ac:dyDescent="0.4">
      <c r="J4062" s="140"/>
      <c r="N4062" s="211"/>
    </row>
    <row r="4063" spans="10:14" x14ac:dyDescent="0.4">
      <c r="J4063" s="140"/>
      <c r="N4063" s="211"/>
    </row>
    <row r="4064" spans="10:14" x14ac:dyDescent="0.4">
      <c r="J4064" s="140"/>
      <c r="N4064" s="211"/>
    </row>
    <row r="4065" spans="10:14" x14ac:dyDescent="0.4">
      <c r="J4065" s="140"/>
      <c r="N4065" s="211"/>
    </row>
    <row r="4066" spans="10:14" x14ac:dyDescent="0.4">
      <c r="J4066" s="140"/>
      <c r="N4066" s="211"/>
    </row>
    <row r="4067" spans="10:14" x14ac:dyDescent="0.4">
      <c r="J4067" s="140"/>
      <c r="N4067" s="211"/>
    </row>
    <row r="4068" spans="10:14" x14ac:dyDescent="0.4">
      <c r="J4068" s="140"/>
      <c r="N4068" s="211"/>
    </row>
    <row r="4069" spans="10:14" x14ac:dyDescent="0.4">
      <c r="J4069" s="140"/>
      <c r="N4069" s="211"/>
    </row>
    <row r="4070" spans="10:14" x14ac:dyDescent="0.4">
      <c r="J4070" s="140"/>
      <c r="N4070" s="211"/>
    </row>
    <row r="4071" spans="10:14" x14ac:dyDescent="0.4">
      <c r="J4071" s="140"/>
      <c r="N4071" s="211"/>
    </row>
    <row r="4072" spans="10:14" x14ac:dyDescent="0.4">
      <c r="J4072" s="140"/>
      <c r="N4072" s="211"/>
    </row>
    <row r="4073" spans="10:14" x14ac:dyDescent="0.4">
      <c r="J4073" s="140"/>
      <c r="N4073" s="211"/>
    </row>
    <row r="4074" spans="10:14" x14ac:dyDescent="0.4">
      <c r="J4074" s="140"/>
      <c r="N4074" s="211"/>
    </row>
    <row r="4075" spans="10:14" x14ac:dyDescent="0.4">
      <c r="J4075" s="140"/>
      <c r="N4075" s="211"/>
    </row>
    <row r="4076" spans="10:14" x14ac:dyDescent="0.4">
      <c r="J4076" s="140"/>
      <c r="N4076" s="211"/>
    </row>
    <row r="4077" spans="10:14" x14ac:dyDescent="0.4">
      <c r="J4077" s="140"/>
      <c r="N4077" s="211"/>
    </row>
    <row r="4078" spans="10:14" x14ac:dyDescent="0.4">
      <c r="J4078" s="140"/>
      <c r="N4078" s="211"/>
    </row>
    <row r="4079" spans="10:14" x14ac:dyDescent="0.4">
      <c r="J4079" s="140"/>
      <c r="N4079" s="211"/>
    </row>
    <row r="4080" spans="10:14" x14ac:dyDescent="0.4">
      <c r="J4080" s="140"/>
      <c r="N4080" s="211"/>
    </row>
    <row r="4081" spans="10:14" x14ac:dyDescent="0.4">
      <c r="J4081" s="140"/>
      <c r="N4081" s="211"/>
    </row>
    <row r="4082" spans="10:14" x14ac:dyDescent="0.4">
      <c r="J4082" s="140"/>
      <c r="N4082" s="211"/>
    </row>
    <row r="4083" spans="10:14" x14ac:dyDescent="0.4">
      <c r="J4083" s="140"/>
      <c r="N4083" s="211"/>
    </row>
    <row r="4084" spans="10:14" x14ac:dyDescent="0.4">
      <c r="J4084" s="140"/>
      <c r="N4084" s="211"/>
    </row>
    <row r="4085" spans="10:14" x14ac:dyDescent="0.4">
      <c r="J4085" s="140"/>
      <c r="N4085" s="211"/>
    </row>
    <row r="4086" spans="10:14" x14ac:dyDescent="0.4">
      <c r="J4086" s="140"/>
      <c r="N4086" s="211"/>
    </row>
    <row r="4087" spans="10:14" x14ac:dyDescent="0.4">
      <c r="J4087" s="140"/>
      <c r="N4087" s="211"/>
    </row>
    <row r="4088" spans="10:14" x14ac:dyDescent="0.4">
      <c r="J4088" s="140"/>
      <c r="N4088" s="211"/>
    </row>
    <row r="4089" spans="10:14" x14ac:dyDescent="0.4">
      <c r="J4089" s="140"/>
      <c r="N4089" s="211"/>
    </row>
    <row r="4090" spans="10:14" x14ac:dyDescent="0.4">
      <c r="J4090" s="140"/>
      <c r="N4090" s="211"/>
    </row>
    <row r="4091" spans="10:14" x14ac:dyDescent="0.4">
      <c r="J4091" s="140"/>
      <c r="N4091" s="211"/>
    </row>
    <row r="4092" spans="10:14" x14ac:dyDescent="0.4">
      <c r="J4092" s="140"/>
      <c r="N4092" s="211"/>
    </row>
    <row r="4093" spans="10:14" x14ac:dyDescent="0.4">
      <c r="J4093" s="140"/>
      <c r="N4093" s="211"/>
    </row>
    <row r="4094" spans="10:14" x14ac:dyDescent="0.4">
      <c r="J4094" s="140"/>
      <c r="N4094" s="211"/>
    </row>
    <row r="4095" spans="10:14" x14ac:dyDescent="0.4">
      <c r="J4095" s="140"/>
      <c r="N4095" s="211"/>
    </row>
    <row r="4096" spans="10:14" x14ac:dyDescent="0.4">
      <c r="J4096" s="140"/>
      <c r="N4096" s="211"/>
    </row>
    <row r="4097" spans="10:14" x14ac:dyDescent="0.4">
      <c r="J4097" s="140"/>
      <c r="N4097" s="211"/>
    </row>
    <row r="4098" spans="10:14" x14ac:dyDescent="0.4">
      <c r="J4098" s="140"/>
      <c r="N4098" s="211"/>
    </row>
    <row r="4099" spans="10:14" x14ac:dyDescent="0.4">
      <c r="J4099" s="140"/>
      <c r="N4099" s="211"/>
    </row>
    <row r="4100" spans="10:14" x14ac:dyDescent="0.4">
      <c r="J4100" s="140"/>
      <c r="N4100" s="211"/>
    </row>
    <row r="4101" spans="10:14" x14ac:dyDescent="0.4">
      <c r="J4101" s="140"/>
      <c r="N4101" s="211"/>
    </row>
    <row r="4102" spans="10:14" x14ac:dyDescent="0.4">
      <c r="J4102" s="140"/>
      <c r="N4102" s="211"/>
    </row>
    <row r="4103" spans="10:14" x14ac:dyDescent="0.4">
      <c r="J4103" s="140"/>
      <c r="N4103" s="211"/>
    </row>
    <row r="4104" spans="10:14" x14ac:dyDescent="0.4">
      <c r="J4104" s="140"/>
      <c r="N4104" s="211"/>
    </row>
    <row r="4105" spans="10:14" x14ac:dyDescent="0.4">
      <c r="J4105" s="140"/>
      <c r="N4105" s="211"/>
    </row>
    <row r="4106" spans="10:14" x14ac:dyDescent="0.4">
      <c r="J4106" s="140"/>
      <c r="N4106" s="211"/>
    </row>
    <row r="4107" spans="10:14" x14ac:dyDescent="0.4">
      <c r="J4107" s="140"/>
      <c r="N4107" s="211"/>
    </row>
    <row r="4108" spans="10:14" x14ac:dyDescent="0.4">
      <c r="J4108" s="140"/>
      <c r="N4108" s="211"/>
    </row>
    <row r="4109" spans="10:14" x14ac:dyDescent="0.4">
      <c r="J4109" s="140"/>
      <c r="N4109" s="211"/>
    </row>
    <row r="4110" spans="10:14" x14ac:dyDescent="0.4">
      <c r="J4110" s="140"/>
      <c r="N4110" s="211"/>
    </row>
    <row r="4111" spans="10:14" x14ac:dyDescent="0.4">
      <c r="J4111" s="140"/>
      <c r="N4111" s="211"/>
    </row>
    <row r="4112" spans="10:14" x14ac:dyDescent="0.4">
      <c r="J4112" s="140"/>
      <c r="N4112" s="211"/>
    </row>
    <row r="4113" spans="10:14" x14ac:dyDescent="0.4">
      <c r="J4113" s="140"/>
      <c r="N4113" s="211"/>
    </row>
    <row r="4114" spans="10:14" x14ac:dyDescent="0.4">
      <c r="J4114" s="140"/>
      <c r="N4114" s="211"/>
    </row>
    <row r="4115" spans="10:14" x14ac:dyDescent="0.4">
      <c r="J4115" s="140"/>
      <c r="N4115" s="211"/>
    </row>
    <row r="4116" spans="10:14" x14ac:dyDescent="0.4">
      <c r="J4116" s="140"/>
      <c r="N4116" s="211"/>
    </row>
    <row r="4117" spans="10:14" x14ac:dyDescent="0.4">
      <c r="J4117" s="140"/>
      <c r="N4117" s="211"/>
    </row>
    <row r="4118" spans="10:14" x14ac:dyDescent="0.4">
      <c r="J4118" s="140"/>
      <c r="N4118" s="211"/>
    </row>
    <row r="4119" spans="10:14" x14ac:dyDescent="0.4">
      <c r="J4119" s="140"/>
      <c r="N4119" s="211"/>
    </row>
    <row r="4120" spans="10:14" x14ac:dyDescent="0.4">
      <c r="J4120" s="140"/>
      <c r="N4120" s="211"/>
    </row>
    <row r="4121" spans="10:14" x14ac:dyDescent="0.4">
      <c r="J4121" s="140"/>
      <c r="N4121" s="211"/>
    </row>
    <row r="4122" spans="10:14" x14ac:dyDescent="0.4">
      <c r="J4122" s="140"/>
      <c r="N4122" s="211"/>
    </row>
    <row r="4123" spans="10:14" x14ac:dyDescent="0.4">
      <c r="J4123" s="140"/>
      <c r="N4123" s="211"/>
    </row>
    <row r="4124" spans="10:14" x14ac:dyDescent="0.4">
      <c r="J4124" s="140"/>
      <c r="N4124" s="211"/>
    </row>
    <row r="4125" spans="10:14" x14ac:dyDescent="0.4">
      <c r="J4125" s="140"/>
      <c r="N4125" s="211"/>
    </row>
    <row r="4126" spans="10:14" x14ac:dyDescent="0.4">
      <c r="J4126" s="140"/>
      <c r="N4126" s="211"/>
    </row>
    <row r="4127" spans="10:14" x14ac:dyDescent="0.4">
      <c r="J4127" s="140"/>
      <c r="N4127" s="211"/>
    </row>
    <row r="4128" spans="10:14" x14ac:dyDescent="0.4">
      <c r="J4128" s="140"/>
      <c r="N4128" s="211"/>
    </row>
    <row r="4129" spans="10:14" x14ac:dyDescent="0.4">
      <c r="J4129" s="140"/>
      <c r="N4129" s="211"/>
    </row>
    <row r="4130" spans="10:14" x14ac:dyDescent="0.4">
      <c r="J4130" s="140"/>
      <c r="N4130" s="211"/>
    </row>
    <row r="4131" spans="10:14" x14ac:dyDescent="0.4">
      <c r="J4131" s="140"/>
      <c r="N4131" s="211"/>
    </row>
    <row r="4132" spans="10:14" x14ac:dyDescent="0.4">
      <c r="J4132" s="140"/>
      <c r="N4132" s="211"/>
    </row>
    <row r="4133" spans="10:14" x14ac:dyDescent="0.4">
      <c r="J4133" s="140"/>
      <c r="N4133" s="211"/>
    </row>
    <row r="4134" spans="10:14" x14ac:dyDescent="0.4">
      <c r="J4134" s="140"/>
      <c r="N4134" s="211"/>
    </row>
    <row r="4135" spans="10:14" x14ac:dyDescent="0.4">
      <c r="J4135" s="140"/>
      <c r="N4135" s="211"/>
    </row>
    <row r="4136" spans="10:14" x14ac:dyDescent="0.4">
      <c r="J4136" s="140"/>
      <c r="N4136" s="211"/>
    </row>
    <row r="4137" spans="10:14" x14ac:dyDescent="0.4">
      <c r="J4137" s="140"/>
      <c r="N4137" s="211"/>
    </row>
    <row r="4138" spans="10:14" x14ac:dyDescent="0.4">
      <c r="J4138" s="140"/>
      <c r="N4138" s="211"/>
    </row>
    <row r="4139" spans="10:14" x14ac:dyDescent="0.4">
      <c r="J4139" s="140"/>
      <c r="N4139" s="211"/>
    </row>
    <row r="4140" spans="10:14" x14ac:dyDescent="0.4">
      <c r="J4140" s="140"/>
      <c r="N4140" s="211"/>
    </row>
    <row r="4141" spans="10:14" x14ac:dyDescent="0.4">
      <c r="J4141" s="140"/>
      <c r="N4141" s="211"/>
    </row>
    <row r="4142" spans="10:14" x14ac:dyDescent="0.4">
      <c r="J4142" s="140"/>
      <c r="N4142" s="211"/>
    </row>
    <row r="4143" spans="10:14" x14ac:dyDescent="0.4">
      <c r="J4143" s="140"/>
      <c r="N4143" s="211"/>
    </row>
    <row r="4144" spans="10:14" x14ac:dyDescent="0.4">
      <c r="J4144" s="140"/>
      <c r="N4144" s="211"/>
    </row>
    <row r="4145" spans="10:14" x14ac:dyDescent="0.4">
      <c r="J4145" s="140"/>
      <c r="N4145" s="211"/>
    </row>
    <row r="4146" spans="10:14" x14ac:dyDescent="0.4">
      <c r="J4146" s="140"/>
      <c r="N4146" s="211"/>
    </row>
    <row r="4147" spans="10:14" x14ac:dyDescent="0.4">
      <c r="J4147" s="140"/>
      <c r="N4147" s="211"/>
    </row>
    <row r="4148" spans="10:14" x14ac:dyDescent="0.4">
      <c r="J4148" s="140"/>
      <c r="N4148" s="211"/>
    </row>
    <row r="4149" spans="10:14" x14ac:dyDescent="0.4">
      <c r="J4149" s="140"/>
      <c r="N4149" s="211"/>
    </row>
    <row r="4150" spans="10:14" x14ac:dyDescent="0.4">
      <c r="J4150" s="140"/>
      <c r="N4150" s="211"/>
    </row>
    <row r="4151" spans="10:14" x14ac:dyDescent="0.4">
      <c r="J4151" s="140"/>
      <c r="N4151" s="211"/>
    </row>
    <row r="4152" spans="10:14" x14ac:dyDescent="0.4">
      <c r="J4152" s="140"/>
      <c r="N4152" s="211"/>
    </row>
    <row r="4153" spans="10:14" x14ac:dyDescent="0.4">
      <c r="J4153" s="140"/>
      <c r="N4153" s="211"/>
    </row>
    <row r="4154" spans="10:14" x14ac:dyDescent="0.4">
      <c r="J4154" s="140"/>
      <c r="N4154" s="211"/>
    </row>
    <row r="4155" spans="10:14" x14ac:dyDescent="0.4">
      <c r="J4155" s="140"/>
      <c r="N4155" s="211"/>
    </row>
    <row r="4156" spans="10:14" x14ac:dyDescent="0.4">
      <c r="J4156" s="140"/>
      <c r="N4156" s="211"/>
    </row>
    <row r="4157" spans="10:14" x14ac:dyDescent="0.4">
      <c r="J4157" s="140"/>
      <c r="N4157" s="211"/>
    </row>
    <row r="4158" spans="10:14" x14ac:dyDescent="0.4">
      <c r="J4158" s="140"/>
      <c r="N4158" s="211"/>
    </row>
    <row r="4159" spans="10:14" x14ac:dyDescent="0.4">
      <c r="J4159" s="140"/>
      <c r="N4159" s="211"/>
    </row>
    <row r="4160" spans="10:14" x14ac:dyDescent="0.4">
      <c r="J4160" s="140"/>
      <c r="N4160" s="211"/>
    </row>
    <row r="4161" spans="10:14" x14ac:dyDescent="0.4">
      <c r="J4161" s="140"/>
      <c r="N4161" s="211"/>
    </row>
    <row r="4162" spans="10:14" x14ac:dyDescent="0.4">
      <c r="J4162" s="140"/>
      <c r="N4162" s="211"/>
    </row>
    <row r="4163" spans="10:14" x14ac:dyDescent="0.4">
      <c r="J4163" s="140"/>
      <c r="N4163" s="211"/>
    </row>
    <row r="4164" spans="10:14" x14ac:dyDescent="0.4">
      <c r="J4164" s="140"/>
      <c r="N4164" s="211"/>
    </row>
    <row r="4165" spans="10:14" x14ac:dyDescent="0.4">
      <c r="J4165" s="140"/>
      <c r="N4165" s="211"/>
    </row>
    <row r="4166" spans="10:14" x14ac:dyDescent="0.4">
      <c r="J4166" s="140"/>
      <c r="N4166" s="211"/>
    </row>
    <row r="4167" spans="10:14" x14ac:dyDescent="0.4">
      <c r="J4167" s="140"/>
      <c r="N4167" s="211"/>
    </row>
    <row r="4168" spans="10:14" x14ac:dyDescent="0.4">
      <c r="J4168" s="140"/>
      <c r="N4168" s="211"/>
    </row>
    <row r="4169" spans="10:14" x14ac:dyDescent="0.4">
      <c r="J4169" s="140"/>
      <c r="N4169" s="211"/>
    </row>
    <row r="4170" spans="10:14" x14ac:dyDescent="0.4">
      <c r="J4170" s="140"/>
      <c r="N4170" s="211"/>
    </row>
    <row r="4171" spans="10:14" x14ac:dyDescent="0.4">
      <c r="J4171" s="140"/>
      <c r="N4171" s="211"/>
    </row>
    <row r="4172" spans="10:14" x14ac:dyDescent="0.4">
      <c r="J4172" s="140"/>
      <c r="N4172" s="211"/>
    </row>
    <row r="4173" spans="10:14" x14ac:dyDescent="0.4">
      <c r="J4173" s="140"/>
      <c r="N4173" s="211"/>
    </row>
    <row r="4174" spans="10:14" x14ac:dyDescent="0.4">
      <c r="J4174" s="140"/>
      <c r="N4174" s="211"/>
    </row>
    <row r="4175" spans="10:14" x14ac:dyDescent="0.4">
      <c r="J4175" s="140"/>
      <c r="N4175" s="211"/>
    </row>
    <row r="4176" spans="10:14" x14ac:dyDescent="0.4">
      <c r="J4176" s="140"/>
      <c r="N4176" s="211"/>
    </row>
    <row r="4177" spans="10:14" x14ac:dyDescent="0.4">
      <c r="J4177" s="140"/>
      <c r="N4177" s="211"/>
    </row>
    <row r="4178" spans="10:14" x14ac:dyDescent="0.4">
      <c r="J4178" s="140"/>
      <c r="N4178" s="211"/>
    </row>
    <row r="4179" spans="10:14" x14ac:dyDescent="0.4">
      <c r="J4179" s="140"/>
      <c r="N4179" s="211"/>
    </row>
    <row r="4180" spans="10:14" x14ac:dyDescent="0.4">
      <c r="J4180" s="140"/>
      <c r="N4180" s="211"/>
    </row>
    <row r="4181" spans="10:14" x14ac:dyDescent="0.4">
      <c r="J4181" s="140"/>
      <c r="N4181" s="211"/>
    </row>
    <row r="4182" spans="10:14" x14ac:dyDescent="0.4">
      <c r="J4182" s="140"/>
      <c r="N4182" s="211"/>
    </row>
    <row r="4183" spans="10:14" x14ac:dyDescent="0.4">
      <c r="J4183" s="140"/>
      <c r="N4183" s="211"/>
    </row>
    <row r="4184" spans="10:14" x14ac:dyDescent="0.4">
      <c r="J4184" s="140"/>
      <c r="N4184" s="211"/>
    </row>
    <row r="4185" spans="10:14" x14ac:dyDescent="0.4">
      <c r="J4185" s="140"/>
      <c r="N4185" s="211"/>
    </row>
    <row r="4186" spans="10:14" x14ac:dyDescent="0.4">
      <c r="J4186" s="140"/>
      <c r="N4186" s="211"/>
    </row>
    <row r="4187" spans="10:14" x14ac:dyDescent="0.4">
      <c r="J4187" s="140"/>
      <c r="N4187" s="211"/>
    </row>
    <row r="4188" spans="10:14" x14ac:dyDescent="0.4">
      <c r="J4188" s="140"/>
      <c r="N4188" s="211"/>
    </row>
    <row r="4189" spans="10:14" x14ac:dyDescent="0.4">
      <c r="J4189" s="140"/>
      <c r="N4189" s="211"/>
    </row>
    <row r="4190" spans="10:14" x14ac:dyDescent="0.4">
      <c r="J4190" s="140"/>
      <c r="N4190" s="211"/>
    </row>
    <row r="4191" spans="10:14" x14ac:dyDescent="0.4">
      <c r="J4191" s="140"/>
      <c r="N4191" s="211"/>
    </row>
    <row r="4192" spans="10:14" x14ac:dyDescent="0.4">
      <c r="J4192" s="140"/>
      <c r="N4192" s="211"/>
    </row>
    <row r="4193" spans="10:14" x14ac:dyDescent="0.4">
      <c r="J4193" s="140"/>
      <c r="N4193" s="211"/>
    </row>
    <row r="4194" spans="10:14" x14ac:dyDescent="0.4">
      <c r="J4194" s="140"/>
      <c r="N4194" s="211"/>
    </row>
    <row r="4195" spans="10:14" x14ac:dyDescent="0.4">
      <c r="J4195" s="140"/>
      <c r="N4195" s="211"/>
    </row>
    <row r="4196" spans="10:14" x14ac:dyDescent="0.4">
      <c r="J4196" s="140"/>
      <c r="N4196" s="211"/>
    </row>
    <row r="4197" spans="10:14" x14ac:dyDescent="0.4">
      <c r="J4197" s="140"/>
      <c r="N4197" s="211"/>
    </row>
    <row r="4198" spans="10:14" x14ac:dyDescent="0.4">
      <c r="J4198" s="140"/>
      <c r="N4198" s="211"/>
    </row>
    <row r="4199" spans="10:14" x14ac:dyDescent="0.4">
      <c r="J4199" s="140"/>
      <c r="N4199" s="211"/>
    </row>
    <row r="4200" spans="10:14" x14ac:dyDescent="0.4">
      <c r="J4200" s="140"/>
      <c r="N4200" s="211"/>
    </row>
    <row r="4201" spans="10:14" x14ac:dyDescent="0.4">
      <c r="J4201" s="140"/>
      <c r="N4201" s="211"/>
    </row>
    <row r="4202" spans="10:14" x14ac:dyDescent="0.4">
      <c r="J4202" s="140"/>
      <c r="N4202" s="211"/>
    </row>
    <row r="4203" spans="10:14" x14ac:dyDescent="0.4">
      <c r="J4203" s="140"/>
      <c r="N4203" s="211"/>
    </row>
    <row r="4204" spans="10:14" x14ac:dyDescent="0.4">
      <c r="J4204" s="140"/>
      <c r="N4204" s="211"/>
    </row>
    <row r="4205" spans="10:14" x14ac:dyDescent="0.4">
      <c r="J4205" s="140"/>
      <c r="N4205" s="211"/>
    </row>
    <row r="4206" spans="10:14" x14ac:dyDescent="0.4">
      <c r="J4206" s="140"/>
      <c r="N4206" s="211"/>
    </row>
    <row r="4207" spans="10:14" x14ac:dyDescent="0.4">
      <c r="J4207" s="140"/>
      <c r="N4207" s="211"/>
    </row>
    <row r="4208" spans="10:14" x14ac:dyDescent="0.4">
      <c r="J4208" s="140"/>
      <c r="N4208" s="211"/>
    </row>
    <row r="4209" spans="10:14" x14ac:dyDescent="0.4">
      <c r="J4209" s="140"/>
      <c r="N4209" s="211"/>
    </row>
    <row r="4210" spans="10:14" x14ac:dyDescent="0.4">
      <c r="J4210" s="140"/>
      <c r="N4210" s="211"/>
    </row>
    <row r="4211" spans="10:14" x14ac:dyDescent="0.4">
      <c r="J4211" s="140"/>
      <c r="N4211" s="211"/>
    </row>
    <row r="4212" spans="10:14" x14ac:dyDescent="0.4">
      <c r="J4212" s="140"/>
      <c r="N4212" s="211"/>
    </row>
    <row r="4213" spans="10:14" x14ac:dyDescent="0.4">
      <c r="J4213" s="140"/>
      <c r="N4213" s="211"/>
    </row>
    <row r="4214" spans="10:14" x14ac:dyDescent="0.4">
      <c r="J4214" s="140"/>
      <c r="N4214" s="211"/>
    </row>
    <row r="4215" spans="10:14" x14ac:dyDescent="0.4">
      <c r="J4215" s="140"/>
      <c r="N4215" s="211"/>
    </row>
    <row r="4216" spans="10:14" x14ac:dyDescent="0.4">
      <c r="J4216" s="140"/>
      <c r="N4216" s="211"/>
    </row>
    <row r="4217" spans="10:14" x14ac:dyDescent="0.4">
      <c r="J4217" s="140"/>
      <c r="N4217" s="211"/>
    </row>
    <row r="4218" spans="10:14" x14ac:dyDescent="0.4">
      <c r="J4218" s="140"/>
      <c r="N4218" s="211"/>
    </row>
    <row r="4219" spans="10:14" x14ac:dyDescent="0.4">
      <c r="J4219" s="140"/>
      <c r="N4219" s="211"/>
    </row>
    <row r="4220" spans="10:14" x14ac:dyDescent="0.4">
      <c r="J4220" s="140"/>
      <c r="N4220" s="211"/>
    </row>
    <row r="4221" spans="10:14" x14ac:dyDescent="0.4">
      <c r="J4221" s="140"/>
      <c r="N4221" s="211"/>
    </row>
    <row r="4222" spans="10:14" x14ac:dyDescent="0.4">
      <c r="J4222" s="140"/>
      <c r="N4222" s="211"/>
    </row>
    <row r="4223" spans="10:14" x14ac:dyDescent="0.4">
      <c r="J4223" s="140"/>
      <c r="N4223" s="211"/>
    </row>
    <row r="4224" spans="10:14" x14ac:dyDescent="0.4">
      <c r="J4224" s="140"/>
      <c r="N4224" s="211"/>
    </row>
    <row r="4225" spans="10:14" x14ac:dyDescent="0.4">
      <c r="J4225" s="140"/>
      <c r="N4225" s="211"/>
    </row>
    <row r="4226" spans="10:14" x14ac:dyDescent="0.4">
      <c r="J4226" s="140"/>
      <c r="N4226" s="211"/>
    </row>
    <row r="4227" spans="10:14" x14ac:dyDescent="0.4">
      <c r="J4227" s="140"/>
      <c r="N4227" s="211"/>
    </row>
    <row r="4228" spans="10:14" x14ac:dyDescent="0.4">
      <c r="J4228" s="140"/>
      <c r="N4228" s="211"/>
    </row>
    <row r="4229" spans="10:14" x14ac:dyDescent="0.4">
      <c r="J4229" s="140"/>
      <c r="N4229" s="211"/>
    </row>
    <row r="4230" spans="10:14" x14ac:dyDescent="0.4">
      <c r="J4230" s="140"/>
      <c r="N4230" s="211"/>
    </row>
    <row r="4231" spans="10:14" x14ac:dyDescent="0.4">
      <c r="J4231" s="140"/>
      <c r="N4231" s="211"/>
    </row>
    <row r="4232" spans="10:14" x14ac:dyDescent="0.4">
      <c r="J4232" s="140"/>
      <c r="N4232" s="211"/>
    </row>
    <row r="4233" spans="10:14" x14ac:dyDescent="0.4">
      <c r="J4233" s="140"/>
      <c r="N4233" s="211"/>
    </row>
    <row r="4234" spans="10:14" x14ac:dyDescent="0.4">
      <c r="J4234" s="140"/>
      <c r="N4234" s="211"/>
    </row>
    <row r="4235" spans="10:14" x14ac:dyDescent="0.4">
      <c r="J4235" s="140"/>
      <c r="N4235" s="211"/>
    </row>
    <row r="4236" spans="10:14" x14ac:dyDescent="0.4">
      <c r="J4236" s="140"/>
      <c r="N4236" s="211"/>
    </row>
    <row r="4237" spans="10:14" x14ac:dyDescent="0.4">
      <c r="J4237" s="140"/>
      <c r="N4237" s="211"/>
    </row>
    <row r="4238" spans="10:14" x14ac:dyDescent="0.4">
      <c r="J4238" s="140"/>
      <c r="N4238" s="211"/>
    </row>
    <row r="4239" spans="10:14" x14ac:dyDescent="0.4">
      <c r="J4239" s="140"/>
      <c r="N4239" s="211"/>
    </row>
    <row r="4240" spans="10:14" x14ac:dyDescent="0.4">
      <c r="J4240" s="140"/>
      <c r="N4240" s="211"/>
    </row>
    <row r="4241" spans="10:14" x14ac:dyDescent="0.4">
      <c r="J4241" s="140"/>
      <c r="N4241" s="211"/>
    </row>
    <row r="4242" spans="10:14" x14ac:dyDescent="0.4">
      <c r="J4242" s="140"/>
      <c r="N4242" s="211"/>
    </row>
    <row r="4243" spans="10:14" x14ac:dyDescent="0.4">
      <c r="J4243" s="140"/>
      <c r="N4243" s="211"/>
    </row>
    <row r="4244" spans="10:14" x14ac:dyDescent="0.4">
      <c r="J4244" s="140"/>
      <c r="N4244" s="211"/>
    </row>
    <row r="4245" spans="10:14" x14ac:dyDescent="0.4">
      <c r="J4245" s="140"/>
      <c r="N4245" s="211"/>
    </row>
    <row r="4246" spans="10:14" x14ac:dyDescent="0.4">
      <c r="J4246" s="140"/>
      <c r="N4246" s="211"/>
    </row>
    <row r="4247" spans="10:14" x14ac:dyDescent="0.4">
      <c r="J4247" s="140"/>
      <c r="N4247" s="211"/>
    </row>
    <row r="4248" spans="10:14" x14ac:dyDescent="0.4">
      <c r="J4248" s="140"/>
      <c r="N4248" s="211"/>
    </row>
    <row r="4249" spans="10:14" x14ac:dyDescent="0.4">
      <c r="J4249" s="140"/>
      <c r="N4249" s="211"/>
    </row>
    <row r="4250" spans="10:14" x14ac:dyDescent="0.4">
      <c r="J4250" s="140"/>
      <c r="N4250" s="211"/>
    </row>
    <row r="4251" spans="10:14" x14ac:dyDescent="0.4">
      <c r="J4251" s="140"/>
      <c r="N4251" s="211"/>
    </row>
    <row r="4252" spans="10:14" x14ac:dyDescent="0.4">
      <c r="J4252" s="140"/>
      <c r="N4252" s="211"/>
    </row>
    <row r="4253" spans="10:14" x14ac:dyDescent="0.4">
      <c r="J4253" s="140"/>
      <c r="N4253" s="211"/>
    </row>
    <row r="4254" spans="10:14" x14ac:dyDescent="0.4">
      <c r="J4254" s="140"/>
      <c r="N4254" s="211"/>
    </row>
    <row r="4255" spans="10:14" x14ac:dyDescent="0.4">
      <c r="J4255" s="140"/>
      <c r="N4255" s="211"/>
    </row>
    <row r="4256" spans="10:14" x14ac:dyDescent="0.4">
      <c r="J4256" s="140"/>
      <c r="N4256" s="211"/>
    </row>
    <row r="4257" spans="10:14" x14ac:dyDescent="0.4">
      <c r="J4257" s="140"/>
      <c r="N4257" s="211"/>
    </row>
    <row r="4258" spans="10:14" x14ac:dyDescent="0.4">
      <c r="J4258" s="140"/>
      <c r="N4258" s="211"/>
    </row>
    <row r="4259" spans="10:14" x14ac:dyDescent="0.4">
      <c r="J4259" s="140"/>
      <c r="N4259" s="211"/>
    </row>
    <row r="4260" spans="10:14" x14ac:dyDescent="0.4">
      <c r="J4260" s="140"/>
      <c r="N4260" s="211"/>
    </row>
    <row r="4261" spans="10:14" x14ac:dyDescent="0.4">
      <c r="J4261" s="140"/>
      <c r="N4261" s="211"/>
    </row>
    <row r="4262" spans="10:14" x14ac:dyDescent="0.4">
      <c r="J4262" s="140"/>
      <c r="N4262" s="211"/>
    </row>
    <row r="4263" spans="10:14" x14ac:dyDescent="0.4">
      <c r="J4263" s="140"/>
      <c r="N4263" s="211"/>
    </row>
    <row r="4264" spans="10:14" x14ac:dyDescent="0.4">
      <c r="J4264" s="140"/>
      <c r="N4264" s="211"/>
    </row>
    <row r="4265" spans="10:14" x14ac:dyDescent="0.4">
      <c r="J4265" s="140"/>
      <c r="N4265" s="211"/>
    </row>
    <row r="4266" spans="10:14" x14ac:dyDescent="0.4">
      <c r="J4266" s="140"/>
      <c r="N4266" s="211"/>
    </row>
    <row r="4267" spans="10:14" x14ac:dyDescent="0.4">
      <c r="J4267" s="140"/>
      <c r="N4267" s="211"/>
    </row>
    <row r="4268" spans="10:14" x14ac:dyDescent="0.4">
      <c r="J4268" s="140"/>
      <c r="N4268" s="211"/>
    </row>
    <row r="4269" spans="10:14" x14ac:dyDescent="0.4">
      <c r="J4269" s="140"/>
      <c r="N4269" s="211"/>
    </row>
    <row r="4270" spans="10:14" x14ac:dyDescent="0.4">
      <c r="J4270" s="140"/>
      <c r="N4270" s="211"/>
    </row>
    <row r="4271" spans="10:14" x14ac:dyDescent="0.4">
      <c r="J4271" s="140"/>
      <c r="N4271" s="211"/>
    </row>
    <row r="4272" spans="10:14" x14ac:dyDescent="0.4">
      <c r="J4272" s="140"/>
      <c r="N4272" s="211"/>
    </row>
    <row r="4273" spans="10:14" x14ac:dyDescent="0.4">
      <c r="J4273" s="140"/>
      <c r="N4273" s="211"/>
    </row>
    <row r="4274" spans="10:14" x14ac:dyDescent="0.4">
      <c r="J4274" s="140"/>
      <c r="N4274" s="211"/>
    </row>
    <row r="4275" spans="10:14" x14ac:dyDescent="0.4">
      <c r="J4275" s="140"/>
      <c r="N4275" s="211"/>
    </row>
    <row r="4276" spans="10:14" x14ac:dyDescent="0.4">
      <c r="J4276" s="140"/>
      <c r="N4276" s="211"/>
    </row>
    <row r="4277" spans="10:14" x14ac:dyDescent="0.4">
      <c r="J4277" s="140"/>
      <c r="N4277" s="211"/>
    </row>
    <row r="4278" spans="10:14" x14ac:dyDescent="0.4">
      <c r="J4278" s="140"/>
      <c r="N4278" s="211"/>
    </row>
    <row r="4279" spans="10:14" x14ac:dyDescent="0.4">
      <c r="J4279" s="140"/>
      <c r="N4279" s="211"/>
    </row>
    <row r="4280" spans="10:14" x14ac:dyDescent="0.4">
      <c r="J4280" s="140"/>
      <c r="N4280" s="211"/>
    </row>
    <row r="4281" spans="10:14" x14ac:dyDescent="0.4">
      <c r="J4281" s="140"/>
      <c r="N4281" s="211"/>
    </row>
    <row r="4282" spans="10:14" x14ac:dyDescent="0.4">
      <c r="J4282" s="140"/>
      <c r="N4282" s="211"/>
    </row>
    <row r="4283" spans="10:14" x14ac:dyDescent="0.4">
      <c r="J4283" s="140"/>
      <c r="N4283" s="211"/>
    </row>
    <row r="4284" spans="10:14" x14ac:dyDescent="0.4">
      <c r="J4284" s="140"/>
      <c r="N4284" s="211"/>
    </row>
    <row r="4285" spans="10:14" x14ac:dyDescent="0.4">
      <c r="J4285" s="140"/>
      <c r="N4285" s="211"/>
    </row>
    <row r="4286" spans="10:14" x14ac:dyDescent="0.4">
      <c r="J4286" s="140"/>
      <c r="N4286" s="211"/>
    </row>
    <row r="4287" spans="10:14" x14ac:dyDescent="0.4">
      <c r="J4287" s="140"/>
      <c r="N4287" s="211"/>
    </row>
    <row r="4288" spans="10:14" x14ac:dyDescent="0.4">
      <c r="J4288" s="140"/>
      <c r="N4288" s="211"/>
    </row>
    <row r="4289" spans="10:14" x14ac:dyDescent="0.4">
      <c r="J4289" s="140"/>
      <c r="N4289" s="211"/>
    </row>
    <row r="4290" spans="10:14" x14ac:dyDescent="0.4">
      <c r="J4290" s="140"/>
      <c r="N4290" s="211"/>
    </row>
    <row r="4291" spans="10:14" x14ac:dyDescent="0.4">
      <c r="J4291" s="140"/>
      <c r="N4291" s="211"/>
    </row>
    <row r="4292" spans="10:14" x14ac:dyDescent="0.4">
      <c r="J4292" s="140"/>
      <c r="N4292" s="211"/>
    </row>
    <row r="4293" spans="10:14" x14ac:dyDescent="0.4">
      <c r="J4293" s="140"/>
      <c r="N4293" s="211"/>
    </row>
    <row r="4294" spans="10:14" x14ac:dyDescent="0.4">
      <c r="J4294" s="140"/>
      <c r="N4294" s="211"/>
    </row>
    <row r="4295" spans="10:14" x14ac:dyDescent="0.4">
      <c r="J4295" s="140"/>
      <c r="N4295" s="211"/>
    </row>
    <row r="4296" spans="10:14" x14ac:dyDescent="0.4">
      <c r="J4296" s="140"/>
      <c r="N4296" s="211"/>
    </row>
    <row r="4297" spans="10:14" x14ac:dyDescent="0.4">
      <c r="J4297" s="140"/>
      <c r="N4297" s="211"/>
    </row>
    <row r="4298" spans="10:14" x14ac:dyDescent="0.4">
      <c r="J4298" s="140"/>
      <c r="N4298" s="211"/>
    </row>
    <row r="4299" spans="10:14" x14ac:dyDescent="0.4">
      <c r="J4299" s="140"/>
      <c r="N4299" s="211"/>
    </row>
    <row r="4300" spans="10:14" x14ac:dyDescent="0.4">
      <c r="J4300" s="140"/>
      <c r="N4300" s="211"/>
    </row>
    <row r="4301" spans="10:14" x14ac:dyDescent="0.4">
      <c r="J4301" s="140"/>
      <c r="N4301" s="211"/>
    </row>
    <row r="4302" spans="10:14" x14ac:dyDescent="0.4">
      <c r="J4302" s="140"/>
      <c r="N4302" s="211"/>
    </row>
    <row r="4303" spans="10:14" x14ac:dyDescent="0.4">
      <c r="J4303" s="140"/>
      <c r="N4303" s="211"/>
    </row>
    <row r="4304" spans="10:14" x14ac:dyDescent="0.4">
      <c r="J4304" s="140"/>
      <c r="N4304" s="211"/>
    </row>
    <row r="4305" spans="10:14" x14ac:dyDescent="0.4">
      <c r="J4305" s="140"/>
      <c r="N4305" s="211"/>
    </row>
    <row r="4306" spans="10:14" x14ac:dyDescent="0.4">
      <c r="J4306" s="140"/>
      <c r="N4306" s="211"/>
    </row>
    <row r="4307" spans="10:14" x14ac:dyDescent="0.4">
      <c r="J4307" s="140"/>
      <c r="N4307" s="211"/>
    </row>
    <row r="4308" spans="10:14" x14ac:dyDescent="0.4">
      <c r="J4308" s="140"/>
      <c r="N4308" s="211"/>
    </row>
    <row r="4309" spans="10:14" x14ac:dyDescent="0.4">
      <c r="J4309" s="140"/>
      <c r="N4309" s="211"/>
    </row>
    <row r="4310" spans="10:14" x14ac:dyDescent="0.4">
      <c r="J4310" s="140"/>
      <c r="N4310" s="211"/>
    </row>
    <row r="4311" spans="10:14" x14ac:dyDescent="0.4">
      <c r="J4311" s="140"/>
      <c r="N4311" s="211"/>
    </row>
    <row r="4312" spans="10:14" x14ac:dyDescent="0.4">
      <c r="J4312" s="140"/>
      <c r="N4312" s="211"/>
    </row>
    <row r="4313" spans="10:14" x14ac:dyDescent="0.4">
      <c r="J4313" s="140"/>
      <c r="N4313" s="211"/>
    </row>
    <row r="4314" spans="10:14" x14ac:dyDescent="0.4">
      <c r="J4314" s="140"/>
      <c r="N4314" s="211"/>
    </row>
    <row r="4315" spans="10:14" x14ac:dyDescent="0.4">
      <c r="J4315" s="140"/>
      <c r="N4315" s="211"/>
    </row>
    <row r="4316" spans="10:14" x14ac:dyDescent="0.4">
      <c r="J4316" s="140"/>
      <c r="N4316" s="211"/>
    </row>
    <row r="4317" spans="10:14" x14ac:dyDescent="0.4">
      <c r="J4317" s="140"/>
      <c r="N4317" s="211"/>
    </row>
    <row r="4318" spans="10:14" x14ac:dyDescent="0.4">
      <c r="J4318" s="140"/>
      <c r="N4318" s="211"/>
    </row>
    <row r="4319" spans="10:14" x14ac:dyDescent="0.4">
      <c r="J4319" s="140"/>
      <c r="N4319" s="211"/>
    </row>
    <row r="4320" spans="10:14" x14ac:dyDescent="0.4">
      <c r="J4320" s="140"/>
      <c r="N4320" s="211"/>
    </row>
    <row r="4321" spans="10:14" x14ac:dyDescent="0.4">
      <c r="J4321" s="140"/>
      <c r="N4321" s="211"/>
    </row>
    <row r="4322" spans="10:14" x14ac:dyDescent="0.4">
      <c r="J4322" s="140"/>
      <c r="N4322" s="211"/>
    </row>
    <row r="4323" spans="10:14" x14ac:dyDescent="0.4">
      <c r="J4323" s="140"/>
      <c r="N4323" s="211"/>
    </row>
    <row r="4324" spans="10:14" x14ac:dyDescent="0.4">
      <c r="J4324" s="140"/>
      <c r="N4324" s="211"/>
    </row>
    <row r="4325" spans="10:14" x14ac:dyDescent="0.4">
      <c r="J4325" s="140"/>
      <c r="N4325" s="211"/>
    </row>
    <row r="4326" spans="10:14" x14ac:dyDescent="0.4">
      <c r="J4326" s="140"/>
      <c r="N4326" s="211"/>
    </row>
    <row r="4327" spans="10:14" x14ac:dyDescent="0.4">
      <c r="J4327" s="140"/>
      <c r="N4327" s="211"/>
    </row>
    <row r="4328" spans="10:14" x14ac:dyDescent="0.4">
      <c r="J4328" s="140"/>
      <c r="N4328" s="211"/>
    </row>
    <row r="4329" spans="10:14" x14ac:dyDescent="0.4">
      <c r="J4329" s="140"/>
      <c r="N4329" s="211"/>
    </row>
    <row r="4330" spans="10:14" x14ac:dyDescent="0.4">
      <c r="J4330" s="140"/>
      <c r="N4330" s="211"/>
    </row>
    <row r="4331" spans="10:14" x14ac:dyDescent="0.4">
      <c r="J4331" s="140"/>
      <c r="N4331" s="211"/>
    </row>
    <row r="4332" spans="10:14" x14ac:dyDescent="0.4">
      <c r="J4332" s="140"/>
      <c r="N4332" s="211"/>
    </row>
    <row r="4333" spans="10:14" x14ac:dyDescent="0.4">
      <c r="J4333" s="140"/>
      <c r="N4333" s="211"/>
    </row>
    <row r="4334" spans="10:14" x14ac:dyDescent="0.4">
      <c r="J4334" s="140"/>
      <c r="N4334" s="211"/>
    </row>
    <row r="4335" spans="10:14" x14ac:dyDescent="0.4">
      <c r="J4335" s="140"/>
      <c r="N4335" s="211"/>
    </row>
    <row r="4336" spans="10:14" x14ac:dyDescent="0.4">
      <c r="J4336" s="140"/>
      <c r="N4336" s="211"/>
    </row>
    <row r="4337" spans="10:14" x14ac:dyDescent="0.4">
      <c r="J4337" s="140"/>
      <c r="N4337" s="211"/>
    </row>
    <row r="4338" spans="10:14" x14ac:dyDescent="0.4">
      <c r="J4338" s="140"/>
      <c r="N4338" s="211"/>
    </row>
    <row r="4339" spans="10:14" x14ac:dyDescent="0.4">
      <c r="J4339" s="140"/>
      <c r="N4339" s="211"/>
    </row>
    <row r="4340" spans="10:14" x14ac:dyDescent="0.4">
      <c r="J4340" s="140"/>
      <c r="N4340" s="211"/>
    </row>
    <row r="4341" spans="10:14" x14ac:dyDescent="0.4">
      <c r="J4341" s="140"/>
      <c r="N4341" s="211"/>
    </row>
    <row r="4342" spans="10:14" x14ac:dyDescent="0.4">
      <c r="J4342" s="140"/>
      <c r="N4342" s="211"/>
    </row>
    <row r="4343" spans="10:14" x14ac:dyDescent="0.4">
      <c r="J4343" s="140"/>
      <c r="N4343" s="211"/>
    </row>
    <row r="4344" spans="10:14" x14ac:dyDescent="0.4">
      <c r="J4344" s="140"/>
      <c r="N4344" s="211"/>
    </row>
    <row r="4345" spans="10:14" x14ac:dyDescent="0.4">
      <c r="J4345" s="140"/>
      <c r="N4345" s="211"/>
    </row>
    <row r="4346" spans="10:14" x14ac:dyDescent="0.4">
      <c r="J4346" s="140"/>
      <c r="N4346" s="211"/>
    </row>
    <row r="4347" spans="10:14" x14ac:dyDescent="0.4">
      <c r="J4347" s="140"/>
      <c r="N4347" s="211"/>
    </row>
    <row r="4348" spans="10:14" x14ac:dyDescent="0.4">
      <c r="J4348" s="140"/>
      <c r="N4348" s="211"/>
    </row>
    <row r="4349" spans="10:14" x14ac:dyDescent="0.4">
      <c r="J4349" s="140"/>
      <c r="N4349" s="211"/>
    </row>
    <row r="4350" spans="10:14" x14ac:dyDescent="0.4">
      <c r="J4350" s="140"/>
      <c r="N4350" s="211"/>
    </row>
    <row r="4351" spans="10:14" x14ac:dyDescent="0.4">
      <c r="J4351" s="140"/>
      <c r="N4351" s="211"/>
    </row>
    <row r="4352" spans="10:14" x14ac:dyDescent="0.4">
      <c r="J4352" s="140"/>
      <c r="N4352" s="211"/>
    </row>
    <row r="4353" spans="10:14" x14ac:dyDescent="0.4">
      <c r="J4353" s="140"/>
      <c r="N4353" s="211"/>
    </row>
    <row r="4354" spans="10:14" x14ac:dyDescent="0.4">
      <c r="J4354" s="140"/>
      <c r="N4354" s="211"/>
    </row>
    <row r="4355" spans="10:14" x14ac:dyDescent="0.4">
      <c r="J4355" s="140"/>
      <c r="N4355" s="211"/>
    </row>
    <row r="4356" spans="10:14" x14ac:dyDescent="0.4">
      <c r="J4356" s="140"/>
      <c r="N4356" s="211"/>
    </row>
    <row r="4357" spans="10:14" x14ac:dyDescent="0.4">
      <c r="J4357" s="140"/>
      <c r="N4357" s="211"/>
    </row>
    <row r="4358" spans="10:14" x14ac:dyDescent="0.4">
      <c r="J4358" s="140"/>
      <c r="N4358" s="211"/>
    </row>
    <row r="4359" spans="10:14" x14ac:dyDescent="0.4">
      <c r="J4359" s="140"/>
      <c r="N4359" s="211"/>
    </row>
    <row r="4360" spans="10:14" x14ac:dyDescent="0.4">
      <c r="J4360" s="140"/>
      <c r="N4360" s="211"/>
    </row>
    <row r="4361" spans="10:14" x14ac:dyDescent="0.4">
      <c r="J4361" s="140"/>
      <c r="N4361" s="211"/>
    </row>
    <row r="4362" spans="10:14" x14ac:dyDescent="0.4">
      <c r="J4362" s="140"/>
      <c r="N4362" s="211"/>
    </row>
    <row r="4363" spans="10:14" x14ac:dyDescent="0.4">
      <c r="J4363" s="140"/>
      <c r="N4363" s="211"/>
    </row>
    <row r="4364" spans="10:14" x14ac:dyDescent="0.4">
      <c r="J4364" s="140"/>
      <c r="N4364" s="211"/>
    </row>
    <row r="4365" spans="10:14" x14ac:dyDescent="0.4">
      <c r="J4365" s="140"/>
      <c r="N4365" s="211"/>
    </row>
    <row r="4366" spans="10:14" x14ac:dyDescent="0.4">
      <c r="J4366" s="140"/>
      <c r="N4366" s="211"/>
    </row>
    <row r="4367" spans="10:14" x14ac:dyDescent="0.4">
      <c r="J4367" s="140"/>
      <c r="N4367" s="211"/>
    </row>
    <row r="4368" spans="10:14" x14ac:dyDescent="0.4">
      <c r="J4368" s="140"/>
      <c r="N4368" s="211"/>
    </row>
    <row r="4369" spans="10:14" x14ac:dyDescent="0.4">
      <c r="J4369" s="140"/>
      <c r="N4369" s="211"/>
    </row>
    <row r="4370" spans="10:14" x14ac:dyDescent="0.4">
      <c r="J4370" s="140"/>
      <c r="N4370" s="211"/>
    </row>
    <row r="4371" spans="10:14" x14ac:dyDescent="0.4">
      <c r="J4371" s="140"/>
      <c r="N4371" s="211"/>
    </row>
    <row r="4372" spans="10:14" x14ac:dyDescent="0.4">
      <c r="J4372" s="140"/>
      <c r="N4372" s="211"/>
    </row>
    <row r="4373" spans="10:14" x14ac:dyDescent="0.4">
      <c r="J4373" s="140"/>
      <c r="N4373" s="211"/>
    </row>
    <row r="4374" spans="10:14" x14ac:dyDescent="0.4">
      <c r="J4374" s="140"/>
      <c r="N4374" s="211"/>
    </row>
    <row r="4375" spans="10:14" x14ac:dyDescent="0.4">
      <c r="J4375" s="140"/>
      <c r="N4375" s="211"/>
    </row>
    <row r="4376" spans="10:14" x14ac:dyDescent="0.4">
      <c r="J4376" s="140"/>
      <c r="N4376" s="211"/>
    </row>
    <row r="4377" spans="10:14" x14ac:dyDescent="0.4">
      <c r="J4377" s="140"/>
      <c r="N4377" s="211"/>
    </row>
    <row r="4378" spans="10:14" x14ac:dyDescent="0.4">
      <c r="J4378" s="140"/>
      <c r="N4378" s="211"/>
    </row>
    <row r="4379" spans="10:14" x14ac:dyDescent="0.4">
      <c r="J4379" s="140"/>
      <c r="N4379" s="211"/>
    </row>
    <row r="4380" spans="10:14" x14ac:dyDescent="0.4">
      <c r="J4380" s="140"/>
      <c r="N4380" s="211"/>
    </row>
    <row r="4381" spans="10:14" x14ac:dyDescent="0.4">
      <c r="J4381" s="140"/>
      <c r="N4381" s="211"/>
    </row>
    <row r="4382" spans="10:14" x14ac:dyDescent="0.4">
      <c r="J4382" s="140"/>
      <c r="N4382" s="211"/>
    </row>
    <row r="4383" spans="10:14" x14ac:dyDescent="0.4">
      <c r="J4383" s="140"/>
      <c r="N4383" s="211"/>
    </row>
    <row r="4384" spans="10:14" x14ac:dyDescent="0.4">
      <c r="J4384" s="140"/>
      <c r="N4384" s="211"/>
    </row>
    <row r="4385" spans="10:14" x14ac:dyDescent="0.4">
      <c r="J4385" s="140"/>
      <c r="N4385" s="211"/>
    </row>
    <row r="4386" spans="10:14" x14ac:dyDescent="0.4">
      <c r="J4386" s="140"/>
      <c r="N4386" s="211"/>
    </row>
    <row r="4387" spans="10:14" x14ac:dyDescent="0.4">
      <c r="J4387" s="140"/>
      <c r="N4387" s="211"/>
    </row>
    <row r="4388" spans="10:14" x14ac:dyDescent="0.4">
      <c r="J4388" s="140"/>
      <c r="N4388" s="211"/>
    </row>
    <row r="4389" spans="10:14" x14ac:dyDescent="0.4">
      <c r="J4389" s="140"/>
      <c r="N4389" s="211"/>
    </row>
    <row r="4390" spans="10:14" x14ac:dyDescent="0.4">
      <c r="J4390" s="140"/>
      <c r="N4390" s="211"/>
    </row>
    <row r="4391" spans="10:14" x14ac:dyDescent="0.4">
      <c r="J4391" s="140"/>
      <c r="N4391" s="211"/>
    </row>
    <row r="4392" spans="10:14" x14ac:dyDescent="0.4">
      <c r="J4392" s="140"/>
      <c r="N4392" s="211"/>
    </row>
    <row r="4393" spans="10:14" x14ac:dyDescent="0.4">
      <c r="J4393" s="140"/>
      <c r="N4393" s="211"/>
    </row>
    <row r="4394" spans="10:14" x14ac:dyDescent="0.4">
      <c r="J4394" s="140"/>
      <c r="N4394" s="211"/>
    </row>
    <row r="4395" spans="10:14" x14ac:dyDescent="0.4">
      <c r="J4395" s="140"/>
      <c r="N4395" s="211"/>
    </row>
    <row r="4396" spans="10:14" x14ac:dyDescent="0.4">
      <c r="J4396" s="140"/>
      <c r="N4396" s="211"/>
    </row>
    <row r="4397" spans="10:14" x14ac:dyDescent="0.4">
      <c r="J4397" s="140"/>
      <c r="N4397" s="211"/>
    </row>
    <row r="4398" spans="10:14" x14ac:dyDescent="0.4">
      <c r="J4398" s="140"/>
      <c r="N4398" s="211"/>
    </row>
    <row r="4399" spans="10:14" x14ac:dyDescent="0.4">
      <c r="J4399" s="140"/>
      <c r="N4399" s="211"/>
    </row>
    <row r="4400" spans="10:14" x14ac:dyDescent="0.4">
      <c r="J4400" s="140"/>
      <c r="N4400" s="211"/>
    </row>
    <row r="4401" spans="10:14" x14ac:dyDescent="0.4">
      <c r="J4401" s="140"/>
      <c r="N4401" s="211"/>
    </row>
    <row r="4402" spans="10:14" x14ac:dyDescent="0.4">
      <c r="J4402" s="140"/>
      <c r="N4402" s="211"/>
    </row>
    <row r="4403" spans="10:14" x14ac:dyDescent="0.4">
      <c r="J4403" s="140"/>
      <c r="N4403" s="211"/>
    </row>
    <row r="4404" spans="10:14" x14ac:dyDescent="0.4">
      <c r="J4404" s="140"/>
      <c r="N4404" s="211"/>
    </row>
    <row r="4405" spans="10:14" x14ac:dyDescent="0.4">
      <c r="J4405" s="140"/>
      <c r="N4405" s="211"/>
    </row>
    <row r="4406" spans="10:14" x14ac:dyDescent="0.4">
      <c r="J4406" s="140"/>
      <c r="N4406" s="211"/>
    </row>
    <row r="4407" spans="10:14" x14ac:dyDescent="0.4">
      <c r="J4407" s="140"/>
      <c r="N4407" s="211"/>
    </row>
    <row r="4408" spans="10:14" x14ac:dyDescent="0.4">
      <c r="J4408" s="140"/>
      <c r="N4408" s="211"/>
    </row>
    <row r="4409" spans="10:14" x14ac:dyDescent="0.4">
      <c r="J4409" s="140"/>
      <c r="N4409" s="211"/>
    </row>
    <row r="4410" spans="10:14" x14ac:dyDescent="0.4">
      <c r="J4410" s="140"/>
      <c r="N4410" s="211"/>
    </row>
    <row r="4411" spans="10:14" x14ac:dyDescent="0.4">
      <c r="J4411" s="140"/>
      <c r="N4411" s="211"/>
    </row>
    <row r="4412" spans="10:14" x14ac:dyDescent="0.4">
      <c r="J4412" s="140"/>
      <c r="N4412" s="211"/>
    </row>
    <row r="4413" spans="10:14" x14ac:dyDescent="0.4">
      <c r="J4413" s="140"/>
      <c r="N4413" s="211"/>
    </row>
    <row r="4414" spans="10:14" x14ac:dyDescent="0.4">
      <c r="J4414" s="140"/>
      <c r="N4414" s="211"/>
    </row>
    <row r="4415" spans="10:14" x14ac:dyDescent="0.4">
      <c r="J4415" s="140"/>
      <c r="N4415" s="211"/>
    </row>
    <row r="4416" spans="10:14" x14ac:dyDescent="0.4">
      <c r="J4416" s="140"/>
      <c r="N4416" s="211"/>
    </row>
    <row r="4417" spans="10:14" x14ac:dyDescent="0.4">
      <c r="J4417" s="140"/>
      <c r="N4417" s="211"/>
    </row>
    <row r="4418" spans="10:14" x14ac:dyDescent="0.4">
      <c r="J4418" s="140"/>
      <c r="N4418" s="211"/>
    </row>
    <row r="4419" spans="10:14" x14ac:dyDescent="0.4">
      <c r="J4419" s="140"/>
      <c r="N4419" s="211"/>
    </row>
    <row r="4420" spans="10:14" x14ac:dyDescent="0.4">
      <c r="J4420" s="140"/>
      <c r="N4420" s="211"/>
    </row>
    <row r="4421" spans="10:14" x14ac:dyDescent="0.4">
      <c r="J4421" s="140"/>
      <c r="N4421" s="211"/>
    </row>
    <row r="4422" spans="10:14" x14ac:dyDescent="0.4">
      <c r="J4422" s="140"/>
      <c r="N4422" s="211"/>
    </row>
    <row r="4423" spans="10:14" x14ac:dyDescent="0.4">
      <c r="J4423" s="140"/>
      <c r="N4423" s="211"/>
    </row>
    <row r="4424" spans="10:14" x14ac:dyDescent="0.4">
      <c r="J4424" s="140"/>
      <c r="N4424" s="211"/>
    </row>
    <row r="4425" spans="10:14" x14ac:dyDescent="0.4">
      <c r="J4425" s="140"/>
      <c r="N4425" s="211"/>
    </row>
    <row r="4426" spans="10:14" x14ac:dyDescent="0.4">
      <c r="J4426" s="140"/>
      <c r="N4426" s="211"/>
    </row>
    <row r="4427" spans="10:14" x14ac:dyDescent="0.4">
      <c r="J4427" s="140"/>
      <c r="N4427" s="211"/>
    </row>
    <row r="4428" spans="10:14" x14ac:dyDescent="0.4">
      <c r="J4428" s="140"/>
      <c r="N4428" s="211"/>
    </row>
    <row r="4429" spans="10:14" x14ac:dyDescent="0.4">
      <c r="J4429" s="140"/>
      <c r="N4429" s="211"/>
    </row>
    <row r="4430" spans="10:14" x14ac:dyDescent="0.4">
      <c r="J4430" s="140"/>
      <c r="N4430" s="211"/>
    </row>
    <row r="4431" spans="10:14" x14ac:dyDescent="0.4">
      <c r="J4431" s="140"/>
      <c r="N4431" s="211"/>
    </row>
    <row r="4432" spans="10:14" x14ac:dyDescent="0.4">
      <c r="J4432" s="140"/>
      <c r="N4432" s="211"/>
    </row>
    <row r="4433" spans="10:14" x14ac:dyDescent="0.4">
      <c r="J4433" s="140"/>
      <c r="N4433" s="211"/>
    </row>
    <row r="4434" spans="10:14" x14ac:dyDescent="0.4">
      <c r="J4434" s="140"/>
      <c r="N4434" s="211"/>
    </row>
    <row r="4435" spans="10:14" x14ac:dyDescent="0.4">
      <c r="J4435" s="140"/>
      <c r="N4435" s="211"/>
    </row>
    <row r="4436" spans="10:14" x14ac:dyDescent="0.4">
      <c r="J4436" s="140"/>
      <c r="N4436" s="211"/>
    </row>
    <row r="4437" spans="10:14" x14ac:dyDescent="0.4">
      <c r="J4437" s="140"/>
      <c r="N4437" s="211"/>
    </row>
    <row r="4438" spans="10:14" x14ac:dyDescent="0.4">
      <c r="J4438" s="140"/>
      <c r="N4438" s="211"/>
    </row>
    <row r="4439" spans="10:14" x14ac:dyDescent="0.4">
      <c r="J4439" s="140"/>
      <c r="N4439" s="211"/>
    </row>
    <row r="4440" spans="10:14" x14ac:dyDescent="0.4">
      <c r="J4440" s="140"/>
      <c r="N4440" s="211"/>
    </row>
    <row r="4441" spans="10:14" x14ac:dyDescent="0.4">
      <c r="J4441" s="140"/>
      <c r="N4441" s="211"/>
    </row>
    <row r="4442" spans="10:14" x14ac:dyDescent="0.4">
      <c r="J4442" s="140"/>
      <c r="N4442" s="211"/>
    </row>
    <row r="4443" spans="10:14" x14ac:dyDescent="0.4">
      <c r="J4443" s="140"/>
      <c r="N4443" s="211"/>
    </row>
    <row r="4444" spans="10:14" x14ac:dyDescent="0.4">
      <c r="J4444" s="140"/>
      <c r="N4444" s="211"/>
    </row>
    <row r="4445" spans="10:14" x14ac:dyDescent="0.4">
      <c r="J4445" s="140"/>
      <c r="N4445" s="211"/>
    </row>
    <row r="4446" spans="10:14" x14ac:dyDescent="0.4">
      <c r="J4446" s="140"/>
      <c r="N4446" s="211"/>
    </row>
    <row r="4447" spans="10:14" x14ac:dyDescent="0.4">
      <c r="J4447" s="140"/>
      <c r="N4447" s="211"/>
    </row>
    <row r="4448" spans="10:14" x14ac:dyDescent="0.4">
      <c r="J4448" s="140"/>
      <c r="N4448" s="211"/>
    </row>
    <row r="4449" spans="10:14" x14ac:dyDescent="0.4">
      <c r="J4449" s="140"/>
      <c r="N4449" s="211"/>
    </row>
    <row r="4450" spans="10:14" x14ac:dyDescent="0.4">
      <c r="J4450" s="140"/>
      <c r="N4450" s="211"/>
    </row>
    <row r="4451" spans="10:14" x14ac:dyDescent="0.4">
      <c r="J4451" s="140"/>
      <c r="N4451" s="211"/>
    </row>
    <row r="4452" spans="10:14" x14ac:dyDescent="0.4">
      <c r="J4452" s="140"/>
      <c r="N4452" s="211"/>
    </row>
    <row r="4453" spans="10:14" x14ac:dyDescent="0.4">
      <c r="J4453" s="140"/>
      <c r="N4453" s="211"/>
    </row>
    <row r="4454" spans="10:14" x14ac:dyDescent="0.4">
      <c r="J4454" s="140"/>
      <c r="N4454" s="211"/>
    </row>
    <row r="4455" spans="10:14" x14ac:dyDescent="0.4">
      <c r="J4455" s="140"/>
      <c r="N4455" s="211"/>
    </row>
    <row r="4456" spans="10:14" x14ac:dyDescent="0.4">
      <c r="J4456" s="140"/>
      <c r="N4456" s="211"/>
    </row>
    <row r="4457" spans="10:14" x14ac:dyDescent="0.4">
      <c r="J4457" s="140"/>
      <c r="N4457" s="211"/>
    </row>
    <row r="4458" spans="10:14" x14ac:dyDescent="0.4">
      <c r="J4458" s="140"/>
      <c r="N4458" s="211"/>
    </row>
    <row r="4459" spans="10:14" x14ac:dyDescent="0.4">
      <c r="J4459" s="140"/>
      <c r="N4459" s="211"/>
    </row>
    <row r="4460" spans="10:14" x14ac:dyDescent="0.4">
      <c r="J4460" s="140"/>
      <c r="N4460" s="211"/>
    </row>
    <row r="4461" spans="10:14" x14ac:dyDescent="0.4">
      <c r="J4461" s="140"/>
      <c r="N4461" s="211"/>
    </row>
    <row r="4462" spans="10:14" x14ac:dyDescent="0.4">
      <c r="J4462" s="140"/>
      <c r="N4462" s="211"/>
    </row>
    <row r="4463" spans="10:14" x14ac:dyDescent="0.4">
      <c r="J4463" s="140"/>
      <c r="N4463" s="211"/>
    </row>
    <row r="4464" spans="10:14" x14ac:dyDescent="0.4">
      <c r="J4464" s="140"/>
      <c r="N4464" s="211"/>
    </row>
    <row r="4465" spans="10:14" x14ac:dyDescent="0.4">
      <c r="J4465" s="140"/>
      <c r="N4465" s="211"/>
    </row>
    <row r="4466" spans="10:14" x14ac:dyDescent="0.4">
      <c r="J4466" s="140"/>
      <c r="N4466" s="211"/>
    </row>
    <row r="4467" spans="10:14" x14ac:dyDescent="0.4">
      <c r="J4467" s="140"/>
      <c r="N4467" s="211"/>
    </row>
    <row r="4468" spans="10:14" x14ac:dyDescent="0.4">
      <c r="J4468" s="140"/>
      <c r="N4468" s="211"/>
    </row>
    <row r="4469" spans="10:14" x14ac:dyDescent="0.4">
      <c r="J4469" s="140"/>
      <c r="N4469" s="211"/>
    </row>
    <row r="4470" spans="10:14" x14ac:dyDescent="0.4">
      <c r="J4470" s="140"/>
      <c r="N4470" s="211"/>
    </row>
    <row r="4471" spans="10:14" x14ac:dyDescent="0.4">
      <c r="J4471" s="140"/>
      <c r="N4471" s="211"/>
    </row>
    <row r="4472" spans="10:14" x14ac:dyDescent="0.4">
      <c r="J4472" s="140"/>
      <c r="N4472" s="211"/>
    </row>
    <row r="4473" spans="10:14" x14ac:dyDescent="0.4">
      <c r="J4473" s="140"/>
      <c r="N4473" s="211"/>
    </row>
    <row r="4474" spans="10:14" x14ac:dyDescent="0.4">
      <c r="J4474" s="140"/>
      <c r="N4474" s="211"/>
    </row>
    <row r="4475" spans="10:14" x14ac:dyDescent="0.4">
      <c r="J4475" s="140"/>
      <c r="N4475" s="211"/>
    </row>
    <row r="4476" spans="10:14" x14ac:dyDescent="0.4">
      <c r="J4476" s="140"/>
      <c r="N4476" s="211"/>
    </row>
    <row r="4477" spans="10:14" x14ac:dyDescent="0.4">
      <c r="J4477" s="140"/>
      <c r="N4477" s="211"/>
    </row>
    <row r="4478" spans="10:14" x14ac:dyDescent="0.4">
      <c r="J4478" s="140"/>
      <c r="N4478" s="211"/>
    </row>
    <row r="4479" spans="10:14" x14ac:dyDescent="0.4">
      <c r="J4479" s="140"/>
      <c r="N4479" s="211"/>
    </row>
    <row r="4480" spans="10:14" x14ac:dyDescent="0.4">
      <c r="J4480" s="140"/>
      <c r="N4480" s="211"/>
    </row>
    <row r="4481" spans="10:14" x14ac:dyDescent="0.4">
      <c r="J4481" s="140"/>
      <c r="N4481" s="211"/>
    </row>
    <row r="4482" spans="10:14" x14ac:dyDescent="0.4">
      <c r="J4482" s="140"/>
      <c r="N4482" s="211"/>
    </row>
    <row r="4483" spans="10:14" x14ac:dyDescent="0.4">
      <c r="J4483" s="140"/>
      <c r="N4483" s="211"/>
    </row>
    <row r="4484" spans="10:14" x14ac:dyDescent="0.4">
      <c r="J4484" s="140"/>
      <c r="N4484" s="211"/>
    </row>
    <row r="4485" spans="10:14" x14ac:dyDescent="0.4">
      <c r="J4485" s="140"/>
      <c r="N4485" s="211"/>
    </row>
    <row r="4486" spans="10:14" x14ac:dyDescent="0.4">
      <c r="J4486" s="140"/>
      <c r="N4486" s="211"/>
    </row>
    <row r="4487" spans="10:14" x14ac:dyDescent="0.4">
      <c r="J4487" s="140"/>
      <c r="N4487" s="211"/>
    </row>
    <row r="4488" spans="10:14" x14ac:dyDescent="0.4">
      <c r="J4488" s="140"/>
      <c r="N4488" s="211"/>
    </row>
    <row r="4489" spans="10:14" x14ac:dyDescent="0.4">
      <c r="J4489" s="140"/>
      <c r="N4489" s="211"/>
    </row>
    <row r="4490" spans="10:14" x14ac:dyDescent="0.4">
      <c r="J4490" s="140"/>
      <c r="N4490" s="211"/>
    </row>
    <row r="4491" spans="10:14" x14ac:dyDescent="0.4">
      <c r="J4491" s="140"/>
      <c r="N4491" s="211"/>
    </row>
    <row r="4492" spans="10:14" x14ac:dyDescent="0.4">
      <c r="J4492" s="140"/>
      <c r="N4492" s="211"/>
    </row>
    <row r="4493" spans="10:14" x14ac:dyDescent="0.4">
      <c r="J4493" s="140"/>
      <c r="N4493" s="211"/>
    </row>
    <row r="4494" spans="10:14" x14ac:dyDescent="0.4">
      <c r="J4494" s="140"/>
      <c r="N4494" s="211"/>
    </row>
    <row r="4495" spans="10:14" x14ac:dyDescent="0.4">
      <c r="J4495" s="140"/>
      <c r="N4495" s="211"/>
    </row>
    <row r="4496" spans="10:14" x14ac:dyDescent="0.4">
      <c r="J4496" s="140"/>
      <c r="N4496" s="211"/>
    </row>
    <row r="4497" spans="10:14" x14ac:dyDescent="0.4">
      <c r="J4497" s="140"/>
      <c r="N4497" s="211"/>
    </row>
    <row r="4498" spans="10:14" x14ac:dyDescent="0.4">
      <c r="J4498" s="140"/>
      <c r="N4498" s="211"/>
    </row>
    <row r="4499" spans="10:14" x14ac:dyDescent="0.4">
      <c r="J4499" s="140"/>
      <c r="N4499" s="211"/>
    </row>
    <row r="4500" spans="10:14" x14ac:dyDescent="0.4">
      <c r="J4500" s="140"/>
      <c r="N4500" s="211"/>
    </row>
    <row r="4501" spans="10:14" x14ac:dyDescent="0.4">
      <c r="J4501" s="140"/>
      <c r="N4501" s="211"/>
    </row>
    <row r="4502" spans="10:14" x14ac:dyDescent="0.4">
      <c r="J4502" s="140"/>
      <c r="N4502" s="211"/>
    </row>
    <row r="4503" spans="10:14" x14ac:dyDescent="0.4">
      <c r="J4503" s="140"/>
      <c r="N4503" s="211"/>
    </row>
    <row r="4504" spans="10:14" x14ac:dyDescent="0.4">
      <c r="J4504" s="140"/>
      <c r="N4504" s="211"/>
    </row>
    <row r="4505" spans="10:14" x14ac:dyDescent="0.4">
      <c r="J4505" s="140"/>
      <c r="N4505" s="211"/>
    </row>
    <row r="4506" spans="10:14" x14ac:dyDescent="0.4">
      <c r="J4506" s="140"/>
      <c r="N4506" s="211"/>
    </row>
    <row r="4507" spans="10:14" x14ac:dyDescent="0.4">
      <c r="J4507" s="140"/>
      <c r="N4507" s="211"/>
    </row>
    <row r="4508" spans="10:14" x14ac:dyDescent="0.4">
      <c r="J4508" s="140"/>
      <c r="N4508" s="211"/>
    </row>
    <row r="4509" spans="10:14" x14ac:dyDescent="0.4">
      <c r="J4509" s="140"/>
      <c r="N4509" s="211"/>
    </row>
    <row r="4510" spans="10:14" x14ac:dyDescent="0.4">
      <c r="J4510" s="140"/>
      <c r="N4510" s="211"/>
    </row>
    <row r="4511" spans="10:14" x14ac:dyDescent="0.4">
      <c r="J4511" s="140"/>
      <c r="N4511" s="211"/>
    </row>
    <row r="4512" spans="10:14" x14ac:dyDescent="0.4">
      <c r="J4512" s="140"/>
      <c r="N4512" s="211"/>
    </row>
    <row r="4513" spans="10:14" x14ac:dyDescent="0.4">
      <c r="J4513" s="140"/>
      <c r="N4513" s="211"/>
    </row>
    <row r="4514" spans="10:14" x14ac:dyDescent="0.4">
      <c r="J4514" s="140"/>
      <c r="N4514" s="211"/>
    </row>
    <row r="4515" spans="10:14" x14ac:dyDescent="0.4">
      <c r="J4515" s="140"/>
      <c r="N4515" s="211"/>
    </row>
    <row r="4516" spans="10:14" x14ac:dyDescent="0.4">
      <c r="J4516" s="140"/>
      <c r="N4516" s="211"/>
    </row>
    <row r="4517" spans="10:14" x14ac:dyDescent="0.4">
      <c r="J4517" s="140"/>
      <c r="N4517" s="211"/>
    </row>
    <row r="4518" spans="10:14" x14ac:dyDescent="0.4">
      <c r="J4518" s="140"/>
      <c r="N4518" s="211"/>
    </row>
    <row r="4519" spans="10:14" x14ac:dyDescent="0.4">
      <c r="J4519" s="140"/>
      <c r="N4519" s="211"/>
    </row>
    <row r="4520" spans="10:14" x14ac:dyDescent="0.4">
      <c r="J4520" s="140"/>
      <c r="N4520" s="211"/>
    </row>
    <row r="4521" spans="10:14" x14ac:dyDescent="0.4">
      <c r="J4521" s="140"/>
      <c r="N4521" s="211"/>
    </row>
    <row r="4522" spans="10:14" x14ac:dyDescent="0.4">
      <c r="J4522" s="140"/>
      <c r="N4522" s="211"/>
    </row>
    <row r="4523" spans="10:14" x14ac:dyDescent="0.4">
      <c r="J4523" s="140"/>
      <c r="N4523" s="211"/>
    </row>
    <row r="4524" spans="10:14" x14ac:dyDescent="0.4">
      <c r="J4524" s="140"/>
      <c r="N4524" s="211"/>
    </row>
    <row r="4525" spans="10:14" x14ac:dyDescent="0.4">
      <c r="J4525" s="140"/>
      <c r="N4525" s="211"/>
    </row>
    <row r="4526" spans="10:14" x14ac:dyDescent="0.4">
      <c r="J4526" s="140"/>
      <c r="N4526" s="211"/>
    </row>
    <row r="4527" spans="10:14" x14ac:dyDescent="0.4">
      <c r="J4527" s="140"/>
      <c r="N4527" s="211"/>
    </row>
    <row r="4528" spans="10:14" x14ac:dyDescent="0.4">
      <c r="J4528" s="140"/>
      <c r="N4528" s="211"/>
    </row>
    <row r="4529" spans="10:14" x14ac:dyDescent="0.4">
      <c r="J4529" s="140"/>
      <c r="N4529" s="211"/>
    </row>
    <row r="4530" spans="10:14" x14ac:dyDescent="0.4">
      <c r="J4530" s="140"/>
      <c r="N4530" s="211"/>
    </row>
    <row r="4531" spans="10:14" x14ac:dyDescent="0.4">
      <c r="J4531" s="140"/>
      <c r="N4531" s="211"/>
    </row>
    <row r="4532" spans="10:14" x14ac:dyDescent="0.4">
      <c r="J4532" s="140"/>
      <c r="N4532" s="211"/>
    </row>
    <row r="4533" spans="10:14" x14ac:dyDescent="0.4">
      <c r="J4533" s="140"/>
      <c r="N4533" s="211"/>
    </row>
    <row r="4534" spans="10:14" x14ac:dyDescent="0.4">
      <c r="J4534" s="140"/>
      <c r="N4534" s="211"/>
    </row>
    <row r="4535" spans="10:14" x14ac:dyDescent="0.4">
      <c r="J4535" s="140"/>
      <c r="N4535" s="211"/>
    </row>
    <row r="4536" spans="10:14" x14ac:dyDescent="0.4">
      <c r="J4536" s="140"/>
      <c r="N4536" s="211"/>
    </row>
    <row r="4537" spans="10:14" x14ac:dyDescent="0.4">
      <c r="J4537" s="140"/>
      <c r="N4537" s="211"/>
    </row>
    <row r="4538" spans="10:14" x14ac:dyDescent="0.4">
      <c r="J4538" s="140"/>
      <c r="N4538" s="211"/>
    </row>
    <row r="4539" spans="10:14" x14ac:dyDescent="0.4">
      <c r="J4539" s="140"/>
      <c r="N4539" s="211"/>
    </row>
    <row r="4540" spans="10:14" x14ac:dyDescent="0.4">
      <c r="J4540" s="140"/>
      <c r="N4540" s="211"/>
    </row>
    <row r="4541" spans="10:14" x14ac:dyDescent="0.4">
      <c r="J4541" s="140"/>
      <c r="N4541" s="211"/>
    </row>
    <row r="4542" spans="10:14" x14ac:dyDescent="0.4">
      <c r="J4542" s="140"/>
      <c r="N4542" s="211"/>
    </row>
    <row r="4543" spans="10:14" x14ac:dyDescent="0.4">
      <c r="J4543" s="140"/>
      <c r="N4543" s="211"/>
    </row>
    <row r="4544" spans="10:14" x14ac:dyDescent="0.4">
      <c r="J4544" s="140"/>
      <c r="N4544" s="211"/>
    </row>
    <row r="4545" spans="10:14" x14ac:dyDescent="0.4">
      <c r="J4545" s="140"/>
      <c r="N4545" s="211"/>
    </row>
    <row r="4546" spans="10:14" x14ac:dyDescent="0.4">
      <c r="J4546" s="140"/>
      <c r="N4546" s="211"/>
    </row>
    <row r="4547" spans="10:14" x14ac:dyDescent="0.4">
      <c r="J4547" s="140"/>
      <c r="N4547" s="211"/>
    </row>
    <row r="4548" spans="10:14" x14ac:dyDescent="0.4">
      <c r="J4548" s="140"/>
      <c r="N4548" s="211"/>
    </row>
    <row r="4549" spans="10:14" x14ac:dyDescent="0.4">
      <c r="J4549" s="140"/>
      <c r="N4549" s="211"/>
    </row>
    <row r="4550" spans="10:14" x14ac:dyDescent="0.4">
      <c r="J4550" s="140"/>
      <c r="N4550" s="211"/>
    </row>
    <row r="4551" spans="10:14" x14ac:dyDescent="0.4">
      <c r="J4551" s="140"/>
      <c r="N4551" s="211"/>
    </row>
    <row r="4552" spans="10:14" x14ac:dyDescent="0.4">
      <c r="J4552" s="140"/>
      <c r="N4552" s="211"/>
    </row>
    <row r="4553" spans="10:14" x14ac:dyDescent="0.4">
      <c r="J4553" s="140"/>
      <c r="N4553" s="211"/>
    </row>
    <row r="4554" spans="10:14" x14ac:dyDescent="0.4">
      <c r="J4554" s="140"/>
      <c r="N4554" s="211"/>
    </row>
    <row r="4555" spans="10:14" x14ac:dyDescent="0.4">
      <c r="J4555" s="140"/>
      <c r="N4555" s="211"/>
    </row>
    <row r="4556" spans="10:14" x14ac:dyDescent="0.4">
      <c r="J4556" s="140"/>
      <c r="N4556" s="211"/>
    </row>
    <row r="4557" spans="10:14" x14ac:dyDescent="0.4">
      <c r="J4557" s="140"/>
      <c r="N4557" s="211"/>
    </row>
    <row r="4558" spans="10:14" x14ac:dyDescent="0.4">
      <c r="J4558" s="140"/>
      <c r="N4558" s="211"/>
    </row>
    <row r="4559" spans="10:14" x14ac:dyDescent="0.4">
      <c r="J4559" s="140"/>
      <c r="N4559" s="211"/>
    </row>
    <row r="4560" spans="10:14" x14ac:dyDescent="0.4">
      <c r="J4560" s="140"/>
      <c r="N4560" s="211"/>
    </row>
    <row r="4561" spans="10:14" x14ac:dyDescent="0.4">
      <c r="J4561" s="140"/>
      <c r="N4561" s="211"/>
    </row>
    <row r="4562" spans="10:14" x14ac:dyDescent="0.4">
      <c r="J4562" s="140"/>
      <c r="N4562" s="211"/>
    </row>
    <row r="4563" spans="10:14" x14ac:dyDescent="0.4">
      <c r="J4563" s="140"/>
      <c r="N4563" s="211"/>
    </row>
    <row r="4564" spans="10:14" x14ac:dyDescent="0.4">
      <c r="J4564" s="140"/>
      <c r="N4564" s="211"/>
    </row>
    <row r="4565" spans="10:14" x14ac:dyDescent="0.4">
      <c r="J4565" s="140"/>
      <c r="N4565" s="211"/>
    </row>
    <row r="4566" spans="10:14" x14ac:dyDescent="0.4">
      <c r="J4566" s="140"/>
      <c r="N4566" s="211"/>
    </row>
    <row r="4567" spans="10:14" x14ac:dyDescent="0.4">
      <c r="J4567" s="140"/>
      <c r="N4567" s="211"/>
    </row>
    <row r="4568" spans="10:14" x14ac:dyDescent="0.4">
      <c r="J4568" s="140"/>
      <c r="N4568" s="211"/>
    </row>
    <row r="4569" spans="10:14" x14ac:dyDescent="0.4">
      <c r="J4569" s="140"/>
      <c r="N4569" s="211"/>
    </row>
    <row r="4570" spans="10:14" x14ac:dyDescent="0.4">
      <c r="J4570" s="140"/>
      <c r="N4570" s="211"/>
    </row>
    <row r="4571" spans="10:14" x14ac:dyDescent="0.4">
      <c r="J4571" s="140"/>
      <c r="N4571" s="211"/>
    </row>
    <row r="4572" spans="10:14" x14ac:dyDescent="0.4">
      <c r="J4572" s="140"/>
      <c r="N4572" s="211"/>
    </row>
    <row r="4573" spans="10:14" x14ac:dyDescent="0.4">
      <c r="J4573" s="140"/>
      <c r="N4573" s="211"/>
    </row>
    <row r="4574" spans="10:14" x14ac:dyDescent="0.4">
      <c r="J4574" s="140"/>
      <c r="N4574" s="211"/>
    </row>
    <row r="4575" spans="10:14" x14ac:dyDescent="0.4">
      <c r="J4575" s="140"/>
      <c r="N4575" s="211"/>
    </row>
    <row r="4576" spans="10:14" x14ac:dyDescent="0.4">
      <c r="J4576" s="140"/>
      <c r="N4576" s="211"/>
    </row>
    <row r="4577" spans="10:14" x14ac:dyDescent="0.4">
      <c r="J4577" s="140"/>
      <c r="N4577" s="211"/>
    </row>
    <row r="4578" spans="10:14" x14ac:dyDescent="0.4">
      <c r="J4578" s="140"/>
      <c r="N4578" s="211"/>
    </row>
    <row r="4579" spans="10:14" x14ac:dyDescent="0.4">
      <c r="J4579" s="140"/>
      <c r="N4579" s="211"/>
    </row>
    <row r="4580" spans="10:14" x14ac:dyDescent="0.4">
      <c r="J4580" s="140"/>
      <c r="N4580" s="211"/>
    </row>
    <row r="4581" spans="10:14" x14ac:dyDescent="0.4">
      <c r="J4581" s="140"/>
      <c r="N4581" s="211"/>
    </row>
    <row r="4582" spans="10:14" x14ac:dyDescent="0.4">
      <c r="J4582" s="140"/>
      <c r="N4582" s="211"/>
    </row>
    <row r="4583" spans="10:14" x14ac:dyDescent="0.4">
      <c r="J4583" s="140"/>
      <c r="N4583" s="211"/>
    </row>
    <row r="4584" spans="10:14" x14ac:dyDescent="0.4">
      <c r="J4584" s="140"/>
      <c r="N4584" s="211"/>
    </row>
    <row r="4585" spans="10:14" x14ac:dyDescent="0.4">
      <c r="J4585" s="140"/>
      <c r="N4585" s="211"/>
    </row>
    <row r="4586" spans="10:14" x14ac:dyDescent="0.4">
      <c r="J4586" s="140"/>
      <c r="N4586" s="211"/>
    </row>
    <row r="4587" spans="10:14" x14ac:dyDescent="0.4">
      <c r="J4587" s="140"/>
      <c r="N4587" s="211"/>
    </row>
    <row r="4588" spans="10:14" x14ac:dyDescent="0.4">
      <c r="J4588" s="140"/>
      <c r="N4588" s="211"/>
    </row>
    <row r="4589" spans="10:14" x14ac:dyDescent="0.4">
      <c r="J4589" s="140"/>
      <c r="N4589" s="211"/>
    </row>
    <row r="4590" spans="10:14" x14ac:dyDescent="0.4">
      <c r="J4590" s="140"/>
      <c r="N4590" s="211"/>
    </row>
    <row r="4591" spans="10:14" x14ac:dyDescent="0.4">
      <c r="J4591" s="140"/>
      <c r="N4591" s="211"/>
    </row>
    <row r="4592" spans="10:14" x14ac:dyDescent="0.4">
      <c r="J4592" s="140"/>
      <c r="N4592" s="211"/>
    </row>
    <row r="4593" spans="10:14" x14ac:dyDescent="0.4">
      <c r="J4593" s="140"/>
      <c r="N4593" s="211"/>
    </row>
    <row r="4594" spans="10:14" x14ac:dyDescent="0.4">
      <c r="J4594" s="140"/>
      <c r="N4594" s="211"/>
    </row>
    <row r="4595" spans="10:14" x14ac:dyDescent="0.4">
      <c r="J4595" s="140"/>
      <c r="N4595" s="211"/>
    </row>
    <row r="4596" spans="10:14" x14ac:dyDescent="0.4">
      <c r="J4596" s="140"/>
      <c r="N4596" s="211"/>
    </row>
    <row r="4597" spans="10:14" x14ac:dyDescent="0.4">
      <c r="J4597" s="140"/>
      <c r="N4597" s="211"/>
    </row>
    <row r="4598" spans="10:14" x14ac:dyDescent="0.4">
      <c r="J4598" s="140"/>
      <c r="N4598" s="211"/>
    </row>
    <row r="4599" spans="10:14" x14ac:dyDescent="0.4">
      <c r="J4599" s="140"/>
      <c r="N4599" s="211"/>
    </row>
    <row r="4600" spans="10:14" x14ac:dyDescent="0.4">
      <c r="J4600" s="140"/>
      <c r="N4600" s="211"/>
    </row>
    <row r="4601" spans="10:14" x14ac:dyDescent="0.4">
      <c r="J4601" s="140"/>
      <c r="N4601" s="211"/>
    </row>
    <row r="4602" spans="10:14" x14ac:dyDescent="0.4">
      <c r="J4602" s="140"/>
      <c r="N4602" s="211"/>
    </row>
    <row r="4603" spans="10:14" x14ac:dyDescent="0.4">
      <c r="J4603" s="140"/>
      <c r="N4603" s="211"/>
    </row>
    <row r="4604" spans="10:14" x14ac:dyDescent="0.4">
      <c r="J4604" s="140"/>
      <c r="N4604" s="211"/>
    </row>
    <row r="4605" spans="10:14" x14ac:dyDescent="0.4">
      <c r="J4605" s="140"/>
      <c r="N4605" s="211"/>
    </row>
    <row r="4606" spans="10:14" x14ac:dyDescent="0.4">
      <c r="J4606" s="140"/>
      <c r="N4606" s="211"/>
    </row>
    <row r="4607" spans="10:14" x14ac:dyDescent="0.4">
      <c r="J4607" s="140"/>
      <c r="N4607" s="211"/>
    </row>
    <row r="4608" spans="10:14" x14ac:dyDescent="0.4">
      <c r="J4608" s="140"/>
      <c r="N4608" s="211"/>
    </row>
    <row r="4609" spans="10:14" x14ac:dyDescent="0.4">
      <c r="J4609" s="140"/>
      <c r="N4609" s="211"/>
    </row>
    <row r="4610" spans="10:14" x14ac:dyDescent="0.4">
      <c r="J4610" s="140"/>
      <c r="N4610" s="211"/>
    </row>
    <row r="4611" spans="10:14" x14ac:dyDescent="0.4">
      <c r="J4611" s="140"/>
      <c r="N4611" s="211"/>
    </row>
    <row r="4612" spans="10:14" x14ac:dyDescent="0.4">
      <c r="J4612" s="140"/>
      <c r="N4612" s="211"/>
    </row>
    <row r="4613" spans="10:14" x14ac:dyDescent="0.4">
      <c r="J4613" s="140"/>
      <c r="N4613" s="211"/>
    </row>
    <row r="4614" spans="10:14" x14ac:dyDescent="0.4">
      <c r="J4614" s="140"/>
      <c r="N4614" s="211"/>
    </row>
    <row r="4615" spans="10:14" x14ac:dyDescent="0.4">
      <c r="J4615" s="140"/>
      <c r="N4615" s="211"/>
    </row>
    <row r="4616" spans="10:14" x14ac:dyDescent="0.4">
      <c r="J4616" s="140"/>
      <c r="N4616" s="211"/>
    </row>
    <row r="4617" spans="10:14" x14ac:dyDescent="0.4">
      <c r="J4617" s="140"/>
      <c r="N4617" s="211"/>
    </row>
    <row r="4618" spans="10:14" x14ac:dyDescent="0.4">
      <c r="J4618" s="140"/>
      <c r="N4618" s="211"/>
    </row>
    <row r="4619" spans="10:14" x14ac:dyDescent="0.4">
      <c r="J4619" s="140"/>
      <c r="N4619" s="211"/>
    </row>
    <row r="4620" spans="10:14" x14ac:dyDescent="0.4">
      <c r="J4620" s="140"/>
      <c r="N4620" s="211"/>
    </row>
    <row r="4621" spans="10:14" x14ac:dyDescent="0.4">
      <c r="J4621" s="140"/>
      <c r="N4621" s="211"/>
    </row>
    <row r="4622" spans="10:14" x14ac:dyDescent="0.4">
      <c r="J4622" s="140"/>
      <c r="N4622" s="211"/>
    </row>
    <row r="4623" spans="10:14" x14ac:dyDescent="0.4">
      <c r="J4623" s="140"/>
      <c r="N4623" s="211"/>
    </row>
    <row r="4624" spans="10:14" x14ac:dyDescent="0.4">
      <c r="J4624" s="140"/>
      <c r="N4624" s="211"/>
    </row>
    <row r="4625" spans="10:14" x14ac:dyDescent="0.4">
      <c r="J4625" s="140"/>
      <c r="N4625" s="211"/>
    </row>
    <row r="4626" spans="10:14" x14ac:dyDescent="0.4">
      <c r="J4626" s="140"/>
      <c r="N4626" s="211"/>
    </row>
    <row r="4627" spans="10:14" x14ac:dyDescent="0.4">
      <c r="J4627" s="140"/>
      <c r="N4627" s="211"/>
    </row>
    <row r="4628" spans="10:14" x14ac:dyDescent="0.4">
      <c r="J4628" s="140"/>
      <c r="N4628" s="211"/>
    </row>
    <row r="4629" spans="10:14" x14ac:dyDescent="0.4">
      <c r="J4629" s="140"/>
      <c r="N4629" s="211"/>
    </row>
    <row r="4630" spans="10:14" x14ac:dyDescent="0.4">
      <c r="J4630" s="140"/>
      <c r="N4630" s="211"/>
    </row>
    <row r="4631" spans="10:14" x14ac:dyDescent="0.4">
      <c r="J4631" s="140"/>
      <c r="N4631" s="211"/>
    </row>
    <row r="4632" spans="10:14" x14ac:dyDescent="0.4">
      <c r="J4632" s="140"/>
      <c r="N4632" s="211"/>
    </row>
    <row r="4633" spans="10:14" x14ac:dyDescent="0.4">
      <c r="J4633" s="140"/>
      <c r="N4633" s="211"/>
    </row>
    <row r="4634" spans="10:14" x14ac:dyDescent="0.4">
      <c r="J4634" s="140"/>
      <c r="N4634" s="211"/>
    </row>
    <row r="4635" spans="10:14" x14ac:dyDescent="0.4">
      <c r="J4635" s="140"/>
      <c r="N4635" s="211"/>
    </row>
    <row r="4636" spans="10:14" x14ac:dyDescent="0.4">
      <c r="J4636" s="140"/>
      <c r="N4636" s="211"/>
    </row>
    <row r="4637" spans="10:14" x14ac:dyDescent="0.4">
      <c r="J4637" s="140"/>
      <c r="N4637" s="211"/>
    </row>
    <row r="4638" spans="10:14" x14ac:dyDescent="0.4">
      <c r="J4638" s="140"/>
      <c r="N4638" s="211"/>
    </row>
    <row r="4639" spans="10:14" x14ac:dyDescent="0.4">
      <c r="J4639" s="140"/>
      <c r="N4639" s="211"/>
    </row>
    <row r="4640" spans="10:14" x14ac:dyDescent="0.4">
      <c r="J4640" s="140"/>
      <c r="N4640" s="211"/>
    </row>
    <row r="4641" spans="10:14" x14ac:dyDescent="0.4">
      <c r="J4641" s="140"/>
      <c r="N4641" s="211"/>
    </row>
    <row r="4642" spans="10:14" x14ac:dyDescent="0.4">
      <c r="J4642" s="140"/>
      <c r="N4642" s="211"/>
    </row>
    <row r="4643" spans="10:14" x14ac:dyDescent="0.4">
      <c r="J4643" s="140"/>
      <c r="N4643" s="211"/>
    </row>
    <row r="4644" spans="10:14" x14ac:dyDescent="0.4">
      <c r="J4644" s="140"/>
      <c r="N4644" s="211"/>
    </row>
    <row r="4645" spans="10:14" x14ac:dyDescent="0.4">
      <c r="J4645" s="140"/>
      <c r="N4645" s="211"/>
    </row>
    <row r="4646" spans="10:14" x14ac:dyDescent="0.4">
      <c r="J4646" s="140"/>
      <c r="N4646" s="211"/>
    </row>
    <row r="4647" spans="10:14" x14ac:dyDescent="0.4">
      <c r="J4647" s="140"/>
      <c r="N4647" s="211"/>
    </row>
    <row r="4648" spans="10:14" x14ac:dyDescent="0.4">
      <c r="J4648" s="140"/>
      <c r="N4648" s="211"/>
    </row>
    <row r="4649" spans="10:14" x14ac:dyDescent="0.4">
      <c r="J4649" s="140"/>
      <c r="N4649" s="211"/>
    </row>
    <row r="4650" spans="10:14" x14ac:dyDescent="0.4">
      <c r="J4650" s="140"/>
      <c r="N4650" s="211"/>
    </row>
    <row r="4651" spans="10:14" x14ac:dyDescent="0.4">
      <c r="J4651" s="140"/>
      <c r="N4651" s="211"/>
    </row>
    <row r="4652" spans="10:14" x14ac:dyDescent="0.4">
      <c r="J4652" s="140"/>
      <c r="N4652" s="211"/>
    </row>
    <row r="4653" spans="10:14" x14ac:dyDescent="0.4">
      <c r="J4653" s="140"/>
      <c r="N4653" s="211"/>
    </row>
    <row r="4654" spans="10:14" x14ac:dyDescent="0.4">
      <c r="J4654" s="140"/>
      <c r="N4654" s="211"/>
    </row>
    <row r="4655" spans="10:14" x14ac:dyDescent="0.4">
      <c r="J4655" s="140"/>
      <c r="N4655" s="211"/>
    </row>
    <row r="4656" spans="10:14" x14ac:dyDescent="0.4">
      <c r="J4656" s="140"/>
      <c r="N4656" s="211"/>
    </row>
    <row r="4657" spans="10:14" x14ac:dyDescent="0.4">
      <c r="J4657" s="140"/>
      <c r="N4657" s="211"/>
    </row>
    <row r="4658" spans="10:14" x14ac:dyDescent="0.4">
      <c r="J4658" s="140"/>
      <c r="N4658" s="211"/>
    </row>
    <row r="4659" spans="10:14" x14ac:dyDescent="0.4">
      <c r="J4659" s="140"/>
      <c r="N4659" s="211"/>
    </row>
    <row r="4660" spans="10:14" x14ac:dyDescent="0.4">
      <c r="J4660" s="140"/>
      <c r="N4660" s="211"/>
    </row>
    <row r="4661" spans="10:14" x14ac:dyDescent="0.4">
      <c r="J4661" s="140"/>
      <c r="N4661" s="211"/>
    </row>
    <row r="4662" spans="10:14" x14ac:dyDescent="0.4">
      <c r="J4662" s="140"/>
      <c r="N4662" s="211"/>
    </row>
    <row r="4663" spans="10:14" x14ac:dyDescent="0.4">
      <c r="J4663" s="140"/>
      <c r="N4663" s="211"/>
    </row>
    <row r="4664" spans="10:14" x14ac:dyDescent="0.4">
      <c r="J4664" s="140"/>
      <c r="N4664" s="211"/>
    </row>
    <row r="4665" spans="10:14" x14ac:dyDescent="0.4">
      <c r="J4665" s="140"/>
      <c r="N4665" s="211"/>
    </row>
    <row r="4666" spans="10:14" x14ac:dyDescent="0.4">
      <c r="J4666" s="140"/>
      <c r="N4666" s="211"/>
    </row>
    <row r="4667" spans="10:14" x14ac:dyDescent="0.4">
      <c r="J4667" s="140"/>
      <c r="N4667" s="211"/>
    </row>
    <row r="4668" spans="10:14" x14ac:dyDescent="0.4">
      <c r="J4668" s="140"/>
      <c r="N4668" s="211"/>
    </row>
    <row r="4669" spans="10:14" x14ac:dyDescent="0.4">
      <c r="J4669" s="140"/>
      <c r="N4669" s="211"/>
    </row>
    <row r="4670" spans="10:14" x14ac:dyDescent="0.4">
      <c r="J4670" s="140"/>
      <c r="N4670" s="211"/>
    </row>
    <row r="4671" spans="10:14" x14ac:dyDescent="0.4">
      <c r="J4671" s="140"/>
      <c r="N4671" s="211"/>
    </row>
    <row r="4672" spans="10:14" x14ac:dyDescent="0.4">
      <c r="J4672" s="140"/>
      <c r="N4672" s="211"/>
    </row>
    <row r="4673" spans="10:14" x14ac:dyDescent="0.4">
      <c r="J4673" s="140"/>
      <c r="N4673" s="211"/>
    </row>
    <row r="4674" spans="10:14" x14ac:dyDescent="0.4">
      <c r="J4674" s="140"/>
      <c r="N4674" s="211"/>
    </row>
    <row r="4675" spans="10:14" x14ac:dyDescent="0.4">
      <c r="J4675" s="140"/>
      <c r="N4675" s="211"/>
    </row>
    <row r="4676" spans="10:14" x14ac:dyDescent="0.4">
      <c r="J4676" s="140"/>
      <c r="N4676" s="211"/>
    </row>
    <row r="4677" spans="10:14" x14ac:dyDescent="0.4">
      <c r="J4677" s="140"/>
      <c r="N4677" s="211"/>
    </row>
    <row r="4678" spans="10:14" x14ac:dyDescent="0.4">
      <c r="J4678" s="140"/>
      <c r="N4678" s="211"/>
    </row>
    <row r="4679" spans="10:14" x14ac:dyDescent="0.4">
      <c r="J4679" s="140"/>
      <c r="N4679" s="211"/>
    </row>
    <row r="4680" spans="10:14" x14ac:dyDescent="0.4">
      <c r="J4680" s="140"/>
      <c r="N4680" s="211"/>
    </row>
    <row r="4681" spans="10:14" x14ac:dyDescent="0.4">
      <c r="J4681" s="140"/>
      <c r="N4681" s="211"/>
    </row>
    <row r="4682" spans="10:14" x14ac:dyDescent="0.4">
      <c r="J4682" s="140"/>
      <c r="N4682" s="211"/>
    </row>
    <row r="4683" spans="10:14" x14ac:dyDescent="0.4">
      <c r="J4683" s="140"/>
      <c r="N4683" s="211"/>
    </row>
    <row r="4684" spans="10:14" x14ac:dyDescent="0.4">
      <c r="J4684" s="140"/>
      <c r="N4684" s="211"/>
    </row>
    <row r="4685" spans="10:14" x14ac:dyDescent="0.4">
      <c r="J4685" s="140"/>
      <c r="N4685" s="211"/>
    </row>
    <row r="4686" spans="10:14" x14ac:dyDescent="0.4">
      <c r="J4686" s="140"/>
      <c r="N4686" s="211"/>
    </row>
    <row r="4687" spans="10:14" x14ac:dyDescent="0.4">
      <c r="J4687" s="140"/>
      <c r="N4687" s="211"/>
    </row>
    <row r="4688" spans="10:14" x14ac:dyDescent="0.4">
      <c r="J4688" s="140"/>
      <c r="N4688" s="211"/>
    </row>
    <row r="4689" spans="10:14" x14ac:dyDescent="0.4">
      <c r="J4689" s="140"/>
      <c r="N4689" s="211"/>
    </row>
    <row r="4690" spans="10:14" x14ac:dyDescent="0.4">
      <c r="J4690" s="140"/>
      <c r="N4690" s="211"/>
    </row>
    <row r="4691" spans="10:14" x14ac:dyDescent="0.4">
      <c r="J4691" s="140"/>
      <c r="N4691" s="211"/>
    </row>
    <row r="4692" spans="10:14" x14ac:dyDescent="0.4">
      <c r="J4692" s="140"/>
      <c r="N4692" s="211"/>
    </row>
    <row r="4693" spans="10:14" x14ac:dyDescent="0.4">
      <c r="J4693" s="140"/>
      <c r="N4693" s="211"/>
    </row>
    <row r="4694" spans="10:14" x14ac:dyDescent="0.4">
      <c r="J4694" s="140"/>
      <c r="N4694" s="211"/>
    </row>
    <row r="4695" spans="10:14" x14ac:dyDescent="0.4">
      <c r="J4695" s="140"/>
      <c r="N4695" s="211"/>
    </row>
    <row r="4696" spans="10:14" x14ac:dyDescent="0.4">
      <c r="J4696" s="140"/>
      <c r="N4696" s="211"/>
    </row>
    <row r="4697" spans="10:14" x14ac:dyDescent="0.4">
      <c r="J4697" s="140"/>
      <c r="N4697" s="211"/>
    </row>
    <row r="4698" spans="10:14" x14ac:dyDescent="0.4">
      <c r="J4698" s="140"/>
      <c r="N4698" s="211"/>
    </row>
    <row r="4699" spans="10:14" x14ac:dyDescent="0.4">
      <c r="J4699" s="140"/>
      <c r="N4699" s="211"/>
    </row>
    <row r="4700" spans="10:14" x14ac:dyDescent="0.4">
      <c r="J4700" s="140"/>
      <c r="N4700" s="211"/>
    </row>
    <row r="4701" spans="10:14" x14ac:dyDescent="0.4">
      <c r="J4701" s="140"/>
      <c r="N4701" s="211"/>
    </row>
    <row r="4702" spans="10:14" x14ac:dyDescent="0.4">
      <c r="J4702" s="140"/>
      <c r="N4702" s="211"/>
    </row>
    <row r="4703" spans="10:14" x14ac:dyDescent="0.4">
      <c r="J4703" s="140"/>
      <c r="N4703" s="211"/>
    </row>
    <row r="4704" spans="10:14" x14ac:dyDescent="0.4">
      <c r="J4704" s="140"/>
      <c r="N4704" s="211"/>
    </row>
    <row r="4705" spans="10:14" x14ac:dyDescent="0.4">
      <c r="J4705" s="140"/>
      <c r="N4705" s="211"/>
    </row>
    <row r="4706" spans="10:14" x14ac:dyDescent="0.4">
      <c r="J4706" s="140"/>
      <c r="N4706" s="211"/>
    </row>
    <row r="4707" spans="10:14" x14ac:dyDescent="0.4">
      <c r="J4707" s="140"/>
      <c r="N4707" s="211"/>
    </row>
    <row r="4708" spans="10:14" x14ac:dyDescent="0.4">
      <c r="J4708" s="140"/>
      <c r="N4708" s="211"/>
    </row>
    <row r="4709" spans="10:14" x14ac:dyDescent="0.4">
      <c r="J4709" s="140"/>
      <c r="N4709" s="211"/>
    </row>
    <row r="4710" spans="10:14" x14ac:dyDescent="0.4">
      <c r="J4710" s="140"/>
      <c r="N4710" s="211"/>
    </row>
    <row r="4711" spans="10:14" x14ac:dyDescent="0.4">
      <c r="J4711" s="140"/>
      <c r="N4711" s="211"/>
    </row>
    <row r="4712" spans="10:14" x14ac:dyDescent="0.4">
      <c r="J4712" s="140"/>
      <c r="N4712" s="211"/>
    </row>
    <row r="4713" spans="10:14" x14ac:dyDescent="0.4">
      <c r="J4713" s="140"/>
      <c r="N4713" s="211"/>
    </row>
    <row r="4714" spans="10:14" x14ac:dyDescent="0.4">
      <c r="J4714" s="140"/>
      <c r="N4714" s="211"/>
    </row>
    <row r="4715" spans="10:14" x14ac:dyDescent="0.4">
      <c r="J4715" s="140"/>
      <c r="N4715" s="211"/>
    </row>
    <row r="4716" spans="10:14" x14ac:dyDescent="0.4">
      <c r="J4716" s="140"/>
      <c r="N4716" s="211"/>
    </row>
    <row r="4717" spans="10:14" x14ac:dyDescent="0.4">
      <c r="J4717" s="140"/>
      <c r="N4717" s="211"/>
    </row>
    <row r="4718" spans="10:14" x14ac:dyDescent="0.4">
      <c r="J4718" s="140"/>
      <c r="N4718" s="211"/>
    </row>
    <row r="4719" spans="10:14" x14ac:dyDescent="0.4">
      <c r="J4719" s="140"/>
      <c r="N4719" s="211"/>
    </row>
    <row r="4720" spans="10:14" x14ac:dyDescent="0.4">
      <c r="J4720" s="140"/>
      <c r="N4720" s="211"/>
    </row>
    <row r="4721" spans="10:14" x14ac:dyDescent="0.4">
      <c r="J4721" s="140"/>
      <c r="N4721" s="211"/>
    </row>
    <row r="4722" spans="10:14" x14ac:dyDescent="0.4">
      <c r="J4722" s="140"/>
      <c r="N4722" s="211"/>
    </row>
    <row r="4723" spans="10:14" x14ac:dyDescent="0.4">
      <c r="J4723" s="140"/>
      <c r="N4723" s="211"/>
    </row>
    <row r="4724" spans="10:14" x14ac:dyDescent="0.4">
      <c r="J4724" s="140"/>
      <c r="N4724" s="211"/>
    </row>
    <row r="4725" spans="10:14" x14ac:dyDescent="0.4">
      <c r="J4725" s="140"/>
      <c r="N4725" s="211"/>
    </row>
    <row r="4726" spans="10:14" x14ac:dyDescent="0.4">
      <c r="J4726" s="140"/>
      <c r="N4726" s="211"/>
    </row>
    <row r="4727" spans="10:14" x14ac:dyDescent="0.4">
      <c r="J4727" s="140"/>
      <c r="N4727" s="211"/>
    </row>
    <row r="4728" spans="10:14" x14ac:dyDescent="0.4">
      <c r="J4728" s="140"/>
      <c r="N4728" s="211"/>
    </row>
    <row r="4729" spans="10:14" x14ac:dyDescent="0.4">
      <c r="J4729" s="140"/>
      <c r="N4729" s="211"/>
    </row>
    <row r="4730" spans="10:14" x14ac:dyDescent="0.4">
      <c r="J4730" s="140"/>
      <c r="N4730" s="211"/>
    </row>
    <row r="4731" spans="10:14" x14ac:dyDescent="0.4">
      <c r="J4731" s="140"/>
      <c r="N4731" s="211"/>
    </row>
    <row r="4732" spans="10:14" x14ac:dyDescent="0.4">
      <c r="J4732" s="140"/>
      <c r="N4732" s="211"/>
    </row>
    <row r="4733" spans="10:14" x14ac:dyDescent="0.4">
      <c r="J4733" s="140"/>
      <c r="N4733" s="211"/>
    </row>
    <row r="4734" spans="10:14" x14ac:dyDescent="0.4">
      <c r="J4734" s="140"/>
      <c r="N4734" s="211"/>
    </row>
    <row r="4735" spans="10:14" x14ac:dyDescent="0.4">
      <c r="J4735" s="140"/>
      <c r="N4735" s="211"/>
    </row>
    <row r="4736" spans="10:14" x14ac:dyDescent="0.4">
      <c r="J4736" s="140"/>
      <c r="N4736" s="211"/>
    </row>
    <row r="4737" spans="10:14" x14ac:dyDescent="0.4">
      <c r="J4737" s="140"/>
      <c r="N4737" s="211"/>
    </row>
    <row r="4738" spans="10:14" x14ac:dyDescent="0.4">
      <c r="J4738" s="140"/>
      <c r="N4738" s="211"/>
    </row>
    <row r="4739" spans="10:14" x14ac:dyDescent="0.4">
      <c r="J4739" s="140"/>
      <c r="N4739" s="211"/>
    </row>
    <row r="4740" spans="10:14" x14ac:dyDescent="0.4">
      <c r="J4740" s="140"/>
      <c r="N4740" s="211"/>
    </row>
    <row r="4741" spans="10:14" x14ac:dyDescent="0.4">
      <c r="J4741" s="140"/>
      <c r="N4741" s="211"/>
    </row>
    <row r="4742" spans="10:14" x14ac:dyDescent="0.4">
      <c r="J4742" s="140"/>
      <c r="N4742" s="211"/>
    </row>
    <row r="4743" spans="10:14" x14ac:dyDescent="0.4">
      <c r="J4743" s="140"/>
      <c r="N4743" s="211"/>
    </row>
    <row r="4744" spans="10:14" x14ac:dyDescent="0.4">
      <c r="J4744" s="140"/>
      <c r="N4744" s="211"/>
    </row>
    <row r="4745" spans="10:14" x14ac:dyDescent="0.4">
      <c r="J4745" s="140"/>
      <c r="N4745" s="211"/>
    </row>
    <row r="4746" spans="10:14" x14ac:dyDescent="0.4">
      <c r="J4746" s="140"/>
      <c r="N4746" s="211"/>
    </row>
    <row r="4747" spans="10:14" x14ac:dyDescent="0.4">
      <c r="J4747" s="140"/>
      <c r="N4747" s="211"/>
    </row>
    <row r="4748" spans="10:14" x14ac:dyDescent="0.4">
      <c r="J4748" s="140"/>
      <c r="N4748" s="211"/>
    </row>
    <row r="4749" spans="10:14" x14ac:dyDescent="0.4">
      <c r="J4749" s="140"/>
      <c r="N4749" s="211"/>
    </row>
    <row r="4750" spans="10:14" x14ac:dyDescent="0.4">
      <c r="J4750" s="140"/>
      <c r="N4750" s="211"/>
    </row>
    <row r="4751" spans="10:14" x14ac:dyDescent="0.4">
      <c r="J4751" s="140"/>
      <c r="N4751" s="211"/>
    </row>
    <row r="4752" spans="10:14" x14ac:dyDescent="0.4">
      <c r="J4752" s="140"/>
      <c r="N4752" s="211"/>
    </row>
    <row r="4753" spans="10:14" x14ac:dyDescent="0.4">
      <c r="J4753" s="140"/>
      <c r="N4753" s="211"/>
    </row>
    <row r="4754" spans="10:14" x14ac:dyDescent="0.4">
      <c r="J4754" s="140"/>
      <c r="N4754" s="211"/>
    </row>
    <row r="4755" spans="10:14" x14ac:dyDescent="0.4">
      <c r="J4755" s="140"/>
      <c r="N4755" s="211"/>
    </row>
    <row r="4756" spans="10:14" x14ac:dyDescent="0.4">
      <c r="J4756" s="140"/>
      <c r="N4756" s="211"/>
    </row>
    <row r="4757" spans="10:14" x14ac:dyDescent="0.4">
      <c r="J4757" s="140"/>
      <c r="N4757" s="211"/>
    </row>
    <row r="4758" spans="10:14" x14ac:dyDescent="0.4">
      <c r="J4758" s="140"/>
      <c r="N4758" s="211"/>
    </row>
    <row r="4759" spans="10:14" x14ac:dyDescent="0.4">
      <c r="J4759" s="140"/>
      <c r="N4759" s="211"/>
    </row>
    <row r="4760" spans="10:14" x14ac:dyDescent="0.4">
      <c r="J4760" s="140"/>
      <c r="N4760" s="211"/>
    </row>
    <row r="4761" spans="10:14" x14ac:dyDescent="0.4">
      <c r="J4761" s="140"/>
      <c r="N4761" s="211"/>
    </row>
    <row r="4762" spans="10:14" x14ac:dyDescent="0.4">
      <c r="J4762" s="140"/>
      <c r="N4762" s="211"/>
    </row>
    <row r="4763" spans="10:14" x14ac:dyDescent="0.4">
      <c r="J4763" s="140"/>
      <c r="N4763" s="211"/>
    </row>
    <row r="4764" spans="10:14" x14ac:dyDescent="0.4">
      <c r="J4764" s="140"/>
      <c r="N4764" s="211"/>
    </row>
    <row r="4765" spans="10:14" x14ac:dyDescent="0.4">
      <c r="J4765" s="140"/>
      <c r="N4765" s="211"/>
    </row>
    <row r="4766" spans="10:14" x14ac:dyDescent="0.4">
      <c r="J4766" s="140"/>
      <c r="N4766" s="211"/>
    </row>
    <row r="4767" spans="10:14" x14ac:dyDescent="0.4">
      <c r="J4767" s="140"/>
      <c r="N4767" s="211"/>
    </row>
    <row r="4768" spans="10:14" x14ac:dyDescent="0.4">
      <c r="J4768" s="140"/>
      <c r="N4768" s="211"/>
    </row>
    <row r="4769" spans="10:14" x14ac:dyDescent="0.4">
      <c r="J4769" s="140"/>
      <c r="N4769" s="211"/>
    </row>
    <row r="4770" spans="10:14" x14ac:dyDescent="0.4">
      <c r="J4770" s="140"/>
      <c r="N4770" s="211"/>
    </row>
    <row r="4771" spans="10:14" x14ac:dyDescent="0.4">
      <c r="J4771" s="140"/>
      <c r="N4771" s="211"/>
    </row>
    <row r="4772" spans="10:14" x14ac:dyDescent="0.4">
      <c r="J4772" s="140"/>
      <c r="N4772" s="211"/>
    </row>
    <row r="4773" spans="10:14" x14ac:dyDescent="0.4">
      <c r="J4773" s="140"/>
      <c r="N4773" s="211"/>
    </row>
    <row r="4774" spans="10:14" x14ac:dyDescent="0.4">
      <c r="J4774" s="140"/>
      <c r="N4774" s="211"/>
    </row>
    <row r="4775" spans="10:14" x14ac:dyDescent="0.4">
      <c r="J4775" s="140"/>
      <c r="N4775" s="211"/>
    </row>
    <row r="4776" spans="10:14" x14ac:dyDescent="0.4">
      <c r="J4776" s="140"/>
      <c r="N4776" s="211"/>
    </row>
    <row r="4777" spans="10:14" x14ac:dyDescent="0.4">
      <c r="J4777" s="140"/>
      <c r="N4777" s="211"/>
    </row>
    <row r="4778" spans="10:14" x14ac:dyDescent="0.4">
      <c r="J4778" s="140"/>
      <c r="N4778" s="211"/>
    </row>
    <row r="4779" spans="10:14" x14ac:dyDescent="0.4">
      <c r="J4779" s="140"/>
      <c r="N4779" s="211"/>
    </row>
    <row r="4780" spans="10:14" x14ac:dyDescent="0.4">
      <c r="J4780" s="140"/>
      <c r="N4780" s="211"/>
    </row>
    <row r="4781" spans="10:14" x14ac:dyDescent="0.4">
      <c r="J4781" s="140"/>
      <c r="N4781" s="211"/>
    </row>
    <row r="4782" spans="10:14" x14ac:dyDescent="0.4">
      <c r="J4782" s="140"/>
      <c r="N4782" s="211"/>
    </row>
    <row r="4783" spans="10:14" x14ac:dyDescent="0.4">
      <c r="J4783" s="140"/>
      <c r="N4783" s="211"/>
    </row>
    <row r="4784" spans="10:14" x14ac:dyDescent="0.4">
      <c r="J4784" s="140"/>
      <c r="N4784" s="211"/>
    </row>
    <row r="4785" spans="10:14" x14ac:dyDescent="0.4">
      <c r="J4785" s="140"/>
      <c r="N4785" s="211"/>
    </row>
    <row r="4786" spans="10:14" x14ac:dyDescent="0.4">
      <c r="J4786" s="140"/>
      <c r="N4786" s="211"/>
    </row>
    <row r="4787" spans="10:14" x14ac:dyDescent="0.4">
      <c r="J4787" s="140"/>
      <c r="N4787" s="211"/>
    </row>
    <row r="4788" spans="10:14" x14ac:dyDescent="0.4">
      <c r="J4788" s="140"/>
      <c r="N4788" s="211"/>
    </row>
    <row r="4789" spans="10:14" x14ac:dyDescent="0.4">
      <c r="J4789" s="140"/>
      <c r="N4789" s="211"/>
    </row>
    <row r="4790" spans="10:14" x14ac:dyDescent="0.4">
      <c r="J4790" s="140"/>
      <c r="N4790" s="211"/>
    </row>
    <row r="4791" spans="10:14" x14ac:dyDescent="0.4">
      <c r="J4791" s="140"/>
      <c r="N4791" s="211"/>
    </row>
    <row r="4792" spans="10:14" x14ac:dyDescent="0.4">
      <c r="J4792" s="140"/>
      <c r="N4792" s="211"/>
    </row>
    <row r="4793" spans="10:14" x14ac:dyDescent="0.4">
      <c r="J4793" s="140"/>
      <c r="N4793" s="211"/>
    </row>
    <row r="4794" spans="10:14" x14ac:dyDescent="0.4">
      <c r="J4794" s="140"/>
      <c r="N4794" s="211"/>
    </row>
    <row r="4795" spans="10:14" x14ac:dyDescent="0.4">
      <c r="J4795" s="140"/>
      <c r="N4795" s="211"/>
    </row>
    <row r="4796" spans="10:14" x14ac:dyDescent="0.4">
      <c r="J4796" s="140"/>
      <c r="N4796" s="211"/>
    </row>
    <row r="4797" spans="10:14" x14ac:dyDescent="0.4">
      <c r="J4797" s="140"/>
      <c r="N4797" s="211"/>
    </row>
    <row r="4798" spans="10:14" x14ac:dyDescent="0.4">
      <c r="J4798" s="140"/>
      <c r="N4798" s="211"/>
    </row>
    <row r="4799" spans="10:14" x14ac:dyDescent="0.4">
      <c r="J4799" s="140"/>
      <c r="N4799" s="211"/>
    </row>
    <row r="4800" spans="10:14" x14ac:dyDescent="0.4">
      <c r="J4800" s="140"/>
      <c r="N4800" s="211"/>
    </row>
    <row r="4801" spans="10:14" x14ac:dyDescent="0.4">
      <c r="J4801" s="140"/>
      <c r="N4801" s="211"/>
    </row>
    <row r="4802" spans="10:14" x14ac:dyDescent="0.4">
      <c r="J4802" s="140"/>
      <c r="N4802" s="211"/>
    </row>
    <row r="4803" spans="10:14" x14ac:dyDescent="0.4">
      <c r="J4803" s="140"/>
      <c r="N4803" s="211"/>
    </row>
    <row r="4804" spans="10:14" x14ac:dyDescent="0.4">
      <c r="J4804" s="140"/>
      <c r="N4804" s="211"/>
    </row>
    <row r="4805" spans="10:14" x14ac:dyDescent="0.4">
      <c r="J4805" s="140"/>
      <c r="N4805" s="211"/>
    </row>
    <row r="4806" spans="10:14" x14ac:dyDescent="0.4">
      <c r="J4806" s="140"/>
      <c r="N4806" s="211"/>
    </row>
    <row r="4807" spans="10:14" x14ac:dyDescent="0.4">
      <c r="J4807" s="140"/>
      <c r="N4807" s="211"/>
    </row>
    <row r="4808" spans="10:14" x14ac:dyDescent="0.4">
      <c r="J4808" s="140"/>
      <c r="N4808" s="211"/>
    </row>
    <row r="4809" spans="10:14" x14ac:dyDescent="0.4">
      <c r="J4809" s="140"/>
      <c r="N4809" s="211"/>
    </row>
    <row r="4810" spans="10:14" x14ac:dyDescent="0.4">
      <c r="J4810" s="140"/>
      <c r="N4810" s="211"/>
    </row>
    <row r="4811" spans="10:14" x14ac:dyDescent="0.4">
      <c r="J4811" s="140"/>
      <c r="N4811" s="211"/>
    </row>
    <row r="4812" spans="10:14" x14ac:dyDescent="0.4">
      <c r="J4812" s="140"/>
      <c r="N4812" s="211"/>
    </row>
    <row r="4813" spans="10:14" x14ac:dyDescent="0.4">
      <c r="J4813" s="140"/>
      <c r="N4813" s="211"/>
    </row>
    <row r="4814" spans="10:14" x14ac:dyDescent="0.4">
      <c r="J4814" s="140"/>
      <c r="N4814" s="211"/>
    </row>
    <row r="4815" spans="10:14" x14ac:dyDescent="0.4">
      <c r="J4815" s="140"/>
      <c r="N4815" s="211"/>
    </row>
    <row r="4816" spans="10:14" x14ac:dyDescent="0.4">
      <c r="J4816" s="140"/>
      <c r="N4816" s="211"/>
    </row>
    <row r="4817" spans="10:14" x14ac:dyDescent="0.4">
      <c r="J4817" s="140"/>
      <c r="N4817" s="211"/>
    </row>
    <row r="4818" spans="10:14" x14ac:dyDescent="0.4">
      <c r="J4818" s="140"/>
      <c r="N4818" s="211"/>
    </row>
    <row r="4819" spans="10:14" x14ac:dyDescent="0.4">
      <c r="J4819" s="140"/>
      <c r="N4819" s="211"/>
    </row>
    <row r="4820" spans="10:14" x14ac:dyDescent="0.4">
      <c r="J4820" s="140"/>
      <c r="N4820" s="211"/>
    </row>
    <row r="4821" spans="10:14" x14ac:dyDescent="0.4">
      <c r="J4821" s="140"/>
      <c r="N4821" s="211"/>
    </row>
    <row r="4822" spans="10:14" x14ac:dyDescent="0.4">
      <c r="J4822" s="140"/>
      <c r="N4822" s="211"/>
    </row>
    <row r="4823" spans="10:14" x14ac:dyDescent="0.4">
      <c r="J4823" s="140"/>
      <c r="N4823" s="211"/>
    </row>
    <row r="4824" spans="10:14" x14ac:dyDescent="0.4">
      <c r="J4824" s="140"/>
      <c r="N4824" s="211"/>
    </row>
    <row r="4825" spans="10:14" x14ac:dyDescent="0.4">
      <c r="J4825" s="140"/>
      <c r="N4825" s="211"/>
    </row>
    <row r="4826" spans="10:14" x14ac:dyDescent="0.4">
      <c r="J4826" s="140"/>
      <c r="N4826" s="211"/>
    </row>
    <row r="4827" spans="10:14" x14ac:dyDescent="0.4">
      <c r="J4827" s="140"/>
      <c r="N4827" s="211"/>
    </row>
    <row r="4828" spans="10:14" x14ac:dyDescent="0.4">
      <c r="J4828" s="140"/>
      <c r="N4828" s="211"/>
    </row>
    <row r="4829" spans="10:14" x14ac:dyDescent="0.4">
      <c r="J4829" s="140"/>
      <c r="N4829" s="211"/>
    </row>
    <row r="4830" spans="10:14" x14ac:dyDescent="0.4">
      <c r="J4830" s="140"/>
      <c r="N4830" s="211"/>
    </row>
    <row r="4831" spans="10:14" x14ac:dyDescent="0.4">
      <c r="J4831" s="140"/>
      <c r="N4831" s="211"/>
    </row>
    <row r="4832" spans="10:14" x14ac:dyDescent="0.4">
      <c r="J4832" s="140"/>
      <c r="N4832" s="211"/>
    </row>
    <row r="4833" spans="10:14" x14ac:dyDescent="0.4">
      <c r="J4833" s="140"/>
      <c r="N4833" s="211"/>
    </row>
    <row r="4834" spans="10:14" x14ac:dyDescent="0.4">
      <c r="J4834" s="140"/>
      <c r="N4834" s="211"/>
    </row>
    <row r="4835" spans="10:14" x14ac:dyDescent="0.4">
      <c r="J4835" s="140"/>
      <c r="N4835" s="211"/>
    </row>
    <row r="4836" spans="10:14" x14ac:dyDescent="0.4">
      <c r="J4836" s="140"/>
      <c r="N4836" s="211"/>
    </row>
    <row r="4837" spans="10:14" x14ac:dyDescent="0.4">
      <c r="J4837" s="140"/>
      <c r="N4837" s="211"/>
    </row>
    <row r="4838" spans="10:14" x14ac:dyDescent="0.4">
      <c r="J4838" s="140"/>
      <c r="N4838" s="211"/>
    </row>
    <row r="4839" spans="10:14" x14ac:dyDescent="0.4">
      <c r="J4839" s="140"/>
      <c r="N4839" s="211"/>
    </row>
    <row r="4840" spans="10:14" x14ac:dyDescent="0.4">
      <c r="J4840" s="140"/>
      <c r="N4840" s="211"/>
    </row>
    <row r="4841" spans="10:14" x14ac:dyDescent="0.4">
      <c r="J4841" s="140"/>
      <c r="N4841" s="211"/>
    </row>
    <row r="4842" spans="10:14" x14ac:dyDescent="0.4">
      <c r="J4842" s="140"/>
      <c r="N4842" s="211"/>
    </row>
    <row r="4843" spans="10:14" x14ac:dyDescent="0.4">
      <c r="J4843" s="140"/>
      <c r="N4843" s="211"/>
    </row>
    <row r="4844" spans="10:14" x14ac:dyDescent="0.4">
      <c r="J4844" s="140"/>
      <c r="N4844" s="211"/>
    </row>
    <row r="4845" spans="10:14" x14ac:dyDescent="0.4">
      <c r="J4845" s="140"/>
      <c r="N4845" s="211"/>
    </row>
    <row r="4846" spans="10:14" x14ac:dyDescent="0.4">
      <c r="J4846" s="140"/>
      <c r="N4846" s="211"/>
    </row>
    <row r="4847" spans="10:14" x14ac:dyDescent="0.4">
      <c r="J4847" s="140"/>
      <c r="N4847" s="211"/>
    </row>
    <row r="4848" spans="10:14" x14ac:dyDescent="0.4">
      <c r="J4848" s="140"/>
      <c r="N4848" s="211"/>
    </row>
    <row r="4849" spans="10:14" x14ac:dyDescent="0.4">
      <c r="J4849" s="140"/>
      <c r="N4849" s="211"/>
    </row>
    <row r="4850" spans="10:14" x14ac:dyDescent="0.4">
      <c r="J4850" s="140"/>
      <c r="N4850" s="211"/>
    </row>
    <row r="4851" spans="10:14" x14ac:dyDescent="0.4">
      <c r="J4851" s="140"/>
      <c r="N4851" s="211"/>
    </row>
    <row r="4852" spans="10:14" x14ac:dyDescent="0.4">
      <c r="J4852" s="140"/>
      <c r="N4852" s="211"/>
    </row>
    <row r="4853" spans="10:14" x14ac:dyDescent="0.4">
      <c r="J4853" s="140"/>
      <c r="N4853" s="211"/>
    </row>
    <row r="4854" spans="10:14" x14ac:dyDescent="0.4">
      <c r="J4854" s="140"/>
      <c r="N4854" s="211"/>
    </row>
    <row r="4855" spans="10:14" x14ac:dyDescent="0.4">
      <c r="J4855" s="140"/>
      <c r="N4855" s="211"/>
    </row>
    <row r="4856" spans="10:14" x14ac:dyDescent="0.4">
      <c r="J4856" s="140"/>
      <c r="N4856" s="211"/>
    </row>
    <row r="4857" spans="10:14" x14ac:dyDescent="0.4">
      <c r="J4857" s="140"/>
      <c r="N4857" s="211"/>
    </row>
    <row r="4858" spans="10:14" x14ac:dyDescent="0.4">
      <c r="J4858" s="140"/>
      <c r="N4858" s="211"/>
    </row>
    <row r="4859" spans="10:14" x14ac:dyDescent="0.4">
      <c r="J4859" s="140"/>
      <c r="N4859" s="211"/>
    </row>
    <row r="4860" spans="10:14" x14ac:dyDescent="0.4">
      <c r="J4860" s="140"/>
      <c r="N4860" s="211"/>
    </row>
    <row r="4861" spans="10:14" x14ac:dyDescent="0.4">
      <c r="J4861" s="140"/>
      <c r="N4861" s="211"/>
    </row>
    <row r="4862" spans="10:14" x14ac:dyDescent="0.4">
      <c r="J4862" s="140"/>
      <c r="N4862" s="211"/>
    </row>
    <row r="4863" spans="10:14" x14ac:dyDescent="0.4">
      <c r="J4863" s="140"/>
      <c r="N4863" s="211"/>
    </row>
    <row r="4864" spans="10:14" x14ac:dyDescent="0.4">
      <c r="J4864" s="140"/>
      <c r="N4864" s="211"/>
    </row>
    <row r="4865" spans="10:14" x14ac:dyDescent="0.4">
      <c r="J4865" s="140"/>
      <c r="N4865" s="211"/>
    </row>
    <row r="4866" spans="10:14" x14ac:dyDescent="0.4">
      <c r="J4866" s="140"/>
      <c r="N4866" s="211"/>
    </row>
    <row r="4867" spans="10:14" x14ac:dyDescent="0.4">
      <c r="J4867" s="140"/>
      <c r="N4867" s="211"/>
    </row>
    <row r="4868" spans="10:14" x14ac:dyDescent="0.4">
      <c r="J4868" s="140"/>
      <c r="N4868" s="211"/>
    </row>
    <row r="4869" spans="10:14" x14ac:dyDescent="0.4">
      <c r="J4869" s="140"/>
      <c r="N4869" s="211"/>
    </row>
    <row r="4870" spans="10:14" x14ac:dyDescent="0.4">
      <c r="J4870" s="140"/>
      <c r="N4870" s="211"/>
    </row>
    <row r="4871" spans="10:14" x14ac:dyDescent="0.4">
      <c r="J4871" s="140"/>
      <c r="N4871" s="211"/>
    </row>
    <row r="4872" spans="10:14" x14ac:dyDescent="0.4">
      <c r="J4872" s="140"/>
      <c r="N4872" s="211"/>
    </row>
    <row r="4873" spans="10:14" x14ac:dyDescent="0.4">
      <c r="J4873" s="140"/>
      <c r="N4873" s="211"/>
    </row>
    <row r="4874" spans="10:14" x14ac:dyDescent="0.4">
      <c r="J4874" s="140"/>
      <c r="N4874" s="211"/>
    </row>
    <row r="4875" spans="10:14" x14ac:dyDescent="0.4">
      <c r="J4875" s="140"/>
      <c r="N4875" s="211"/>
    </row>
    <row r="4876" spans="10:14" x14ac:dyDescent="0.4">
      <c r="J4876" s="140"/>
      <c r="N4876" s="211"/>
    </row>
    <row r="4877" spans="10:14" x14ac:dyDescent="0.4">
      <c r="J4877" s="140"/>
      <c r="N4877" s="211"/>
    </row>
    <row r="4878" spans="10:14" x14ac:dyDescent="0.4">
      <c r="J4878" s="140"/>
      <c r="N4878" s="211"/>
    </row>
    <row r="4879" spans="10:14" x14ac:dyDescent="0.4">
      <c r="J4879" s="140"/>
      <c r="N4879" s="211"/>
    </row>
    <row r="4880" spans="10:14" x14ac:dyDescent="0.4">
      <c r="J4880" s="140"/>
      <c r="N4880" s="211"/>
    </row>
    <row r="4881" spans="10:14" x14ac:dyDescent="0.4">
      <c r="J4881" s="140"/>
      <c r="N4881" s="211"/>
    </row>
    <row r="4882" spans="10:14" x14ac:dyDescent="0.4">
      <c r="J4882" s="140"/>
      <c r="N4882" s="211"/>
    </row>
    <row r="4883" spans="10:14" x14ac:dyDescent="0.4">
      <c r="J4883" s="140"/>
      <c r="N4883" s="211"/>
    </row>
    <row r="4884" spans="10:14" x14ac:dyDescent="0.4">
      <c r="J4884" s="140"/>
      <c r="N4884" s="211"/>
    </row>
    <row r="4885" spans="10:14" x14ac:dyDescent="0.4">
      <c r="J4885" s="140"/>
      <c r="N4885" s="211"/>
    </row>
    <row r="4886" spans="10:14" x14ac:dyDescent="0.4">
      <c r="J4886" s="140"/>
      <c r="N4886" s="211"/>
    </row>
    <row r="4887" spans="10:14" x14ac:dyDescent="0.4">
      <c r="J4887" s="140"/>
      <c r="N4887" s="211"/>
    </row>
    <row r="4888" spans="10:14" x14ac:dyDescent="0.4">
      <c r="J4888" s="140"/>
      <c r="N4888" s="211"/>
    </row>
    <row r="4889" spans="10:14" x14ac:dyDescent="0.4">
      <c r="J4889" s="140"/>
      <c r="N4889" s="211"/>
    </row>
    <row r="4890" spans="10:14" x14ac:dyDescent="0.4">
      <c r="J4890" s="140"/>
      <c r="N4890" s="211"/>
    </row>
    <row r="4891" spans="10:14" x14ac:dyDescent="0.4">
      <c r="J4891" s="140"/>
      <c r="N4891" s="211"/>
    </row>
    <row r="4892" spans="10:14" x14ac:dyDescent="0.4">
      <c r="J4892" s="140"/>
      <c r="N4892" s="211"/>
    </row>
    <row r="4893" spans="10:14" x14ac:dyDescent="0.4">
      <c r="J4893" s="140"/>
      <c r="N4893" s="211"/>
    </row>
    <row r="4894" spans="10:14" x14ac:dyDescent="0.4">
      <c r="J4894" s="140"/>
      <c r="N4894" s="211"/>
    </row>
    <row r="4895" spans="10:14" x14ac:dyDescent="0.4">
      <c r="J4895" s="140"/>
      <c r="N4895" s="211"/>
    </row>
    <row r="4896" spans="10:14" x14ac:dyDescent="0.4">
      <c r="J4896" s="140"/>
      <c r="N4896" s="211"/>
    </row>
    <row r="4897" spans="10:14" x14ac:dyDescent="0.4">
      <c r="J4897" s="140"/>
      <c r="N4897" s="211"/>
    </row>
    <row r="4898" spans="10:14" x14ac:dyDescent="0.4">
      <c r="J4898" s="140"/>
      <c r="N4898" s="211"/>
    </row>
    <row r="4899" spans="10:14" x14ac:dyDescent="0.4">
      <c r="J4899" s="140"/>
      <c r="N4899" s="211"/>
    </row>
    <row r="4900" spans="10:14" x14ac:dyDescent="0.4">
      <c r="J4900" s="140"/>
      <c r="N4900" s="211"/>
    </row>
    <row r="4901" spans="10:14" x14ac:dyDescent="0.4">
      <c r="J4901" s="140"/>
      <c r="N4901" s="211"/>
    </row>
    <row r="4902" spans="10:14" x14ac:dyDescent="0.4">
      <c r="J4902" s="140"/>
      <c r="N4902" s="211"/>
    </row>
    <row r="4903" spans="10:14" x14ac:dyDescent="0.4">
      <c r="J4903" s="140"/>
      <c r="N4903" s="211"/>
    </row>
    <row r="4904" spans="10:14" x14ac:dyDescent="0.4">
      <c r="J4904" s="140"/>
      <c r="N4904" s="211"/>
    </row>
    <row r="4905" spans="10:14" x14ac:dyDescent="0.4">
      <c r="J4905" s="140"/>
      <c r="N4905" s="211"/>
    </row>
    <row r="4906" spans="10:14" x14ac:dyDescent="0.4">
      <c r="J4906" s="140"/>
      <c r="N4906" s="211"/>
    </row>
    <row r="4907" spans="10:14" x14ac:dyDescent="0.4">
      <c r="J4907" s="140"/>
      <c r="N4907" s="211"/>
    </row>
    <row r="4908" spans="10:14" x14ac:dyDescent="0.4">
      <c r="J4908" s="140"/>
      <c r="N4908" s="211"/>
    </row>
    <row r="4909" spans="10:14" x14ac:dyDescent="0.4">
      <c r="J4909" s="140"/>
      <c r="N4909" s="211"/>
    </row>
    <row r="4910" spans="10:14" x14ac:dyDescent="0.4">
      <c r="J4910" s="140"/>
      <c r="N4910" s="211"/>
    </row>
    <row r="4911" spans="10:14" x14ac:dyDescent="0.4">
      <c r="J4911" s="140"/>
      <c r="N4911" s="211"/>
    </row>
    <row r="4912" spans="10:14" x14ac:dyDescent="0.4">
      <c r="J4912" s="140"/>
      <c r="N4912" s="211"/>
    </row>
    <row r="4913" spans="10:14" x14ac:dyDescent="0.4">
      <c r="J4913" s="140"/>
      <c r="N4913" s="211"/>
    </row>
    <row r="4914" spans="10:14" x14ac:dyDescent="0.4">
      <c r="J4914" s="140"/>
      <c r="N4914" s="211"/>
    </row>
    <row r="4915" spans="10:14" x14ac:dyDescent="0.4">
      <c r="J4915" s="140"/>
      <c r="N4915" s="211"/>
    </row>
    <row r="4916" spans="10:14" x14ac:dyDescent="0.4">
      <c r="J4916" s="140"/>
      <c r="N4916" s="211"/>
    </row>
    <row r="4917" spans="10:14" x14ac:dyDescent="0.4">
      <c r="J4917" s="140"/>
      <c r="N4917" s="211"/>
    </row>
    <row r="4918" spans="10:14" x14ac:dyDescent="0.4">
      <c r="J4918" s="140"/>
      <c r="N4918" s="211"/>
    </row>
    <row r="4919" spans="10:14" x14ac:dyDescent="0.4">
      <c r="J4919" s="140"/>
      <c r="N4919" s="211"/>
    </row>
    <row r="4920" spans="10:14" x14ac:dyDescent="0.4">
      <c r="J4920" s="140"/>
      <c r="N4920" s="211"/>
    </row>
    <row r="4921" spans="10:14" x14ac:dyDescent="0.4">
      <c r="J4921" s="140"/>
      <c r="N4921" s="211"/>
    </row>
    <row r="4922" spans="10:14" x14ac:dyDescent="0.4">
      <c r="J4922" s="140"/>
      <c r="N4922" s="211"/>
    </row>
    <row r="4923" spans="10:14" x14ac:dyDescent="0.4">
      <c r="J4923" s="140"/>
      <c r="N4923" s="211"/>
    </row>
    <row r="4924" spans="10:14" x14ac:dyDescent="0.4">
      <c r="J4924" s="140"/>
      <c r="N4924" s="211"/>
    </row>
    <row r="4925" spans="10:14" x14ac:dyDescent="0.4">
      <c r="J4925" s="140"/>
      <c r="N4925" s="211"/>
    </row>
    <row r="4926" spans="10:14" x14ac:dyDescent="0.4">
      <c r="J4926" s="140"/>
      <c r="N4926" s="211"/>
    </row>
    <row r="4927" spans="10:14" x14ac:dyDescent="0.4">
      <c r="J4927" s="140"/>
      <c r="N4927" s="211"/>
    </row>
    <row r="4928" spans="10:14" x14ac:dyDescent="0.4">
      <c r="J4928" s="140"/>
      <c r="N4928" s="211"/>
    </row>
    <row r="4929" spans="10:14" x14ac:dyDescent="0.4">
      <c r="J4929" s="140"/>
      <c r="N4929" s="211"/>
    </row>
    <row r="4930" spans="10:14" x14ac:dyDescent="0.4">
      <c r="J4930" s="140"/>
      <c r="N4930" s="211"/>
    </row>
    <row r="4931" spans="10:14" x14ac:dyDescent="0.4">
      <c r="J4931" s="140"/>
      <c r="N4931" s="211"/>
    </row>
    <row r="4932" spans="10:14" x14ac:dyDescent="0.4">
      <c r="J4932" s="140"/>
      <c r="N4932" s="211"/>
    </row>
    <row r="4933" spans="10:14" x14ac:dyDescent="0.4">
      <c r="J4933" s="140"/>
      <c r="N4933" s="211"/>
    </row>
    <row r="4934" spans="10:14" x14ac:dyDescent="0.4">
      <c r="J4934" s="140"/>
      <c r="N4934" s="211"/>
    </row>
    <row r="4935" spans="10:14" x14ac:dyDescent="0.4">
      <c r="J4935" s="140"/>
      <c r="N4935" s="211"/>
    </row>
    <row r="4936" spans="10:14" x14ac:dyDescent="0.4">
      <c r="J4936" s="140"/>
      <c r="N4936" s="211"/>
    </row>
    <row r="4937" spans="10:14" x14ac:dyDescent="0.4">
      <c r="J4937" s="140"/>
      <c r="N4937" s="211"/>
    </row>
    <row r="4938" spans="10:14" x14ac:dyDescent="0.4">
      <c r="J4938" s="140"/>
      <c r="N4938" s="211"/>
    </row>
    <row r="4939" spans="10:14" x14ac:dyDescent="0.4">
      <c r="J4939" s="140"/>
      <c r="N4939" s="211"/>
    </row>
    <row r="4940" spans="10:14" x14ac:dyDescent="0.4">
      <c r="J4940" s="140"/>
      <c r="N4940" s="211"/>
    </row>
    <row r="4941" spans="10:14" x14ac:dyDescent="0.4">
      <c r="J4941" s="140"/>
      <c r="N4941" s="211"/>
    </row>
    <row r="4942" spans="10:14" x14ac:dyDescent="0.4">
      <c r="J4942" s="140"/>
      <c r="N4942" s="211"/>
    </row>
    <row r="4943" spans="10:14" x14ac:dyDescent="0.4">
      <c r="J4943" s="140"/>
      <c r="N4943" s="211"/>
    </row>
    <row r="4944" spans="10:14" x14ac:dyDescent="0.4">
      <c r="J4944" s="140"/>
      <c r="N4944" s="211"/>
    </row>
    <row r="4945" spans="10:14" x14ac:dyDescent="0.4">
      <c r="J4945" s="140"/>
      <c r="N4945" s="211"/>
    </row>
    <row r="4946" spans="10:14" x14ac:dyDescent="0.4">
      <c r="J4946" s="140"/>
      <c r="N4946" s="211"/>
    </row>
    <row r="4947" spans="10:14" x14ac:dyDescent="0.4">
      <c r="J4947" s="140"/>
      <c r="N4947" s="211"/>
    </row>
    <row r="4948" spans="10:14" x14ac:dyDescent="0.4">
      <c r="J4948" s="140"/>
      <c r="N4948" s="211"/>
    </row>
    <row r="4949" spans="10:14" x14ac:dyDescent="0.4">
      <c r="J4949" s="140"/>
      <c r="N4949" s="211"/>
    </row>
    <row r="4950" spans="10:14" x14ac:dyDescent="0.4">
      <c r="J4950" s="140"/>
      <c r="N4950" s="211"/>
    </row>
    <row r="4951" spans="10:14" x14ac:dyDescent="0.4">
      <c r="J4951" s="140"/>
      <c r="N4951" s="211"/>
    </row>
    <row r="4952" spans="10:14" x14ac:dyDescent="0.4">
      <c r="J4952" s="140"/>
      <c r="N4952" s="211"/>
    </row>
    <row r="4953" spans="10:14" x14ac:dyDescent="0.4">
      <c r="J4953" s="140"/>
      <c r="N4953" s="211"/>
    </row>
    <row r="4954" spans="10:14" x14ac:dyDescent="0.4">
      <c r="J4954" s="140"/>
      <c r="N4954" s="211"/>
    </row>
    <row r="4955" spans="10:14" x14ac:dyDescent="0.4">
      <c r="J4955" s="140"/>
      <c r="N4955" s="211"/>
    </row>
    <row r="4956" spans="10:14" x14ac:dyDescent="0.4">
      <c r="J4956" s="140"/>
      <c r="N4956" s="211"/>
    </row>
    <row r="4957" spans="10:14" x14ac:dyDescent="0.4">
      <c r="J4957" s="140"/>
      <c r="N4957" s="211"/>
    </row>
    <row r="4958" spans="10:14" x14ac:dyDescent="0.4">
      <c r="J4958" s="140"/>
      <c r="N4958" s="211"/>
    </row>
    <row r="4959" spans="10:14" x14ac:dyDescent="0.4">
      <c r="J4959" s="140"/>
      <c r="N4959" s="211"/>
    </row>
    <row r="4960" spans="10:14" x14ac:dyDescent="0.4">
      <c r="J4960" s="140"/>
      <c r="N4960" s="211"/>
    </row>
    <row r="4961" spans="10:14" x14ac:dyDescent="0.4">
      <c r="J4961" s="140"/>
      <c r="N4961" s="211"/>
    </row>
    <row r="4962" spans="10:14" x14ac:dyDescent="0.4">
      <c r="J4962" s="140"/>
      <c r="N4962" s="211"/>
    </row>
    <row r="4963" spans="10:14" x14ac:dyDescent="0.4">
      <c r="J4963" s="140"/>
      <c r="N4963" s="211"/>
    </row>
    <row r="4964" spans="10:14" x14ac:dyDescent="0.4">
      <c r="J4964" s="140"/>
      <c r="N4964" s="211"/>
    </row>
    <row r="4965" spans="10:14" x14ac:dyDescent="0.4">
      <c r="J4965" s="140"/>
      <c r="N4965" s="211"/>
    </row>
    <row r="4966" spans="10:14" x14ac:dyDescent="0.4">
      <c r="J4966" s="140"/>
      <c r="N4966" s="211"/>
    </row>
    <row r="4967" spans="10:14" x14ac:dyDescent="0.4">
      <c r="J4967" s="140"/>
      <c r="N4967" s="211"/>
    </row>
    <row r="4968" spans="10:14" x14ac:dyDescent="0.4">
      <c r="J4968" s="140"/>
      <c r="N4968" s="211"/>
    </row>
    <row r="4969" spans="10:14" x14ac:dyDescent="0.4">
      <c r="J4969" s="140"/>
      <c r="N4969" s="211"/>
    </row>
    <row r="4970" spans="10:14" x14ac:dyDescent="0.4">
      <c r="J4970" s="140"/>
      <c r="N4970" s="211"/>
    </row>
    <row r="4971" spans="10:14" x14ac:dyDescent="0.4">
      <c r="J4971" s="140"/>
      <c r="N4971" s="211"/>
    </row>
    <row r="4972" spans="10:14" x14ac:dyDescent="0.4">
      <c r="J4972" s="140"/>
      <c r="N4972" s="211"/>
    </row>
    <row r="4973" spans="10:14" x14ac:dyDescent="0.4">
      <c r="J4973" s="140"/>
      <c r="N4973" s="211"/>
    </row>
    <row r="4974" spans="10:14" x14ac:dyDescent="0.4">
      <c r="J4974" s="140"/>
      <c r="N4974" s="211"/>
    </row>
    <row r="4975" spans="10:14" x14ac:dyDescent="0.4">
      <c r="J4975" s="140"/>
      <c r="N4975" s="211"/>
    </row>
    <row r="4976" spans="10:14" x14ac:dyDescent="0.4">
      <c r="J4976" s="140"/>
      <c r="N4976" s="211"/>
    </row>
    <row r="4977" spans="10:14" x14ac:dyDescent="0.4">
      <c r="J4977" s="140"/>
      <c r="N4977" s="211"/>
    </row>
    <row r="4978" spans="10:14" x14ac:dyDescent="0.4">
      <c r="J4978" s="140"/>
      <c r="N4978" s="211"/>
    </row>
    <row r="4979" spans="10:14" x14ac:dyDescent="0.4">
      <c r="J4979" s="140"/>
      <c r="N4979" s="211"/>
    </row>
    <row r="4980" spans="10:14" x14ac:dyDescent="0.4">
      <c r="J4980" s="140"/>
      <c r="N4980" s="211"/>
    </row>
    <row r="4981" spans="10:14" x14ac:dyDescent="0.4">
      <c r="J4981" s="140"/>
      <c r="N4981" s="211"/>
    </row>
    <row r="4982" spans="10:14" x14ac:dyDescent="0.4">
      <c r="J4982" s="140"/>
      <c r="N4982" s="211"/>
    </row>
    <row r="4983" spans="10:14" x14ac:dyDescent="0.4">
      <c r="J4983" s="140"/>
      <c r="N4983" s="211"/>
    </row>
    <row r="4984" spans="10:14" x14ac:dyDescent="0.4">
      <c r="J4984" s="140"/>
      <c r="N4984" s="211"/>
    </row>
    <row r="4985" spans="10:14" x14ac:dyDescent="0.4">
      <c r="J4985" s="140"/>
      <c r="N4985" s="211"/>
    </row>
    <row r="4986" spans="10:14" x14ac:dyDescent="0.4">
      <c r="J4986" s="140"/>
      <c r="N4986" s="211"/>
    </row>
    <row r="4987" spans="10:14" x14ac:dyDescent="0.4">
      <c r="J4987" s="140"/>
      <c r="N4987" s="211"/>
    </row>
    <row r="4988" spans="10:14" x14ac:dyDescent="0.4">
      <c r="J4988" s="140"/>
      <c r="N4988" s="211"/>
    </row>
    <row r="4989" spans="10:14" x14ac:dyDescent="0.4">
      <c r="J4989" s="140"/>
      <c r="N4989" s="211"/>
    </row>
    <row r="4990" spans="10:14" x14ac:dyDescent="0.4">
      <c r="J4990" s="140"/>
      <c r="N4990" s="211"/>
    </row>
    <row r="4991" spans="10:14" x14ac:dyDescent="0.4">
      <c r="J4991" s="140"/>
      <c r="N4991" s="211"/>
    </row>
    <row r="4992" spans="10:14" x14ac:dyDescent="0.4">
      <c r="J4992" s="140"/>
      <c r="N4992" s="211"/>
    </row>
    <row r="4993" spans="10:14" x14ac:dyDescent="0.4">
      <c r="J4993" s="140"/>
      <c r="N4993" s="211"/>
    </row>
    <row r="4994" spans="10:14" x14ac:dyDescent="0.4">
      <c r="J4994" s="140"/>
      <c r="N4994" s="211"/>
    </row>
    <row r="4995" spans="10:14" x14ac:dyDescent="0.4">
      <c r="J4995" s="140"/>
      <c r="N4995" s="211"/>
    </row>
    <row r="4996" spans="10:14" x14ac:dyDescent="0.4">
      <c r="J4996" s="140"/>
      <c r="N4996" s="211"/>
    </row>
    <row r="4997" spans="10:14" x14ac:dyDescent="0.4">
      <c r="J4997" s="140"/>
      <c r="N4997" s="211"/>
    </row>
    <row r="4998" spans="10:14" x14ac:dyDescent="0.4">
      <c r="J4998" s="140"/>
      <c r="N4998" s="211"/>
    </row>
    <row r="4999" spans="10:14" x14ac:dyDescent="0.4">
      <c r="J4999" s="140"/>
      <c r="N4999" s="211"/>
    </row>
    <row r="5000" spans="10:14" x14ac:dyDescent="0.4">
      <c r="J5000" s="140"/>
      <c r="N5000" s="211"/>
    </row>
    <row r="5001" spans="10:14" x14ac:dyDescent="0.4">
      <c r="J5001" s="140"/>
      <c r="N5001" s="211"/>
    </row>
    <row r="5002" spans="10:14" x14ac:dyDescent="0.4">
      <c r="J5002" s="140"/>
      <c r="N5002" s="211"/>
    </row>
    <row r="5003" spans="10:14" x14ac:dyDescent="0.4">
      <c r="J5003" s="140"/>
      <c r="N5003" s="211"/>
    </row>
    <row r="5004" spans="10:14" x14ac:dyDescent="0.4">
      <c r="J5004" s="140"/>
      <c r="N5004" s="211"/>
    </row>
    <row r="5005" spans="10:14" x14ac:dyDescent="0.4">
      <c r="J5005" s="140"/>
      <c r="N5005" s="211"/>
    </row>
    <row r="5006" spans="10:14" x14ac:dyDescent="0.4">
      <c r="J5006" s="140"/>
      <c r="N5006" s="211"/>
    </row>
    <row r="5007" spans="10:14" x14ac:dyDescent="0.4">
      <c r="J5007" s="140"/>
      <c r="N5007" s="211"/>
    </row>
    <row r="5008" spans="10:14" x14ac:dyDescent="0.4">
      <c r="J5008" s="140"/>
      <c r="N5008" s="211"/>
    </row>
    <row r="5009" spans="10:14" x14ac:dyDescent="0.4">
      <c r="J5009" s="140"/>
      <c r="N5009" s="211"/>
    </row>
    <row r="5010" spans="10:14" x14ac:dyDescent="0.4">
      <c r="J5010" s="140"/>
      <c r="N5010" s="211"/>
    </row>
    <row r="5011" spans="10:14" x14ac:dyDescent="0.4">
      <c r="J5011" s="140"/>
      <c r="N5011" s="211"/>
    </row>
    <row r="5012" spans="10:14" x14ac:dyDescent="0.4">
      <c r="J5012" s="140"/>
      <c r="N5012" s="211"/>
    </row>
    <row r="5013" spans="10:14" x14ac:dyDescent="0.4">
      <c r="J5013" s="140"/>
      <c r="N5013" s="211"/>
    </row>
    <row r="5014" spans="10:14" x14ac:dyDescent="0.4">
      <c r="J5014" s="140"/>
      <c r="N5014" s="211"/>
    </row>
    <row r="5015" spans="10:14" x14ac:dyDescent="0.4">
      <c r="J5015" s="140"/>
      <c r="N5015" s="211"/>
    </row>
    <row r="5016" spans="10:14" x14ac:dyDescent="0.4">
      <c r="J5016" s="140"/>
      <c r="N5016" s="211"/>
    </row>
    <row r="5017" spans="10:14" x14ac:dyDescent="0.4">
      <c r="J5017" s="140"/>
      <c r="N5017" s="211"/>
    </row>
    <row r="5018" spans="10:14" x14ac:dyDescent="0.4">
      <c r="J5018" s="140"/>
      <c r="N5018" s="211"/>
    </row>
    <row r="5019" spans="10:14" x14ac:dyDescent="0.4">
      <c r="J5019" s="140"/>
      <c r="N5019" s="211"/>
    </row>
    <row r="5020" spans="10:14" x14ac:dyDescent="0.4">
      <c r="J5020" s="140"/>
      <c r="N5020" s="211"/>
    </row>
    <row r="5021" spans="10:14" x14ac:dyDescent="0.4">
      <c r="J5021" s="140"/>
      <c r="N5021" s="211"/>
    </row>
    <row r="5022" spans="10:14" x14ac:dyDescent="0.4">
      <c r="J5022" s="140"/>
      <c r="N5022" s="211"/>
    </row>
    <row r="5023" spans="10:14" x14ac:dyDescent="0.4">
      <c r="J5023" s="140"/>
      <c r="N5023" s="211"/>
    </row>
    <row r="5024" spans="10:14" x14ac:dyDescent="0.4">
      <c r="J5024" s="140"/>
      <c r="N5024" s="211"/>
    </row>
    <row r="5025" spans="10:14" x14ac:dyDescent="0.4">
      <c r="J5025" s="140"/>
      <c r="N5025" s="211"/>
    </row>
    <row r="5026" spans="10:14" x14ac:dyDescent="0.4">
      <c r="J5026" s="140"/>
      <c r="N5026" s="211"/>
    </row>
    <row r="5027" spans="10:14" x14ac:dyDescent="0.4">
      <c r="J5027" s="140"/>
      <c r="N5027" s="211"/>
    </row>
    <row r="5028" spans="10:14" x14ac:dyDescent="0.4">
      <c r="J5028" s="140"/>
      <c r="N5028" s="211"/>
    </row>
    <row r="5029" spans="10:14" x14ac:dyDescent="0.4">
      <c r="J5029" s="140"/>
      <c r="N5029" s="211"/>
    </row>
    <row r="5030" spans="10:14" x14ac:dyDescent="0.4">
      <c r="J5030" s="140"/>
      <c r="N5030" s="211"/>
    </row>
    <row r="5031" spans="10:14" x14ac:dyDescent="0.4">
      <c r="J5031" s="140"/>
      <c r="N5031" s="211"/>
    </row>
    <row r="5032" spans="10:14" x14ac:dyDescent="0.4">
      <c r="J5032" s="140"/>
      <c r="N5032" s="211"/>
    </row>
    <row r="5033" spans="10:14" x14ac:dyDescent="0.4">
      <c r="J5033" s="140"/>
      <c r="N5033" s="211"/>
    </row>
    <row r="5034" spans="10:14" x14ac:dyDescent="0.4">
      <c r="J5034" s="140"/>
      <c r="N5034" s="211"/>
    </row>
    <row r="5035" spans="10:14" x14ac:dyDescent="0.4">
      <c r="J5035" s="140"/>
      <c r="N5035" s="211"/>
    </row>
    <row r="5036" spans="10:14" x14ac:dyDescent="0.4">
      <c r="J5036" s="140"/>
      <c r="N5036" s="211"/>
    </row>
    <row r="5037" spans="10:14" x14ac:dyDescent="0.4">
      <c r="J5037" s="140"/>
      <c r="N5037" s="211"/>
    </row>
    <row r="5038" spans="10:14" x14ac:dyDescent="0.4">
      <c r="J5038" s="140"/>
      <c r="N5038" s="211"/>
    </row>
    <row r="5039" spans="10:14" x14ac:dyDescent="0.4">
      <c r="J5039" s="140"/>
      <c r="N5039" s="211"/>
    </row>
    <row r="5040" spans="10:14" x14ac:dyDescent="0.4">
      <c r="J5040" s="140"/>
      <c r="N5040" s="211"/>
    </row>
    <row r="5041" spans="10:14" x14ac:dyDescent="0.4">
      <c r="J5041" s="140"/>
      <c r="N5041" s="211"/>
    </row>
    <row r="5042" spans="10:14" x14ac:dyDescent="0.4">
      <c r="J5042" s="140"/>
      <c r="N5042" s="211"/>
    </row>
    <row r="5043" spans="10:14" x14ac:dyDescent="0.4">
      <c r="J5043" s="140"/>
      <c r="N5043" s="211"/>
    </row>
    <row r="5044" spans="10:14" x14ac:dyDescent="0.4">
      <c r="J5044" s="140"/>
      <c r="N5044" s="211"/>
    </row>
    <row r="5045" spans="10:14" x14ac:dyDescent="0.4">
      <c r="J5045" s="140"/>
      <c r="N5045" s="211"/>
    </row>
    <row r="5046" spans="10:14" x14ac:dyDescent="0.4">
      <c r="J5046" s="140"/>
      <c r="N5046" s="211"/>
    </row>
    <row r="5047" spans="10:14" x14ac:dyDescent="0.4">
      <c r="J5047" s="140"/>
      <c r="N5047" s="211"/>
    </row>
    <row r="5048" spans="10:14" x14ac:dyDescent="0.4">
      <c r="J5048" s="140"/>
      <c r="N5048" s="211"/>
    </row>
    <row r="5049" spans="10:14" x14ac:dyDescent="0.4">
      <c r="J5049" s="140"/>
      <c r="N5049" s="211"/>
    </row>
    <row r="5050" spans="10:14" x14ac:dyDescent="0.4">
      <c r="J5050" s="140"/>
      <c r="N5050" s="211"/>
    </row>
    <row r="5051" spans="10:14" x14ac:dyDescent="0.4">
      <c r="J5051" s="140"/>
      <c r="N5051" s="211"/>
    </row>
    <row r="5052" spans="10:14" x14ac:dyDescent="0.4">
      <c r="J5052" s="140"/>
      <c r="N5052" s="211"/>
    </row>
    <row r="5053" spans="10:14" x14ac:dyDescent="0.4">
      <c r="J5053" s="140"/>
      <c r="N5053" s="211"/>
    </row>
    <row r="5054" spans="10:14" x14ac:dyDescent="0.4">
      <c r="J5054" s="140"/>
      <c r="N5054" s="211"/>
    </row>
    <row r="5055" spans="10:14" x14ac:dyDescent="0.4">
      <c r="J5055" s="140"/>
      <c r="N5055" s="211"/>
    </row>
    <row r="5056" spans="10:14" x14ac:dyDescent="0.4">
      <c r="J5056" s="140"/>
      <c r="N5056" s="211"/>
    </row>
    <row r="5057" spans="10:14" x14ac:dyDescent="0.4">
      <c r="J5057" s="140"/>
      <c r="N5057" s="211"/>
    </row>
    <row r="5058" spans="10:14" x14ac:dyDescent="0.4">
      <c r="J5058" s="140"/>
      <c r="N5058" s="211"/>
    </row>
    <row r="5059" spans="10:14" x14ac:dyDescent="0.4">
      <c r="J5059" s="140"/>
      <c r="N5059" s="211"/>
    </row>
    <row r="5060" spans="10:14" x14ac:dyDescent="0.4">
      <c r="J5060" s="140"/>
      <c r="N5060" s="211"/>
    </row>
    <row r="5061" spans="10:14" x14ac:dyDescent="0.4">
      <c r="J5061" s="140"/>
      <c r="N5061" s="211"/>
    </row>
    <row r="5062" spans="10:14" x14ac:dyDescent="0.4">
      <c r="J5062" s="140"/>
      <c r="N5062" s="211"/>
    </row>
    <row r="5063" spans="10:14" x14ac:dyDescent="0.4">
      <c r="J5063" s="140"/>
      <c r="N5063" s="211"/>
    </row>
    <row r="5064" spans="10:14" x14ac:dyDescent="0.4">
      <c r="J5064" s="140"/>
      <c r="N5064" s="211"/>
    </row>
    <row r="5065" spans="10:14" x14ac:dyDescent="0.4">
      <c r="J5065" s="140"/>
      <c r="N5065" s="211"/>
    </row>
    <row r="5066" spans="10:14" x14ac:dyDescent="0.4">
      <c r="J5066" s="140"/>
      <c r="N5066" s="211"/>
    </row>
    <row r="5067" spans="10:14" x14ac:dyDescent="0.4">
      <c r="J5067" s="140"/>
      <c r="N5067" s="211"/>
    </row>
    <row r="5068" spans="10:14" x14ac:dyDescent="0.4">
      <c r="J5068" s="140"/>
      <c r="N5068" s="211"/>
    </row>
    <row r="5069" spans="10:14" x14ac:dyDescent="0.4">
      <c r="J5069" s="140"/>
      <c r="N5069" s="211"/>
    </row>
    <row r="5070" spans="10:14" x14ac:dyDescent="0.4">
      <c r="J5070" s="140"/>
      <c r="N5070" s="211"/>
    </row>
    <row r="5071" spans="10:14" x14ac:dyDescent="0.4">
      <c r="J5071" s="140"/>
      <c r="N5071" s="211"/>
    </row>
    <row r="5072" spans="10:14" x14ac:dyDescent="0.4">
      <c r="J5072" s="140"/>
      <c r="N5072" s="211"/>
    </row>
    <row r="5073" spans="10:14" x14ac:dyDescent="0.4">
      <c r="J5073" s="140"/>
      <c r="N5073" s="211"/>
    </row>
    <row r="5074" spans="10:14" x14ac:dyDescent="0.4">
      <c r="J5074" s="140"/>
      <c r="N5074" s="211"/>
    </row>
    <row r="5075" spans="10:14" x14ac:dyDescent="0.4">
      <c r="J5075" s="140"/>
      <c r="N5075" s="211"/>
    </row>
    <row r="5076" spans="10:14" x14ac:dyDescent="0.4">
      <c r="J5076" s="140"/>
      <c r="N5076" s="211"/>
    </row>
    <row r="5077" spans="10:14" x14ac:dyDescent="0.4">
      <c r="J5077" s="140"/>
      <c r="N5077" s="211"/>
    </row>
    <row r="5078" spans="10:14" x14ac:dyDescent="0.4">
      <c r="J5078" s="140"/>
      <c r="N5078" s="211"/>
    </row>
    <row r="5079" spans="10:14" x14ac:dyDescent="0.4">
      <c r="J5079" s="140"/>
      <c r="N5079" s="211"/>
    </row>
    <row r="5080" spans="10:14" x14ac:dyDescent="0.4">
      <c r="J5080" s="140"/>
      <c r="N5080" s="211"/>
    </row>
    <row r="5081" spans="10:14" x14ac:dyDescent="0.4">
      <c r="J5081" s="140"/>
      <c r="N5081" s="211"/>
    </row>
    <row r="5082" spans="10:14" x14ac:dyDescent="0.4">
      <c r="J5082" s="140"/>
      <c r="N5082" s="211"/>
    </row>
    <row r="5083" spans="10:14" x14ac:dyDescent="0.4">
      <c r="J5083" s="140"/>
      <c r="N5083" s="211"/>
    </row>
    <row r="5084" spans="10:14" x14ac:dyDescent="0.4">
      <c r="J5084" s="140"/>
      <c r="N5084" s="211"/>
    </row>
    <row r="5085" spans="10:14" x14ac:dyDescent="0.4">
      <c r="J5085" s="140"/>
      <c r="N5085" s="211"/>
    </row>
    <row r="5086" spans="10:14" x14ac:dyDescent="0.4">
      <c r="J5086" s="140"/>
      <c r="N5086" s="211"/>
    </row>
    <row r="5087" spans="10:14" x14ac:dyDescent="0.4">
      <c r="J5087" s="140"/>
      <c r="N5087" s="211"/>
    </row>
    <row r="5088" spans="10:14" x14ac:dyDescent="0.4">
      <c r="J5088" s="140"/>
      <c r="N5088" s="211"/>
    </row>
    <row r="5089" spans="10:14" x14ac:dyDescent="0.4">
      <c r="J5089" s="140"/>
      <c r="N5089" s="211"/>
    </row>
    <row r="5090" spans="10:14" x14ac:dyDescent="0.4">
      <c r="J5090" s="140"/>
      <c r="N5090" s="211"/>
    </row>
    <row r="5091" spans="10:14" x14ac:dyDescent="0.4">
      <c r="J5091" s="140"/>
      <c r="N5091" s="211"/>
    </row>
    <row r="5092" spans="10:14" x14ac:dyDescent="0.4">
      <c r="J5092" s="140"/>
      <c r="N5092" s="211"/>
    </row>
    <row r="5093" spans="10:14" x14ac:dyDescent="0.4">
      <c r="J5093" s="140"/>
      <c r="N5093" s="211"/>
    </row>
    <row r="5094" spans="10:14" x14ac:dyDescent="0.4">
      <c r="J5094" s="140"/>
      <c r="N5094" s="211"/>
    </row>
    <row r="5095" spans="10:14" x14ac:dyDescent="0.4">
      <c r="J5095" s="140"/>
      <c r="N5095" s="211"/>
    </row>
    <row r="5096" spans="10:14" x14ac:dyDescent="0.4">
      <c r="J5096" s="140"/>
      <c r="N5096" s="211"/>
    </row>
    <row r="5097" spans="10:14" x14ac:dyDescent="0.4">
      <c r="J5097" s="140"/>
      <c r="N5097" s="211"/>
    </row>
    <row r="5098" spans="10:14" x14ac:dyDescent="0.4">
      <c r="J5098" s="140"/>
      <c r="N5098" s="211"/>
    </row>
    <row r="5099" spans="10:14" x14ac:dyDescent="0.4">
      <c r="J5099" s="140"/>
      <c r="N5099" s="211"/>
    </row>
    <row r="5100" spans="10:14" x14ac:dyDescent="0.4">
      <c r="J5100" s="140"/>
      <c r="N5100" s="211"/>
    </row>
    <row r="5101" spans="10:14" x14ac:dyDescent="0.4">
      <c r="J5101" s="140"/>
      <c r="N5101" s="211"/>
    </row>
    <row r="5102" spans="10:14" x14ac:dyDescent="0.4">
      <c r="J5102" s="140"/>
      <c r="N5102" s="211"/>
    </row>
    <row r="5103" spans="10:14" x14ac:dyDescent="0.4">
      <c r="J5103" s="140"/>
      <c r="N5103" s="211"/>
    </row>
    <row r="5104" spans="10:14" x14ac:dyDescent="0.4">
      <c r="J5104" s="140"/>
      <c r="N5104" s="211"/>
    </row>
    <row r="5105" spans="10:14" x14ac:dyDescent="0.4">
      <c r="J5105" s="140"/>
      <c r="N5105" s="211"/>
    </row>
    <row r="5106" spans="10:14" x14ac:dyDescent="0.4">
      <c r="J5106" s="140"/>
      <c r="N5106" s="211"/>
    </row>
    <row r="5107" spans="10:14" x14ac:dyDescent="0.4">
      <c r="J5107" s="140"/>
      <c r="N5107" s="211"/>
    </row>
    <row r="5108" spans="10:14" x14ac:dyDescent="0.4">
      <c r="J5108" s="140"/>
      <c r="N5108" s="211"/>
    </row>
    <row r="5109" spans="10:14" x14ac:dyDescent="0.4">
      <c r="J5109" s="140"/>
      <c r="N5109" s="211"/>
    </row>
    <row r="5110" spans="10:14" x14ac:dyDescent="0.4">
      <c r="J5110" s="140"/>
      <c r="N5110" s="211"/>
    </row>
    <row r="5111" spans="10:14" x14ac:dyDescent="0.4">
      <c r="J5111" s="140"/>
      <c r="N5111" s="211"/>
    </row>
    <row r="5112" spans="10:14" x14ac:dyDescent="0.4">
      <c r="J5112" s="140"/>
      <c r="N5112" s="211"/>
    </row>
    <row r="5113" spans="10:14" x14ac:dyDescent="0.4">
      <c r="J5113" s="140"/>
      <c r="N5113" s="211"/>
    </row>
    <row r="5114" spans="10:14" x14ac:dyDescent="0.4">
      <c r="J5114" s="140"/>
      <c r="N5114" s="211"/>
    </row>
    <row r="5115" spans="10:14" x14ac:dyDescent="0.4">
      <c r="J5115" s="140"/>
      <c r="N5115" s="211"/>
    </row>
    <row r="5116" spans="10:14" x14ac:dyDescent="0.4">
      <c r="J5116" s="140"/>
      <c r="N5116" s="211"/>
    </row>
    <row r="5117" spans="10:14" x14ac:dyDescent="0.4">
      <c r="J5117" s="140"/>
      <c r="N5117" s="211"/>
    </row>
    <row r="5118" spans="10:14" x14ac:dyDescent="0.4">
      <c r="J5118" s="140"/>
      <c r="N5118" s="211"/>
    </row>
    <row r="5119" spans="10:14" x14ac:dyDescent="0.4">
      <c r="J5119" s="140"/>
      <c r="N5119" s="211"/>
    </row>
    <row r="5120" spans="10:14" x14ac:dyDescent="0.4">
      <c r="J5120" s="140"/>
      <c r="N5120" s="211"/>
    </row>
    <row r="5121" spans="10:14" x14ac:dyDescent="0.4">
      <c r="J5121" s="140"/>
      <c r="N5121" s="211"/>
    </row>
    <row r="5122" spans="10:14" x14ac:dyDescent="0.4">
      <c r="J5122" s="140"/>
      <c r="N5122" s="211"/>
    </row>
    <row r="5123" spans="10:14" x14ac:dyDescent="0.4">
      <c r="J5123" s="140"/>
      <c r="N5123" s="211"/>
    </row>
    <row r="5124" spans="10:14" x14ac:dyDescent="0.4">
      <c r="J5124" s="140"/>
      <c r="N5124" s="211"/>
    </row>
    <row r="5125" spans="10:14" x14ac:dyDescent="0.4">
      <c r="J5125" s="140"/>
      <c r="N5125" s="211"/>
    </row>
    <row r="5126" spans="10:14" x14ac:dyDescent="0.4">
      <c r="J5126" s="140"/>
      <c r="N5126" s="211"/>
    </row>
    <row r="5127" spans="10:14" x14ac:dyDescent="0.4">
      <c r="J5127" s="140"/>
      <c r="N5127" s="211"/>
    </row>
    <row r="5128" spans="10:14" x14ac:dyDescent="0.4">
      <c r="J5128" s="140"/>
      <c r="N5128" s="211"/>
    </row>
    <row r="5129" spans="10:14" x14ac:dyDescent="0.4">
      <c r="J5129" s="140"/>
      <c r="N5129" s="211"/>
    </row>
    <row r="5130" spans="10:14" x14ac:dyDescent="0.4">
      <c r="J5130" s="140"/>
      <c r="N5130" s="211"/>
    </row>
    <row r="5131" spans="10:14" x14ac:dyDescent="0.4">
      <c r="J5131" s="140"/>
      <c r="N5131" s="211"/>
    </row>
    <row r="5132" spans="10:14" x14ac:dyDescent="0.4">
      <c r="J5132" s="140"/>
      <c r="N5132" s="211"/>
    </row>
    <row r="5133" spans="10:14" x14ac:dyDescent="0.4">
      <c r="J5133" s="140"/>
      <c r="N5133" s="211"/>
    </row>
    <row r="5134" spans="10:14" x14ac:dyDescent="0.4">
      <c r="J5134" s="140"/>
      <c r="N5134" s="211"/>
    </row>
    <row r="5135" spans="10:14" x14ac:dyDescent="0.4">
      <c r="J5135" s="140"/>
      <c r="N5135" s="211"/>
    </row>
    <row r="5136" spans="10:14" x14ac:dyDescent="0.4">
      <c r="J5136" s="140"/>
      <c r="N5136" s="211"/>
    </row>
    <row r="5137" spans="10:14" x14ac:dyDescent="0.4">
      <c r="J5137" s="140"/>
      <c r="N5137" s="211"/>
    </row>
    <row r="5138" spans="10:14" x14ac:dyDescent="0.4">
      <c r="J5138" s="140"/>
      <c r="N5138" s="211"/>
    </row>
    <row r="5139" spans="10:14" x14ac:dyDescent="0.4">
      <c r="J5139" s="140"/>
      <c r="N5139" s="211"/>
    </row>
    <row r="5140" spans="10:14" x14ac:dyDescent="0.4">
      <c r="J5140" s="140"/>
      <c r="N5140" s="211"/>
    </row>
    <row r="5141" spans="10:14" x14ac:dyDescent="0.4">
      <c r="J5141" s="140"/>
      <c r="N5141" s="211"/>
    </row>
    <row r="5142" spans="10:14" x14ac:dyDescent="0.4">
      <c r="J5142" s="140"/>
      <c r="N5142" s="211"/>
    </row>
    <row r="5143" spans="10:14" x14ac:dyDescent="0.4">
      <c r="J5143" s="140"/>
      <c r="N5143" s="211"/>
    </row>
    <row r="5144" spans="10:14" x14ac:dyDescent="0.4">
      <c r="J5144" s="140"/>
      <c r="N5144" s="211"/>
    </row>
    <row r="5145" spans="10:14" x14ac:dyDescent="0.4">
      <c r="J5145" s="140"/>
      <c r="N5145" s="211"/>
    </row>
    <row r="5146" spans="10:14" x14ac:dyDescent="0.4">
      <c r="J5146" s="140"/>
      <c r="N5146" s="211"/>
    </row>
    <row r="5147" spans="10:14" x14ac:dyDescent="0.4">
      <c r="J5147" s="140"/>
      <c r="N5147" s="211"/>
    </row>
    <row r="5148" spans="10:14" x14ac:dyDescent="0.4">
      <c r="J5148" s="140"/>
      <c r="N5148" s="211"/>
    </row>
    <row r="5149" spans="10:14" x14ac:dyDescent="0.4">
      <c r="J5149" s="140"/>
      <c r="N5149" s="211"/>
    </row>
    <row r="5150" spans="10:14" x14ac:dyDescent="0.4">
      <c r="J5150" s="140"/>
      <c r="N5150" s="211"/>
    </row>
    <row r="5151" spans="10:14" x14ac:dyDescent="0.4">
      <c r="J5151" s="140"/>
      <c r="N5151" s="211"/>
    </row>
    <row r="5152" spans="10:14" x14ac:dyDescent="0.4">
      <c r="J5152" s="140"/>
      <c r="N5152" s="211"/>
    </row>
    <row r="5153" spans="10:14" x14ac:dyDescent="0.4">
      <c r="J5153" s="140"/>
      <c r="N5153" s="211"/>
    </row>
    <row r="5154" spans="10:14" x14ac:dyDescent="0.4">
      <c r="J5154" s="140"/>
      <c r="N5154" s="211"/>
    </row>
    <row r="5155" spans="10:14" x14ac:dyDescent="0.4">
      <c r="J5155" s="140"/>
      <c r="N5155" s="211"/>
    </row>
    <row r="5156" spans="10:14" x14ac:dyDescent="0.4">
      <c r="J5156" s="140"/>
      <c r="N5156" s="211"/>
    </row>
    <row r="5157" spans="10:14" x14ac:dyDescent="0.4">
      <c r="J5157" s="140"/>
      <c r="N5157" s="211"/>
    </row>
    <row r="5158" spans="10:14" x14ac:dyDescent="0.4">
      <c r="J5158" s="140"/>
      <c r="N5158" s="211"/>
    </row>
    <row r="5159" spans="10:14" x14ac:dyDescent="0.4">
      <c r="J5159" s="140"/>
      <c r="N5159" s="211"/>
    </row>
    <row r="5160" spans="10:14" x14ac:dyDescent="0.4">
      <c r="J5160" s="140"/>
      <c r="N5160" s="211"/>
    </row>
    <row r="5161" spans="10:14" x14ac:dyDescent="0.4">
      <c r="J5161" s="140"/>
      <c r="N5161" s="211"/>
    </row>
    <row r="5162" spans="10:14" x14ac:dyDescent="0.4">
      <c r="J5162" s="140"/>
      <c r="N5162" s="211"/>
    </row>
    <row r="5163" spans="10:14" x14ac:dyDescent="0.4">
      <c r="J5163" s="140"/>
      <c r="N5163" s="211"/>
    </row>
    <row r="5164" spans="10:14" x14ac:dyDescent="0.4">
      <c r="J5164" s="140"/>
      <c r="N5164" s="211"/>
    </row>
    <row r="5165" spans="10:14" x14ac:dyDescent="0.4">
      <c r="J5165" s="140"/>
      <c r="N5165" s="211"/>
    </row>
    <row r="5166" spans="10:14" x14ac:dyDescent="0.4">
      <c r="J5166" s="140"/>
      <c r="N5166" s="211"/>
    </row>
    <row r="5167" spans="10:14" x14ac:dyDescent="0.4">
      <c r="J5167" s="140"/>
      <c r="N5167" s="211"/>
    </row>
    <row r="5168" spans="10:14" x14ac:dyDescent="0.4">
      <c r="J5168" s="140"/>
      <c r="N5168" s="211"/>
    </row>
    <row r="5169" spans="10:14" x14ac:dyDescent="0.4">
      <c r="J5169" s="140"/>
      <c r="N5169" s="211"/>
    </row>
    <row r="5170" spans="10:14" x14ac:dyDescent="0.4">
      <c r="J5170" s="140"/>
      <c r="N5170" s="211"/>
    </row>
    <row r="5171" spans="10:14" x14ac:dyDescent="0.4">
      <c r="J5171" s="140"/>
      <c r="N5171" s="211"/>
    </row>
    <row r="5172" spans="10:14" x14ac:dyDescent="0.4">
      <c r="J5172" s="140"/>
      <c r="N5172" s="211"/>
    </row>
    <row r="5173" spans="10:14" x14ac:dyDescent="0.4">
      <c r="J5173" s="140"/>
      <c r="N5173" s="211"/>
    </row>
    <row r="5174" spans="10:14" x14ac:dyDescent="0.4">
      <c r="J5174" s="140"/>
      <c r="N5174" s="211"/>
    </row>
    <row r="5175" spans="10:14" x14ac:dyDescent="0.4">
      <c r="J5175" s="140"/>
      <c r="N5175" s="211"/>
    </row>
    <row r="5176" spans="10:14" x14ac:dyDescent="0.4">
      <c r="J5176" s="140"/>
      <c r="N5176" s="211"/>
    </row>
    <row r="5177" spans="10:14" x14ac:dyDescent="0.4">
      <c r="J5177" s="140"/>
      <c r="N5177" s="211"/>
    </row>
    <row r="5178" spans="10:14" x14ac:dyDescent="0.4">
      <c r="J5178" s="140"/>
      <c r="N5178" s="211"/>
    </row>
    <row r="5179" spans="10:14" x14ac:dyDescent="0.4">
      <c r="J5179" s="140"/>
      <c r="N5179" s="211"/>
    </row>
    <row r="5180" spans="10:14" x14ac:dyDescent="0.4">
      <c r="J5180" s="140"/>
      <c r="N5180" s="211"/>
    </row>
    <row r="5181" spans="10:14" x14ac:dyDescent="0.4">
      <c r="J5181" s="140"/>
      <c r="N5181" s="211"/>
    </row>
    <row r="5182" spans="10:14" x14ac:dyDescent="0.4">
      <c r="J5182" s="140"/>
      <c r="N5182" s="211"/>
    </row>
    <row r="5183" spans="10:14" x14ac:dyDescent="0.4">
      <c r="J5183" s="140"/>
      <c r="N5183" s="211"/>
    </row>
    <row r="5184" spans="10:14" x14ac:dyDescent="0.4">
      <c r="J5184" s="140"/>
      <c r="N5184" s="211"/>
    </row>
    <row r="5185" spans="10:14" x14ac:dyDescent="0.4">
      <c r="J5185" s="140"/>
      <c r="N5185" s="211"/>
    </row>
    <row r="5186" spans="10:14" x14ac:dyDescent="0.4">
      <c r="J5186" s="140"/>
      <c r="N5186" s="211"/>
    </row>
    <row r="5187" spans="10:14" x14ac:dyDescent="0.4">
      <c r="J5187" s="140"/>
      <c r="N5187" s="211"/>
    </row>
    <row r="5188" spans="10:14" x14ac:dyDescent="0.4">
      <c r="J5188" s="140"/>
      <c r="N5188" s="211"/>
    </row>
    <row r="5189" spans="10:14" x14ac:dyDescent="0.4">
      <c r="J5189" s="140"/>
      <c r="N5189" s="211"/>
    </row>
    <row r="5190" spans="10:14" x14ac:dyDescent="0.4">
      <c r="J5190" s="140"/>
      <c r="N5190" s="211"/>
    </row>
    <row r="5191" spans="10:14" x14ac:dyDescent="0.4">
      <c r="J5191" s="140"/>
      <c r="N5191" s="211"/>
    </row>
    <row r="5192" spans="10:14" x14ac:dyDescent="0.4">
      <c r="J5192" s="140"/>
      <c r="N5192" s="211"/>
    </row>
    <row r="5193" spans="10:14" x14ac:dyDescent="0.4">
      <c r="J5193" s="140"/>
      <c r="N5193" s="211"/>
    </row>
    <row r="5194" spans="10:14" x14ac:dyDescent="0.4">
      <c r="J5194" s="140"/>
      <c r="N5194" s="211"/>
    </row>
    <row r="5195" spans="10:14" x14ac:dyDescent="0.4">
      <c r="J5195" s="140"/>
      <c r="N5195" s="211"/>
    </row>
    <row r="5196" spans="10:14" x14ac:dyDescent="0.4">
      <c r="J5196" s="140"/>
      <c r="N5196" s="211"/>
    </row>
    <row r="5197" spans="10:14" x14ac:dyDescent="0.4">
      <c r="J5197" s="140"/>
      <c r="N5197" s="211"/>
    </row>
    <row r="5198" spans="10:14" x14ac:dyDescent="0.4">
      <c r="J5198" s="140"/>
      <c r="N5198" s="211"/>
    </row>
    <row r="5199" spans="10:14" x14ac:dyDescent="0.4">
      <c r="J5199" s="140"/>
      <c r="N5199" s="211"/>
    </row>
    <row r="5200" spans="10:14" x14ac:dyDescent="0.4">
      <c r="J5200" s="140"/>
      <c r="N5200" s="211"/>
    </row>
    <row r="5201" spans="10:14" x14ac:dyDescent="0.4">
      <c r="J5201" s="140"/>
      <c r="N5201" s="211"/>
    </row>
    <row r="5202" spans="10:14" x14ac:dyDescent="0.4">
      <c r="J5202" s="140"/>
      <c r="N5202" s="211"/>
    </row>
    <row r="5203" spans="10:14" x14ac:dyDescent="0.4">
      <c r="J5203" s="140"/>
      <c r="N5203" s="211"/>
    </row>
    <row r="5204" spans="10:14" x14ac:dyDescent="0.4">
      <c r="J5204" s="140"/>
      <c r="N5204" s="211"/>
    </row>
    <row r="5205" spans="10:14" x14ac:dyDescent="0.4">
      <c r="J5205" s="140"/>
      <c r="N5205" s="211"/>
    </row>
    <row r="5206" spans="10:14" x14ac:dyDescent="0.4">
      <c r="J5206" s="140"/>
      <c r="N5206" s="211"/>
    </row>
    <row r="5207" spans="10:14" x14ac:dyDescent="0.4">
      <c r="J5207" s="140"/>
      <c r="N5207" s="211"/>
    </row>
    <row r="5208" spans="10:14" x14ac:dyDescent="0.4">
      <c r="J5208" s="140"/>
      <c r="N5208" s="211"/>
    </row>
    <row r="5209" spans="10:14" x14ac:dyDescent="0.4">
      <c r="J5209" s="140"/>
      <c r="N5209" s="211"/>
    </row>
    <row r="5210" spans="10:14" x14ac:dyDescent="0.4">
      <c r="J5210" s="140"/>
      <c r="N5210" s="211"/>
    </row>
    <row r="5211" spans="10:14" x14ac:dyDescent="0.4">
      <c r="J5211" s="140"/>
      <c r="N5211" s="211"/>
    </row>
    <row r="5212" spans="10:14" x14ac:dyDescent="0.4">
      <c r="J5212" s="140"/>
      <c r="N5212" s="211"/>
    </row>
    <row r="5213" spans="10:14" x14ac:dyDescent="0.4">
      <c r="J5213" s="140"/>
      <c r="N5213" s="211"/>
    </row>
    <row r="5214" spans="10:14" x14ac:dyDescent="0.4">
      <c r="J5214" s="140"/>
      <c r="N5214" s="211"/>
    </row>
    <row r="5215" spans="10:14" x14ac:dyDescent="0.4">
      <c r="J5215" s="140"/>
      <c r="N5215" s="211"/>
    </row>
    <row r="5216" spans="10:14" x14ac:dyDescent="0.4">
      <c r="J5216" s="140"/>
      <c r="N5216" s="211"/>
    </row>
    <row r="5217" spans="10:14" x14ac:dyDescent="0.4">
      <c r="J5217" s="140"/>
      <c r="N5217" s="211"/>
    </row>
    <row r="5218" spans="10:14" x14ac:dyDescent="0.4">
      <c r="J5218" s="140"/>
      <c r="N5218" s="211"/>
    </row>
    <row r="5219" spans="10:14" x14ac:dyDescent="0.4">
      <c r="J5219" s="140"/>
      <c r="N5219" s="211"/>
    </row>
    <row r="5220" spans="10:14" x14ac:dyDescent="0.4">
      <c r="J5220" s="140"/>
      <c r="N5220" s="211"/>
    </row>
    <row r="5221" spans="10:14" x14ac:dyDescent="0.4">
      <c r="J5221" s="140"/>
      <c r="N5221" s="211"/>
    </row>
    <row r="5222" spans="10:14" x14ac:dyDescent="0.4">
      <c r="J5222" s="140"/>
      <c r="N5222" s="211"/>
    </row>
    <row r="5223" spans="10:14" x14ac:dyDescent="0.4">
      <c r="J5223" s="140"/>
      <c r="N5223" s="211"/>
    </row>
    <row r="5224" spans="10:14" x14ac:dyDescent="0.4">
      <c r="J5224" s="140"/>
      <c r="N5224" s="211"/>
    </row>
    <row r="5225" spans="10:14" x14ac:dyDescent="0.4">
      <c r="J5225" s="140"/>
      <c r="N5225" s="211"/>
    </row>
    <row r="5226" spans="10:14" x14ac:dyDescent="0.4">
      <c r="J5226" s="140"/>
      <c r="N5226" s="211"/>
    </row>
    <row r="5227" spans="10:14" x14ac:dyDescent="0.4">
      <c r="J5227" s="140"/>
      <c r="N5227" s="211"/>
    </row>
    <row r="5228" spans="10:14" x14ac:dyDescent="0.4">
      <c r="J5228" s="140"/>
      <c r="N5228" s="211"/>
    </row>
    <row r="5229" spans="10:14" x14ac:dyDescent="0.4">
      <c r="J5229" s="140"/>
      <c r="N5229" s="211"/>
    </row>
    <row r="5230" spans="10:14" x14ac:dyDescent="0.4">
      <c r="J5230" s="140"/>
      <c r="N5230" s="211"/>
    </row>
    <row r="5231" spans="10:14" x14ac:dyDescent="0.4">
      <c r="J5231" s="140"/>
      <c r="N5231" s="211"/>
    </row>
    <row r="5232" spans="10:14" x14ac:dyDescent="0.4">
      <c r="J5232" s="140"/>
      <c r="N5232" s="211"/>
    </row>
    <row r="5233" spans="10:14" x14ac:dyDescent="0.4">
      <c r="J5233" s="140"/>
      <c r="N5233" s="211"/>
    </row>
    <row r="5234" spans="10:14" x14ac:dyDescent="0.4">
      <c r="J5234" s="140"/>
      <c r="N5234" s="211"/>
    </row>
    <row r="5235" spans="10:14" x14ac:dyDescent="0.4">
      <c r="J5235" s="140"/>
      <c r="N5235" s="211"/>
    </row>
    <row r="5236" spans="10:14" x14ac:dyDescent="0.4">
      <c r="J5236" s="140"/>
      <c r="N5236" s="211"/>
    </row>
    <row r="5237" spans="10:14" x14ac:dyDescent="0.4">
      <c r="J5237" s="140"/>
      <c r="N5237" s="211"/>
    </row>
    <row r="5238" spans="10:14" x14ac:dyDescent="0.4">
      <c r="J5238" s="140"/>
      <c r="N5238" s="211"/>
    </row>
    <row r="5239" spans="10:14" x14ac:dyDescent="0.4">
      <c r="J5239" s="140"/>
      <c r="N5239" s="211"/>
    </row>
    <row r="5240" spans="10:14" x14ac:dyDescent="0.4">
      <c r="J5240" s="140"/>
      <c r="N5240" s="211"/>
    </row>
    <row r="5241" spans="10:14" x14ac:dyDescent="0.4">
      <c r="J5241" s="140"/>
      <c r="N5241" s="211"/>
    </row>
    <row r="5242" spans="10:14" x14ac:dyDescent="0.4">
      <c r="J5242" s="140"/>
      <c r="N5242" s="211"/>
    </row>
    <row r="5243" spans="10:14" x14ac:dyDescent="0.4">
      <c r="J5243" s="140"/>
      <c r="N5243" s="211"/>
    </row>
    <row r="5244" spans="10:14" x14ac:dyDescent="0.4">
      <c r="J5244" s="140"/>
      <c r="N5244" s="211"/>
    </row>
    <row r="5245" spans="10:14" x14ac:dyDescent="0.4">
      <c r="J5245" s="140"/>
      <c r="N5245" s="211"/>
    </row>
    <row r="5246" spans="10:14" x14ac:dyDescent="0.4">
      <c r="J5246" s="140"/>
      <c r="N5246" s="211"/>
    </row>
    <row r="5247" spans="10:14" x14ac:dyDescent="0.4">
      <c r="J5247" s="140"/>
      <c r="N5247" s="211"/>
    </row>
    <row r="5248" spans="10:14" x14ac:dyDescent="0.4">
      <c r="J5248" s="140"/>
      <c r="N5248" s="211"/>
    </row>
    <row r="5249" spans="10:14" x14ac:dyDescent="0.4">
      <c r="J5249" s="140"/>
      <c r="N5249" s="211"/>
    </row>
    <row r="5250" spans="10:14" x14ac:dyDescent="0.4">
      <c r="J5250" s="140"/>
      <c r="N5250" s="211"/>
    </row>
    <row r="5251" spans="10:14" x14ac:dyDescent="0.4">
      <c r="J5251" s="140"/>
      <c r="N5251" s="211"/>
    </row>
    <row r="5252" spans="10:14" x14ac:dyDescent="0.4">
      <c r="J5252" s="140"/>
      <c r="N5252" s="211"/>
    </row>
    <row r="5253" spans="10:14" x14ac:dyDescent="0.4">
      <c r="J5253" s="140"/>
      <c r="N5253" s="211"/>
    </row>
    <row r="5254" spans="10:14" x14ac:dyDescent="0.4">
      <c r="J5254" s="140"/>
      <c r="N5254" s="211"/>
    </row>
    <row r="5255" spans="10:14" x14ac:dyDescent="0.4">
      <c r="J5255" s="140"/>
      <c r="N5255" s="211"/>
    </row>
    <row r="5256" spans="10:14" x14ac:dyDescent="0.4">
      <c r="J5256" s="140"/>
      <c r="N5256" s="211"/>
    </row>
    <row r="5257" spans="10:14" x14ac:dyDescent="0.4">
      <c r="J5257" s="140"/>
      <c r="N5257" s="211"/>
    </row>
    <row r="5258" spans="10:14" x14ac:dyDescent="0.4">
      <c r="J5258" s="140"/>
      <c r="N5258" s="211"/>
    </row>
    <row r="5259" spans="10:14" x14ac:dyDescent="0.4">
      <c r="J5259" s="140"/>
      <c r="N5259" s="211"/>
    </row>
    <row r="5260" spans="10:14" x14ac:dyDescent="0.4">
      <c r="J5260" s="140"/>
      <c r="N5260" s="211"/>
    </row>
    <row r="5261" spans="10:14" x14ac:dyDescent="0.4">
      <c r="J5261" s="140"/>
      <c r="N5261" s="211"/>
    </row>
    <row r="5262" spans="10:14" x14ac:dyDescent="0.4">
      <c r="J5262" s="140"/>
      <c r="N5262" s="211"/>
    </row>
    <row r="5263" spans="10:14" x14ac:dyDescent="0.4">
      <c r="J5263" s="140"/>
      <c r="N5263" s="211"/>
    </row>
    <row r="5264" spans="10:14" x14ac:dyDescent="0.4">
      <c r="J5264" s="140"/>
      <c r="N5264" s="211"/>
    </row>
    <row r="5265" spans="10:14" x14ac:dyDescent="0.4">
      <c r="J5265" s="140"/>
      <c r="N5265" s="211"/>
    </row>
    <row r="5266" spans="10:14" x14ac:dyDescent="0.4">
      <c r="J5266" s="140"/>
      <c r="N5266" s="211"/>
    </row>
    <row r="5267" spans="10:14" x14ac:dyDescent="0.4">
      <c r="J5267" s="140"/>
      <c r="N5267" s="211"/>
    </row>
    <row r="5268" spans="10:14" x14ac:dyDescent="0.4">
      <c r="J5268" s="140"/>
      <c r="N5268" s="211"/>
    </row>
    <row r="5269" spans="10:14" x14ac:dyDescent="0.4">
      <c r="J5269" s="140"/>
      <c r="N5269" s="211"/>
    </row>
    <row r="5270" spans="10:14" x14ac:dyDescent="0.4">
      <c r="J5270" s="140"/>
      <c r="N5270" s="211"/>
    </row>
    <row r="5271" spans="10:14" x14ac:dyDescent="0.4">
      <c r="J5271" s="140"/>
      <c r="N5271" s="211"/>
    </row>
    <row r="5272" spans="10:14" x14ac:dyDescent="0.4">
      <c r="J5272" s="140"/>
      <c r="N5272" s="211"/>
    </row>
    <row r="5273" spans="10:14" x14ac:dyDescent="0.4">
      <c r="J5273" s="140"/>
      <c r="N5273" s="211"/>
    </row>
    <row r="5274" spans="10:14" x14ac:dyDescent="0.4">
      <c r="J5274" s="140"/>
      <c r="N5274" s="211"/>
    </row>
    <row r="5275" spans="10:14" x14ac:dyDescent="0.4">
      <c r="J5275" s="140"/>
      <c r="N5275" s="211"/>
    </row>
    <row r="5276" spans="10:14" x14ac:dyDescent="0.4">
      <c r="J5276" s="140"/>
      <c r="N5276" s="211"/>
    </row>
    <row r="5277" spans="10:14" x14ac:dyDescent="0.4">
      <c r="J5277" s="140"/>
      <c r="N5277" s="211"/>
    </row>
    <row r="5278" spans="10:14" x14ac:dyDescent="0.4">
      <c r="J5278" s="140"/>
      <c r="N5278" s="211"/>
    </row>
    <row r="5279" spans="10:14" x14ac:dyDescent="0.4">
      <c r="J5279" s="140"/>
      <c r="N5279" s="211"/>
    </row>
    <row r="5280" spans="10:14" x14ac:dyDescent="0.4">
      <c r="J5280" s="140"/>
      <c r="N5280" s="211"/>
    </row>
    <row r="5281" spans="10:14" x14ac:dyDescent="0.4">
      <c r="J5281" s="140"/>
      <c r="N5281" s="211"/>
    </row>
    <row r="5282" spans="10:14" x14ac:dyDescent="0.4">
      <c r="J5282" s="140"/>
      <c r="N5282" s="211"/>
    </row>
    <row r="5283" spans="10:14" x14ac:dyDescent="0.4">
      <c r="J5283" s="140"/>
      <c r="N5283" s="211"/>
    </row>
    <row r="5284" spans="10:14" x14ac:dyDescent="0.4">
      <c r="J5284" s="140"/>
      <c r="N5284" s="211"/>
    </row>
    <row r="5285" spans="10:14" x14ac:dyDescent="0.4">
      <c r="J5285" s="140"/>
      <c r="N5285" s="211"/>
    </row>
    <row r="5286" spans="10:14" x14ac:dyDescent="0.4">
      <c r="J5286" s="140"/>
      <c r="N5286" s="211"/>
    </row>
    <row r="5287" spans="10:14" x14ac:dyDescent="0.4">
      <c r="J5287" s="140"/>
      <c r="N5287" s="211"/>
    </row>
    <row r="5288" spans="10:14" x14ac:dyDescent="0.4">
      <c r="J5288" s="140"/>
      <c r="N5288" s="211"/>
    </row>
    <row r="5289" spans="10:14" x14ac:dyDescent="0.4">
      <c r="J5289" s="140"/>
      <c r="N5289" s="211"/>
    </row>
    <row r="5290" spans="10:14" x14ac:dyDescent="0.4">
      <c r="J5290" s="140"/>
      <c r="N5290" s="211"/>
    </row>
    <row r="5291" spans="10:14" x14ac:dyDescent="0.4">
      <c r="J5291" s="140"/>
      <c r="N5291" s="211"/>
    </row>
    <row r="5292" spans="10:14" x14ac:dyDescent="0.4">
      <c r="J5292" s="140"/>
      <c r="N5292" s="211"/>
    </row>
    <row r="5293" spans="10:14" x14ac:dyDescent="0.4">
      <c r="J5293" s="140"/>
      <c r="N5293" s="211"/>
    </row>
    <row r="5294" spans="10:14" x14ac:dyDescent="0.4">
      <c r="J5294" s="140"/>
      <c r="N5294" s="211"/>
    </row>
    <row r="5295" spans="10:14" x14ac:dyDescent="0.4">
      <c r="J5295" s="140"/>
      <c r="N5295" s="211"/>
    </row>
    <row r="5296" spans="10:14" x14ac:dyDescent="0.4">
      <c r="J5296" s="140"/>
      <c r="N5296" s="211"/>
    </row>
    <row r="5297" spans="10:14" x14ac:dyDescent="0.4">
      <c r="J5297" s="140"/>
      <c r="N5297" s="211"/>
    </row>
    <row r="5298" spans="10:14" x14ac:dyDescent="0.4">
      <c r="J5298" s="140"/>
      <c r="N5298" s="211"/>
    </row>
    <row r="5299" spans="10:14" x14ac:dyDescent="0.4">
      <c r="J5299" s="140"/>
      <c r="N5299" s="211"/>
    </row>
    <row r="5300" spans="10:14" x14ac:dyDescent="0.4">
      <c r="J5300" s="140"/>
      <c r="N5300" s="211"/>
    </row>
    <row r="5301" spans="10:14" x14ac:dyDescent="0.4">
      <c r="J5301" s="140"/>
      <c r="N5301" s="211"/>
    </row>
    <row r="5302" spans="10:14" x14ac:dyDescent="0.4">
      <c r="J5302" s="140"/>
      <c r="N5302" s="211"/>
    </row>
    <row r="5303" spans="10:14" x14ac:dyDescent="0.4">
      <c r="J5303" s="140"/>
      <c r="N5303" s="211"/>
    </row>
    <row r="5304" spans="10:14" x14ac:dyDescent="0.4">
      <c r="J5304" s="140"/>
      <c r="N5304" s="211"/>
    </row>
    <row r="5305" spans="10:14" x14ac:dyDescent="0.4">
      <c r="J5305" s="140"/>
      <c r="N5305" s="211"/>
    </row>
    <row r="5306" spans="10:14" x14ac:dyDescent="0.4">
      <c r="J5306" s="140"/>
      <c r="N5306" s="211"/>
    </row>
    <row r="5307" spans="10:14" x14ac:dyDescent="0.4">
      <c r="J5307" s="140"/>
      <c r="N5307" s="211"/>
    </row>
    <row r="5308" spans="10:14" x14ac:dyDescent="0.4">
      <c r="J5308" s="140"/>
      <c r="N5308" s="211"/>
    </row>
    <row r="5309" spans="10:14" x14ac:dyDescent="0.4">
      <c r="J5309" s="140"/>
      <c r="N5309" s="211"/>
    </row>
    <row r="5310" spans="10:14" x14ac:dyDescent="0.4">
      <c r="J5310" s="140"/>
      <c r="N5310" s="211"/>
    </row>
    <row r="5311" spans="10:14" x14ac:dyDescent="0.4">
      <c r="J5311" s="140"/>
      <c r="N5311" s="211"/>
    </row>
    <row r="5312" spans="10:14" x14ac:dyDescent="0.4">
      <c r="J5312" s="140"/>
      <c r="N5312" s="211"/>
    </row>
    <row r="5313" spans="10:14" x14ac:dyDescent="0.4">
      <c r="J5313" s="140"/>
      <c r="N5313" s="211"/>
    </row>
    <row r="5314" spans="10:14" x14ac:dyDescent="0.4">
      <c r="J5314" s="140"/>
      <c r="N5314" s="211"/>
    </row>
    <row r="5315" spans="10:14" x14ac:dyDescent="0.4">
      <c r="J5315" s="140"/>
      <c r="N5315" s="211"/>
    </row>
    <row r="5316" spans="10:14" x14ac:dyDescent="0.4">
      <c r="J5316" s="140"/>
      <c r="N5316" s="211"/>
    </row>
    <row r="5317" spans="10:14" x14ac:dyDescent="0.4">
      <c r="J5317" s="140"/>
      <c r="N5317" s="211"/>
    </row>
    <row r="5318" spans="10:14" x14ac:dyDescent="0.4">
      <c r="J5318" s="140"/>
      <c r="N5318" s="211"/>
    </row>
    <row r="5319" spans="10:14" x14ac:dyDescent="0.4">
      <c r="J5319" s="140"/>
      <c r="N5319" s="211"/>
    </row>
    <row r="5320" spans="10:14" x14ac:dyDescent="0.4">
      <c r="J5320" s="140"/>
      <c r="N5320" s="211"/>
    </row>
    <row r="5321" spans="10:14" x14ac:dyDescent="0.4">
      <c r="J5321" s="140"/>
      <c r="N5321" s="211"/>
    </row>
    <row r="5322" spans="10:14" x14ac:dyDescent="0.4">
      <c r="J5322" s="140"/>
      <c r="N5322" s="211"/>
    </row>
    <row r="5323" spans="10:14" x14ac:dyDescent="0.4">
      <c r="J5323" s="140"/>
      <c r="N5323" s="211"/>
    </row>
    <row r="5324" spans="10:14" x14ac:dyDescent="0.4">
      <c r="J5324" s="140"/>
      <c r="N5324" s="211"/>
    </row>
    <row r="5325" spans="10:14" x14ac:dyDescent="0.4">
      <c r="J5325" s="140"/>
      <c r="N5325" s="211"/>
    </row>
    <row r="5326" spans="10:14" x14ac:dyDescent="0.4">
      <c r="J5326" s="140"/>
      <c r="N5326" s="211"/>
    </row>
    <row r="5327" spans="10:14" x14ac:dyDescent="0.4">
      <c r="J5327" s="140"/>
      <c r="N5327" s="211"/>
    </row>
    <row r="5328" spans="10:14" x14ac:dyDescent="0.4">
      <c r="J5328" s="140"/>
      <c r="N5328" s="211"/>
    </row>
    <row r="5329" spans="10:14" x14ac:dyDescent="0.4">
      <c r="J5329" s="140"/>
      <c r="N5329" s="211"/>
    </row>
    <row r="5330" spans="10:14" x14ac:dyDescent="0.4">
      <c r="J5330" s="140"/>
      <c r="N5330" s="211"/>
    </row>
    <row r="5331" spans="10:14" x14ac:dyDescent="0.4">
      <c r="J5331" s="140"/>
      <c r="N5331" s="211"/>
    </row>
    <row r="5332" spans="10:14" x14ac:dyDescent="0.4">
      <c r="J5332" s="140"/>
      <c r="N5332" s="211"/>
    </row>
    <row r="5333" spans="10:14" x14ac:dyDescent="0.4">
      <c r="J5333" s="140"/>
      <c r="N5333" s="211"/>
    </row>
    <row r="5334" spans="10:14" x14ac:dyDescent="0.4">
      <c r="J5334" s="140"/>
      <c r="N5334" s="211"/>
    </row>
    <row r="5335" spans="10:14" x14ac:dyDescent="0.4">
      <c r="J5335" s="140"/>
      <c r="N5335" s="211"/>
    </row>
    <row r="5336" spans="10:14" x14ac:dyDescent="0.4">
      <c r="J5336" s="140"/>
      <c r="N5336" s="211"/>
    </row>
    <row r="5337" spans="10:14" x14ac:dyDescent="0.4">
      <c r="J5337" s="140"/>
      <c r="N5337" s="211"/>
    </row>
    <row r="5338" spans="10:14" x14ac:dyDescent="0.4">
      <c r="J5338" s="140"/>
      <c r="N5338" s="211"/>
    </row>
    <row r="5339" spans="10:14" x14ac:dyDescent="0.4">
      <c r="J5339" s="140"/>
      <c r="N5339" s="211"/>
    </row>
    <row r="5340" spans="10:14" x14ac:dyDescent="0.4">
      <c r="J5340" s="140"/>
      <c r="N5340" s="211"/>
    </row>
    <row r="5341" spans="10:14" x14ac:dyDescent="0.4">
      <c r="J5341" s="140"/>
      <c r="N5341" s="211"/>
    </row>
    <row r="5342" spans="10:14" x14ac:dyDescent="0.4">
      <c r="J5342" s="140"/>
      <c r="N5342" s="211"/>
    </row>
    <row r="5343" spans="10:14" x14ac:dyDescent="0.4">
      <c r="J5343" s="140"/>
      <c r="N5343" s="211"/>
    </row>
    <row r="5344" spans="10:14" x14ac:dyDescent="0.4">
      <c r="J5344" s="140"/>
      <c r="N5344" s="211"/>
    </row>
    <row r="5345" spans="10:14" x14ac:dyDescent="0.4">
      <c r="J5345" s="140"/>
      <c r="N5345" s="211"/>
    </row>
    <row r="5346" spans="10:14" x14ac:dyDescent="0.4">
      <c r="J5346" s="140"/>
      <c r="N5346" s="211"/>
    </row>
    <row r="5347" spans="10:14" x14ac:dyDescent="0.4">
      <c r="J5347" s="140"/>
      <c r="N5347" s="211"/>
    </row>
    <row r="5348" spans="10:14" x14ac:dyDescent="0.4">
      <c r="J5348" s="140"/>
      <c r="N5348" s="211"/>
    </row>
    <row r="5349" spans="10:14" x14ac:dyDescent="0.4">
      <c r="J5349" s="140"/>
      <c r="N5349" s="211"/>
    </row>
    <row r="5350" spans="10:14" x14ac:dyDescent="0.4">
      <c r="J5350" s="140"/>
      <c r="N5350" s="211"/>
    </row>
    <row r="5351" spans="10:14" x14ac:dyDescent="0.4">
      <c r="J5351" s="140"/>
      <c r="N5351" s="211"/>
    </row>
    <row r="5352" spans="10:14" x14ac:dyDescent="0.4">
      <c r="J5352" s="140"/>
      <c r="N5352" s="211"/>
    </row>
    <row r="5353" spans="10:14" x14ac:dyDescent="0.4">
      <c r="J5353" s="140"/>
      <c r="N5353" s="211"/>
    </row>
    <row r="5354" spans="10:14" x14ac:dyDescent="0.4">
      <c r="J5354" s="140"/>
      <c r="N5354" s="211"/>
    </row>
    <row r="5355" spans="10:14" x14ac:dyDescent="0.4">
      <c r="J5355" s="140"/>
      <c r="N5355" s="211"/>
    </row>
    <row r="5356" spans="10:14" x14ac:dyDescent="0.4">
      <c r="J5356" s="140"/>
      <c r="N5356" s="211"/>
    </row>
    <row r="5357" spans="10:14" x14ac:dyDescent="0.4">
      <c r="J5357" s="140"/>
      <c r="N5357" s="211"/>
    </row>
    <row r="5358" spans="10:14" x14ac:dyDescent="0.4">
      <c r="J5358" s="140"/>
      <c r="N5358" s="211"/>
    </row>
    <row r="5359" spans="10:14" x14ac:dyDescent="0.4">
      <c r="J5359" s="140"/>
      <c r="N5359" s="211"/>
    </row>
    <row r="5360" spans="10:14" x14ac:dyDescent="0.4">
      <c r="J5360" s="140"/>
      <c r="N5360" s="211"/>
    </row>
    <row r="5361" spans="10:14" x14ac:dyDescent="0.4">
      <c r="J5361" s="140"/>
      <c r="N5361" s="211"/>
    </row>
    <row r="5362" spans="10:14" x14ac:dyDescent="0.4">
      <c r="J5362" s="140"/>
      <c r="N5362" s="211"/>
    </row>
    <row r="5363" spans="10:14" x14ac:dyDescent="0.4">
      <c r="J5363" s="140"/>
      <c r="N5363" s="211"/>
    </row>
    <row r="5364" spans="10:14" x14ac:dyDescent="0.4">
      <c r="J5364" s="140"/>
      <c r="N5364" s="211"/>
    </row>
    <row r="5365" spans="10:14" x14ac:dyDescent="0.4">
      <c r="J5365" s="140"/>
      <c r="N5365" s="211"/>
    </row>
    <row r="5366" spans="10:14" x14ac:dyDescent="0.4">
      <c r="J5366" s="140"/>
      <c r="N5366" s="211"/>
    </row>
    <row r="5367" spans="10:14" x14ac:dyDescent="0.4">
      <c r="J5367" s="140"/>
      <c r="N5367" s="211"/>
    </row>
    <row r="5368" spans="10:14" x14ac:dyDescent="0.4">
      <c r="J5368" s="140"/>
      <c r="N5368" s="211"/>
    </row>
    <row r="5369" spans="10:14" x14ac:dyDescent="0.4">
      <c r="J5369" s="140"/>
      <c r="N5369" s="211"/>
    </row>
    <row r="5370" spans="10:14" x14ac:dyDescent="0.4">
      <c r="J5370" s="140"/>
      <c r="N5370" s="211"/>
    </row>
    <row r="5371" spans="10:14" x14ac:dyDescent="0.4">
      <c r="J5371" s="140"/>
      <c r="N5371" s="211"/>
    </row>
    <row r="5372" spans="10:14" x14ac:dyDescent="0.4">
      <c r="J5372" s="140"/>
      <c r="N5372" s="211"/>
    </row>
    <row r="5373" spans="10:14" x14ac:dyDescent="0.4">
      <c r="J5373" s="140"/>
      <c r="N5373" s="211"/>
    </row>
    <row r="5374" spans="10:14" x14ac:dyDescent="0.4">
      <c r="J5374" s="140"/>
      <c r="N5374" s="211"/>
    </row>
    <row r="5375" spans="10:14" x14ac:dyDescent="0.4">
      <c r="J5375" s="140"/>
      <c r="N5375" s="211"/>
    </row>
    <row r="5376" spans="10:14" x14ac:dyDescent="0.4">
      <c r="J5376" s="140"/>
      <c r="N5376" s="211"/>
    </row>
    <row r="5377" spans="10:14" x14ac:dyDescent="0.4">
      <c r="J5377" s="140"/>
      <c r="N5377" s="211"/>
    </row>
    <row r="5378" spans="10:14" x14ac:dyDescent="0.4">
      <c r="J5378" s="140"/>
      <c r="N5378" s="211"/>
    </row>
    <row r="5379" spans="10:14" x14ac:dyDescent="0.4">
      <c r="J5379" s="140"/>
      <c r="N5379" s="211"/>
    </row>
    <row r="5380" spans="10:14" x14ac:dyDescent="0.4">
      <c r="J5380" s="140"/>
      <c r="N5380" s="211"/>
    </row>
    <row r="5381" spans="10:14" x14ac:dyDescent="0.4">
      <c r="J5381" s="140"/>
      <c r="N5381" s="211"/>
    </row>
    <row r="5382" spans="10:14" x14ac:dyDescent="0.4">
      <c r="J5382" s="140"/>
      <c r="N5382" s="211"/>
    </row>
    <row r="5383" spans="10:14" x14ac:dyDescent="0.4">
      <c r="J5383" s="140"/>
      <c r="N5383" s="211"/>
    </row>
    <row r="5384" spans="10:14" x14ac:dyDescent="0.4">
      <c r="J5384" s="140"/>
      <c r="N5384" s="211"/>
    </row>
    <row r="5385" spans="10:14" x14ac:dyDescent="0.4">
      <c r="J5385" s="140"/>
      <c r="N5385" s="211"/>
    </row>
    <row r="5386" spans="10:14" x14ac:dyDescent="0.4">
      <c r="J5386" s="140"/>
      <c r="N5386" s="211"/>
    </row>
    <row r="5387" spans="10:14" x14ac:dyDescent="0.4">
      <c r="J5387" s="140"/>
      <c r="N5387" s="211"/>
    </row>
    <row r="5388" spans="10:14" x14ac:dyDescent="0.4">
      <c r="J5388" s="140"/>
      <c r="N5388" s="211"/>
    </row>
    <row r="5389" spans="10:14" x14ac:dyDescent="0.4">
      <c r="J5389" s="140"/>
      <c r="N5389" s="211"/>
    </row>
    <row r="5390" spans="10:14" x14ac:dyDescent="0.4">
      <c r="J5390" s="140"/>
      <c r="N5390" s="211"/>
    </row>
    <row r="5391" spans="10:14" x14ac:dyDescent="0.4">
      <c r="J5391" s="140"/>
      <c r="N5391" s="211"/>
    </row>
    <row r="5392" spans="10:14" x14ac:dyDescent="0.4">
      <c r="J5392" s="140"/>
      <c r="N5392" s="211"/>
    </row>
    <row r="5393" spans="10:14" x14ac:dyDescent="0.4">
      <c r="J5393" s="140"/>
      <c r="N5393" s="211"/>
    </row>
    <row r="5394" spans="10:14" x14ac:dyDescent="0.4">
      <c r="J5394" s="140"/>
      <c r="N5394" s="211"/>
    </row>
    <row r="5395" spans="10:14" x14ac:dyDescent="0.4">
      <c r="J5395" s="140"/>
      <c r="N5395" s="211"/>
    </row>
    <row r="5396" spans="10:14" x14ac:dyDescent="0.4">
      <c r="J5396" s="140"/>
      <c r="N5396" s="211"/>
    </row>
    <row r="5397" spans="10:14" x14ac:dyDescent="0.4">
      <c r="J5397" s="140"/>
      <c r="N5397" s="211"/>
    </row>
    <row r="5398" spans="10:14" x14ac:dyDescent="0.4">
      <c r="J5398" s="140"/>
      <c r="N5398" s="211"/>
    </row>
    <row r="5399" spans="10:14" x14ac:dyDescent="0.4">
      <c r="J5399" s="140"/>
      <c r="N5399" s="211"/>
    </row>
    <row r="5400" spans="10:14" x14ac:dyDescent="0.4">
      <c r="J5400" s="140"/>
      <c r="N5400" s="211"/>
    </row>
    <row r="5401" spans="10:14" x14ac:dyDescent="0.4">
      <c r="J5401" s="140"/>
      <c r="N5401" s="211"/>
    </row>
    <row r="5402" spans="10:14" x14ac:dyDescent="0.4">
      <c r="J5402" s="140"/>
      <c r="N5402" s="211"/>
    </row>
    <row r="5403" spans="10:14" x14ac:dyDescent="0.4">
      <c r="J5403" s="140"/>
      <c r="N5403" s="211"/>
    </row>
    <row r="5404" spans="10:14" x14ac:dyDescent="0.4">
      <c r="J5404" s="140"/>
      <c r="N5404" s="211"/>
    </row>
    <row r="5405" spans="10:14" x14ac:dyDescent="0.4">
      <c r="J5405" s="140"/>
      <c r="N5405" s="211"/>
    </row>
    <row r="5406" spans="10:14" x14ac:dyDescent="0.4">
      <c r="J5406" s="140"/>
      <c r="N5406" s="211"/>
    </row>
    <row r="5407" spans="10:14" x14ac:dyDescent="0.4">
      <c r="J5407" s="140"/>
      <c r="N5407" s="211"/>
    </row>
    <row r="5408" spans="10:14" x14ac:dyDescent="0.4">
      <c r="J5408" s="140"/>
      <c r="N5408" s="211"/>
    </row>
    <row r="5409" spans="10:14" x14ac:dyDescent="0.4">
      <c r="J5409" s="140"/>
      <c r="N5409" s="211"/>
    </row>
    <row r="5410" spans="10:14" x14ac:dyDescent="0.4">
      <c r="J5410" s="140"/>
      <c r="N5410" s="211"/>
    </row>
    <row r="5411" spans="10:14" x14ac:dyDescent="0.4">
      <c r="J5411" s="140"/>
      <c r="N5411" s="211"/>
    </row>
    <row r="5412" spans="10:14" x14ac:dyDescent="0.4">
      <c r="J5412" s="140"/>
      <c r="N5412" s="211"/>
    </row>
    <row r="5413" spans="10:14" x14ac:dyDescent="0.4">
      <c r="J5413" s="140"/>
      <c r="N5413" s="211"/>
    </row>
    <row r="5414" spans="10:14" x14ac:dyDescent="0.4">
      <c r="J5414" s="140"/>
      <c r="N5414" s="211"/>
    </row>
    <row r="5415" spans="10:14" x14ac:dyDescent="0.4">
      <c r="J5415" s="140"/>
      <c r="N5415" s="211"/>
    </row>
    <row r="5416" spans="10:14" x14ac:dyDescent="0.4">
      <c r="J5416" s="140"/>
      <c r="N5416" s="211"/>
    </row>
    <row r="5417" spans="10:14" x14ac:dyDescent="0.4">
      <c r="J5417" s="140"/>
      <c r="N5417" s="211"/>
    </row>
    <row r="5418" spans="10:14" x14ac:dyDescent="0.4">
      <c r="J5418" s="140"/>
      <c r="N5418" s="211"/>
    </row>
    <row r="5419" spans="10:14" x14ac:dyDescent="0.4">
      <c r="J5419" s="140"/>
      <c r="N5419" s="211"/>
    </row>
    <row r="5420" spans="10:14" x14ac:dyDescent="0.4">
      <c r="J5420" s="140"/>
      <c r="N5420" s="211"/>
    </row>
    <row r="5421" spans="10:14" x14ac:dyDescent="0.4">
      <c r="J5421" s="140"/>
      <c r="N5421" s="211"/>
    </row>
    <row r="5422" spans="10:14" x14ac:dyDescent="0.4">
      <c r="J5422" s="140"/>
      <c r="N5422" s="211"/>
    </row>
    <row r="5423" spans="10:14" x14ac:dyDescent="0.4">
      <c r="J5423" s="140"/>
      <c r="N5423" s="211"/>
    </row>
    <row r="5424" spans="10:14" x14ac:dyDescent="0.4">
      <c r="J5424" s="140"/>
      <c r="N5424" s="211"/>
    </row>
    <row r="5425" spans="10:14" x14ac:dyDescent="0.4">
      <c r="J5425" s="140"/>
      <c r="N5425" s="211"/>
    </row>
    <row r="5426" spans="10:14" x14ac:dyDescent="0.4">
      <c r="J5426" s="140"/>
      <c r="N5426" s="211"/>
    </row>
    <row r="5427" spans="10:14" x14ac:dyDescent="0.4">
      <c r="J5427" s="140"/>
      <c r="N5427" s="211"/>
    </row>
    <row r="5428" spans="10:14" x14ac:dyDescent="0.4">
      <c r="J5428" s="140"/>
      <c r="N5428" s="211"/>
    </row>
    <row r="5429" spans="10:14" x14ac:dyDescent="0.4">
      <c r="J5429" s="140"/>
      <c r="N5429" s="211"/>
    </row>
    <row r="5430" spans="10:14" x14ac:dyDescent="0.4">
      <c r="J5430" s="140"/>
      <c r="N5430" s="211"/>
    </row>
    <row r="5431" spans="10:14" x14ac:dyDescent="0.4">
      <c r="J5431" s="140"/>
      <c r="N5431" s="211"/>
    </row>
    <row r="5432" spans="10:14" x14ac:dyDescent="0.4">
      <c r="J5432" s="140"/>
      <c r="N5432" s="211"/>
    </row>
    <row r="5433" spans="10:14" x14ac:dyDescent="0.4">
      <c r="J5433" s="140"/>
      <c r="N5433" s="211"/>
    </row>
    <row r="5434" spans="10:14" x14ac:dyDescent="0.4">
      <c r="J5434" s="140"/>
      <c r="N5434" s="211"/>
    </row>
    <row r="5435" spans="10:14" x14ac:dyDescent="0.4">
      <c r="J5435" s="140"/>
      <c r="N5435" s="211"/>
    </row>
    <row r="5436" spans="10:14" x14ac:dyDescent="0.4">
      <c r="J5436" s="140"/>
      <c r="N5436" s="211"/>
    </row>
    <row r="5437" spans="10:14" x14ac:dyDescent="0.4">
      <c r="J5437" s="140"/>
      <c r="N5437" s="211"/>
    </row>
    <row r="5438" spans="10:14" x14ac:dyDescent="0.4">
      <c r="J5438" s="140"/>
      <c r="N5438" s="211"/>
    </row>
    <row r="5439" spans="10:14" x14ac:dyDescent="0.4">
      <c r="J5439" s="140"/>
      <c r="N5439" s="211"/>
    </row>
    <row r="5440" spans="10:14" x14ac:dyDescent="0.4">
      <c r="J5440" s="140"/>
      <c r="N5440" s="211"/>
    </row>
    <row r="5441" spans="10:14" x14ac:dyDescent="0.4">
      <c r="J5441" s="140"/>
      <c r="N5441" s="211"/>
    </row>
    <row r="5442" spans="10:14" x14ac:dyDescent="0.4">
      <c r="J5442" s="140"/>
      <c r="N5442" s="211"/>
    </row>
    <row r="5443" spans="10:14" x14ac:dyDescent="0.4">
      <c r="J5443" s="140"/>
      <c r="N5443" s="211"/>
    </row>
    <row r="5444" spans="10:14" x14ac:dyDescent="0.4">
      <c r="J5444" s="140"/>
      <c r="N5444" s="211"/>
    </row>
    <row r="5445" spans="10:14" x14ac:dyDescent="0.4">
      <c r="J5445" s="140"/>
      <c r="N5445" s="211"/>
    </row>
    <row r="5446" spans="10:14" x14ac:dyDescent="0.4">
      <c r="J5446" s="140"/>
      <c r="N5446" s="211"/>
    </row>
    <row r="5447" spans="10:14" x14ac:dyDescent="0.4">
      <c r="J5447" s="140"/>
      <c r="N5447" s="211"/>
    </row>
    <row r="5448" spans="10:14" x14ac:dyDescent="0.4">
      <c r="J5448" s="140"/>
      <c r="N5448" s="211"/>
    </row>
    <row r="5449" spans="10:14" x14ac:dyDescent="0.4">
      <c r="J5449" s="140"/>
      <c r="N5449" s="211"/>
    </row>
    <row r="5450" spans="10:14" x14ac:dyDescent="0.4">
      <c r="J5450" s="140"/>
      <c r="N5450" s="211"/>
    </row>
    <row r="5451" spans="10:14" x14ac:dyDescent="0.4">
      <c r="J5451" s="140"/>
      <c r="N5451" s="211"/>
    </row>
    <row r="5452" spans="10:14" x14ac:dyDescent="0.4">
      <c r="J5452" s="140"/>
      <c r="N5452" s="211"/>
    </row>
    <row r="5453" spans="10:14" x14ac:dyDescent="0.4">
      <c r="J5453" s="140"/>
      <c r="N5453" s="211"/>
    </row>
    <row r="5454" spans="10:14" x14ac:dyDescent="0.4">
      <c r="J5454" s="140"/>
      <c r="N5454" s="211"/>
    </row>
    <row r="5455" spans="10:14" x14ac:dyDescent="0.4">
      <c r="J5455" s="140"/>
      <c r="N5455" s="211"/>
    </row>
    <row r="5456" spans="10:14" x14ac:dyDescent="0.4">
      <c r="J5456" s="140"/>
      <c r="N5456" s="211"/>
    </row>
    <row r="5457" spans="10:14" x14ac:dyDescent="0.4">
      <c r="J5457" s="140"/>
      <c r="N5457" s="211"/>
    </row>
    <row r="5458" spans="10:14" x14ac:dyDescent="0.4">
      <c r="J5458" s="140"/>
      <c r="N5458" s="211"/>
    </row>
    <row r="5459" spans="10:14" x14ac:dyDescent="0.4">
      <c r="J5459" s="140"/>
      <c r="N5459" s="211"/>
    </row>
    <row r="5460" spans="10:14" x14ac:dyDescent="0.4">
      <c r="J5460" s="140"/>
      <c r="N5460" s="211"/>
    </row>
    <row r="5461" spans="10:14" x14ac:dyDescent="0.4">
      <c r="J5461" s="140"/>
      <c r="N5461" s="211"/>
    </row>
    <row r="5462" spans="10:14" x14ac:dyDescent="0.4">
      <c r="J5462" s="140"/>
      <c r="N5462" s="211"/>
    </row>
    <row r="5463" spans="10:14" x14ac:dyDescent="0.4">
      <c r="J5463" s="140"/>
      <c r="N5463" s="211"/>
    </row>
    <row r="5464" spans="10:14" x14ac:dyDescent="0.4">
      <c r="J5464" s="140"/>
      <c r="N5464" s="211"/>
    </row>
    <row r="5465" spans="10:14" x14ac:dyDescent="0.4">
      <c r="J5465" s="140"/>
      <c r="N5465" s="211"/>
    </row>
    <row r="5466" spans="10:14" x14ac:dyDescent="0.4">
      <c r="J5466" s="140"/>
      <c r="N5466" s="211"/>
    </row>
    <row r="5467" spans="10:14" x14ac:dyDescent="0.4">
      <c r="J5467" s="140"/>
      <c r="N5467" s="211"/>
    </row>
    <row r="5468" spans="10:14" x14ac:dyDescent="0.4">
      <c r="J5468" s="140"/>
      <c r="N5468" s="211"/>
    </row>
    <row r="5469" spans="10:14" x14ac:dyDescent="0.4">
      <c r="J5469" s="140"/>
      <c r="N5469" s="211"/>
    </row>
    <row r="5470" spans="10:14" x14ac:dyDescent="0.4">
      <c r="J5470" s="140"/>
      <c r="N5470" s="211"/>
    </row>
    <row r="5471" spans="10:14" x14ac:dyDescent="0.4">
      <c r="J5471" s="140"/>
      <c r="N5471" s="211"/>
    </row>
    <row r="5472" spans="10:14" x14ac:dyDescent="0.4">
      <c r="J5472" s="140"/>
      <c r="N5472" s="211"/>
    </row>
    <row r="5473" spans="10:14" x14ac:dyDescent="0.4">
      <c r="J5473" s="140"/>
      <c r="N5473" s="211"/>
    </row>
    <row r="5474" spans="10:14" x14ac:dyDescent="0.4">
      <c r="J5474" s="140"/>
      <c r="N5474" s="211"/>
    </row>
    <row r="5475" spans="10:14" x14ac:dyDescent="0.4">
      <c r="J5475" s="140"/>
      <c r="N5475" s="211"/>
    </row>
    <row r="5476" spans="10:14" x14ac:dyDescent="0.4">
      <c r="J5476" s="140"/>
      <c r="N5476" s="211"/>
    </row>
    <row r="5477" spans="10:14" x14ac:dyDescent="0.4">
      <c r="J5477" s="140"/>
      <c r="N5477" s="211"/>
    </row>
    <row r="5478" spans="10:14" x14ac:dyDescent="0.4">
      <c r="J5478" s="140"/>
      <c r="N5478" s="211"/>
    </row>
    <row r="5479" spans="10:14" x14ac:dyDescent="0.4">
      <c r="J5479" s="140"/>
      <c r="N5479" s="211"/>
    </row>
    <row r="5480" spans="10:14" x14ac:dyDescent="0.4">
      <c r="J5480" s="140"/>
      <c r="N5480" s="211"/>
    </row>
    <row r="5481" spans="10:14" x14ac:dyDescent="0.4">
      <c r="J5481" s="140"/>
      <c r="N5481" s="211"/>
    </row>
    <row r="5482" spans="10:14" x14ac:dyDescent="0.4">
      <c r="J5482" s="140"/>
      <c r="N5482" s="211"/>
    </row>
    <row r="5483" spans="10:14" x14ac:dyDescent="0.4">
      <c r="J5483" s="140"/>
      <c r="N5483" s="211"/>
    </row>
    <row r="5484" spans="10:14" x14ac:dyDescent="0.4">
      <c r="J5484" s="140"/>
      <c r="N5484" s="211"/>
    </row>
    <row r="5485" spans="10:14" x14ac:dyDescent="0.4">
      <c r="J5485" s="140"/>
      <c r="N5485" s="211"/>
    </row>
    <row r="5486" spans="10:14" x14ac:dyDescent="0.4">
      <c r="J5486" s="140"/>
      <c r="N5486" s="211"/>
    </row>
    <row r="5487" spans="10:14" x14ac:dyDescent="0.4">
      <c r="J5487" s="140"/>
      <c r="N5487" s="211"/>
    </row>
    <row r="5488" spans="10:14" x14ac:dyDescent="0.4">
      <c r="J5488" s="140"/>
      <c r="N5488" s="211"/>
    </row>
    <row r="5489" spans="10:14" x14ac:dyDescent="0.4">
      <c r="J5489" s="140"/>
      <c r="N5489" s="211"/>
    </row>
    <row r="5490" spans="10:14" x14ac:dyDescent="0.4">
      <c r="J5490" s="140"/>
      <c r="N5490" s="211"/>
    </row>
    <row r="5491" spans="10:14" x14ac:dyDescent="0.4">
      <c r="J5491" s="140"/>
      <c r="N5491" s="211"/>
    </row>
    <row r="5492" spans="10:14" x14ac:dyDescent="0.4">
      <c r="J5492" s="140"/>
      <c r="N5492" s="211"/>
    </row>
    <row r="5493" spans="10:14" x14ac:dyDescent="0.4">
      <c r="J5493" s="140"/>
      <c r="N5493" s="211"/>
    </row>
    <row r="5494" spans="10:14" x14ac:dyDescent="0.4">
      <c r="J5494" s="140"/>
      <c r="N5494" s="211"/>
    </row>
    <row r="5495" spans="10:14" x14ac:dyDescent="0.4">
      <c r="J5495" s="140"/>
      <c r="N5495" s="211"/>
    </row>
    <row r="5496" spans="10:14" x14ac:dyDescent="0.4">
      <c r="J5496" s="140"/>
      <c r="N5496" s="211"/>
    </row>
    <row r="5497" spans="10:14" x14ac:dyDescent="0.4">
      <c r="J5497" s="140"/>
      <c r="N5497" s="211"/>
    </row>
    <row r="5498" spans="10:14" x14ac:dyDescent="0.4">
      <c r="J5498" s="140"/>
      <c r="N5498" s="211"/>
    </row>
    <row r="5499" spans="10:14" x14ac:dyDescent="0.4">
      <c r="J5499" s="140"/>
      <c r="N5499" s="211"/>
    </row>
    <row r="5500" spans="10:14" x14ac:dyDescent="0.4">
      <c r="J5500" s="140"/>
      <c r="N5500" s="211"/>
    </row>
    <row r="5501" spans="10:14" x14ac:dyDescent="0.4">
      <c r="J5501" s="140"/>
      <c r="N5501" s="211"/>
    </row>
    <row r="5502" spans="10:14" x14ac:dyDescent="0.4">
      <c r="J5502" s="140"/>
      <c r="N5502" s="211"/>
    </row>
    <row r="5503" spans="10:14" x14ac:dyDescent="0.4">
      <c r="J5503" s="140"/>
      <c r="N5503" s="211"/>
    </row>
    <row r="5504" spans="10:14" x14ac:dyDescent="0.4">
      <c r="J5504" s="140"/>
      <c r="N5504" s="211"/>
    </row>
    <row r="5505" spans="10:14" x14ac:dyDescent="0.4">
      <c r="J5505" s="140"/>
      <c r="N5505" s="211"/>
    </row>
    <row r="5506" spans="10:14" x14ac:dyDescent="0.4">
      <c r="J5506" s="140"/>
      <c r="N5506" s="211"/>
    </row>
    <row r="5507" spans="10:14" x14ac:dyDescent="0.4">
      <c r="J5507" s="140"/>
      <c r="N5507" s="211"/>
    </row>
    <row r="5508" spans="10:14" x14ac:dyDescent="0.4">
      <c r="J5508" s="140"/>
      <c r="N5508" s="211"/>
    </row>
    <row r="5509" spans="10:14" x14ac:dyDescent="0.4">
      <c r="J5509" s="140"/>
      <c r="N5509" s="211"/>
    </row>
    <row r="5510" spans="10:14" x14ac:dyDescent="0.4">
      <c r="J5510" s="140"/>
      <c r="N5510" s="211"/>
    </row>
    <row r="5511" spans="10:14" x14ac:dyDescent="0.4">
      <c r="J5511" s="140"/>
      <c r="N5511" s="211"/>
    </row>
    <row r="5512" spans="10:14" x14ac:dyDescent="0.4">
      <c r="J5512" s="140"/>
      <c r="N5512" s="211"/>
    </row>
    <row r="5513" spans="10:14" x14ac:dyDescent="0.4">
      <c r="J5513" s="140"/>
      <c r="N5513" s="211"/>
    </row>
    <row r="5514" spans="10:14" x14ac:dyDescent="0.4">
      <c r="J5514" s="140"/>
      <c r="N5514" s="211"/>
    </row>
    <row r="5515" spans="10:14" x14ac:dyDescent="0.4">
      <c r="J5515" s="140"/>
      <c r="N5515" s="211"/>
    </row>
    <row r="5516" spans="10:14" x14ac:dyDescent="0.4">
      <c r="J5516" s="140"/>
      <c r="N5516" s="211"/>
    </row>
    <row r="5517" spans="10:14" x14ac:dyDescent="0.4">
      <c r="J5517" s="140"/>
      <c r="N5517" s="211"/>
    </row>
    <row r="5518" spans="10:14" x14ac:dyDescent="0.4">
      <c r="J5518" s="140"/>
      <c r="N5518" s="211"/>
    </row>
    <row r="5519" spans="10:14" x14ac:dyDescent="0.4">
      <c r="J5519" s="140"/>
      <c r="N5519" s="211"/>
    </row>
    <row r="5520" spans="10:14" x14ac:dyDescent="0.4">
      <c r="J5520" s="140"/>
      <c r="N5520" s="211"/>
    </row>
    <row r="5521" spans="10:14" x14ac:dyDescent="0.4">
      <c r="J5521" s="140"/>
      <c r="N5521" s="211"/>
    </row>
    <row r="5522" spans="10:14" x14ac:dyDescent="0.4">
      <c r="J5522" s="140"/>
      <c r="N5522" s="211"/>
    </row>
    <row r="5523" spans="10:14" x14ac:dyDescent="0.4">
      <c r="J5523" s="140"/>
      <c r="N5523" s="211"/>
    </row>
    <row r="5524" spans="10:14" x14ac:dyDescent="0.4">
      <c r="J5524" s="140"/>
      <c r="N5524" s="211"/>
    </row>
    <row r="5525" spans="10:14" x14ac:dyDescent="0.4">
      <c r="J5525" s="140"/>
      <c r="N5525" s="211"/>
    </row>
    <row r="5526" spans="10:14" x14ac:dyDescent="0.4">
      <c r="J5526" s="140"/>
      <c r="N5526" s="211"/>
    </row>
    <row r="5527" spans="10:14" x14ac:dyDescent="0.4">
      <c r="J5527" s="140"/>
      <c r="N5527" s="211"/>
    </row>
    <row r="5528" spans="10:14" x14ac:dyDescent="0.4">
      <c r="J5528" s="140"/>
      <c r="N5528" s="211"/>
    </row>
    <row r="5529" spans="10:14" x14ac:dyDescent="0.4">
      <c r="J5529" s="140"/>
      <c r="N5529" s="211"/>
    </row>
    <row r="5530" spans="10:14" x14ac:dyDescent="0.4">
      <c r="J5530" s="140"/>
      <c r="N5530" s="211"/>
    </row>
    <row r="5531" spans="10:14" x14ac:dyDescent="0.4">
      <c r="J5531" s="140"/>
      <c r="N5531" s="211"/>
    </row>
    <row r="5532" spans="10:14" x14ac:dyDescent="0.4">
      <c r="J5532" s="140"/>
      <c r="N5532" s="211"/>
    </row>
    <row r="5533" spans="10:14" x14ac:dyDescent="0.4">
      <c r="J5533" s="140"/>
      <c r="N5533" s="211"/>
    </row>
    <row r="5534" spans="10:14" x14ac:dyDescent="0.4">
      <c r="J5534" s="140"/>
      <c r="N5534" s="211"/>
    </row>
    <row r="5535" spans="10:14" x14ac:dyDescent="0.4">
      <c r="J5535" s="140"/>
      <c r="N5535" s="211"/>
    </row>
    <row r="5536" spans="10:14" x14ac:dyDescent="0.4">
      <c r="J5536" s="140"/>
      <c r="N5536" s="211"/>
    </row>
    <row r="5537" spans="10:14" x14ac:dyDescent="0.4">
      <c r="J5537" s="140"/>
      <c r="N5537" s="211"/>
    </row>
    <row r="5538" spans="10:14" x14ac:dyDescent="0.4">
      <c r="J5538" s="140"/>
      <c r="N5538" s="211"/>
    </row>
    <row r="5539" spans="10:14" x14ac:dyDescent="0.4">
      <c r="J5539" s="140"/>
      <c r="N5539" s="211"/>
    </row>
    <row r="5540" spans="10:14" x14ac:dyDescent="0.4">
      <c r="J5540" s="140"/>
      <c r="N5540" s="211"/>
    </row>
    <row r="5541" spans="10:14" x14ac:dyDescent="0.4">
      <c r="J5541" s="140"/>
      <c r="N5541" s="211"/>
    </row>
    <row r="5542" spans="10:14" x14ac:dyDescent="0.4">
      <c r="J5542" s="140"/>
      <c r="N5542" s="211"/>
    </row>
    <row r="5543" spans="10:14" x14ac:dyDescent="0.4">
      <c r="J5543" s="140"/>
      <c r="N5543" s="211"/>
    </row>
    <row r="5544" spans="10:14" x14ac:dyDescent="0.4">
      <c r="J5544" s="140"/>
      <c r="N5544" s="211"/>
    </row>
    <row r="5545" spans="10:14" x14ac:dyDescent="0.4">
      <c r="J5545" s="140"/>
      <c r="N5545" s="211"/>
    </row>
    <row r="5546" spans="10:14" x14ac:dyDescent="0.4">
      <c r="J5546" s="140"/>
      <c r="N5546" s="211"/>
    </row>
    <row r="5547" spans="10:14" x14ac:dyDescent="0.4">
      <c r="J5547" s="140"/>
      <c r="N5547" s="211"/>
    </row>
    <row r="5548" spans="10:14" x14ac:dyDescent="0.4">
      <c r="J5548" s="140"/>
      <c r="N5548" s="211"/>
    </row>
    <row r="5549" spans="10:14" x14ac:dyDescent="0.4">
      <c r="J5549" s="140"/>
      <c r="N5549" s="211"/>
    </row>
    <row r="5550" spans="10:14" x14ac:dyDescent="0.4">
      <c r="J5550" s="140"/>
      <c r="N5550" s="211"/>
    </row>
    <row r="5551" spans="10:14" x14ac:dyDescent="0.4">
      <c r="J5551" s="140"/>
      <c r="N5551" s="211"/>
    </row>
    <row r="5552" spans="10:14" x14ac:dyDescent="0.4">
      <c r="J5552" s="140"/>
      <c r="N5552" s="211"/>
    </row>
    <row r="5553" spans="10:14" x14ac:dyDescent="0.4">
      <c r="J5553" s="140"/>
      <c r="N5553" s="211"/>
    </row>
    <row r="5554" spans="10:14" x14ac:dyDescent="0.4">
      <c r="J5554" s="140"/>
      <c r="N5554" s="211"/>
    </row>
    <row r="5555" spans="10:14" x14ac:dyDescent="0.4">
      <c r="J5555" s="140"/>
      <c r="N5555" s="211"/>
    </row>
    <row r="5556" spans="10:14" x14ac:dyDescent="0.4">
      <c r="J5556" s="140"/>
      <c r="N5556" s="211"/>
    </row>
    <row r="5557" spans="10:14" x14ac:dyDescent="0.4">
      <c r="J5557" s="140"/>
      <c r="N5557" s="211"/>
    </row>
    <row r="5558" spans="10:14" x14ac:dyDescent="0.4">
      <c r="J5558" s="140"/>
      <c r="N5558" s="211"/>
    </row>
    <row r="5559" spans="10:14" x14ac:dyDescent="0.4">
      <c r="J5559" s="140"/>
      <c r="N5559" s="211"/>
    </row>
    <row r="5560" spans="10:14" x14ac:dyDescent="0.4">
      <c r="J5560" s="140"/>
      <c r="N5560" s="211"/>
    </row>
    <row r="5561" spans="10:14" x14ac:dyDescent="0.4">
      <c r="J5561" s="140"/>
      <c r="N5561" s="211"/>
    </row>
    <row r="5562" spans="10:14" x14ac:dyDescent="0.4">
      <c r="J5562" s="140"/>
      <c r="N5562" s="211"/>
    </row>
    <row r="5563" spans="10:14" x14ac:dyDescent="0.4">
      <c r="J5563" s="140"/>
      <c r="N5563" s="211"/>
    </row>
    <row r="5564" spans="10:14" x14ac:dyDescent="0.4">
      <c r="J5564" s="140"/>
      <c r="N5564" s="211"/>
    </row>
    <row r="5565" spans="10:14" x14ac:dyDescent="0.4">
      <c r="J5565" s="140"/>
      <c r="N5565" s="211"/>
    </row>
    <row r="5566" spans="10:14" x14ac:dyDescent="0.4">
      <c r="J5566" s="140"/>
      <c r="N5566" s="211"/>
    </row>
    <row r="5567" spans="10:14" x14ac:dyDescent="0.4">
      <c r="J5567" s="140"/>
      <c r="N5567" s="211"/>
    </row>
    <row r="5568" spans="10:14" x14ac:dyDescent="0.4">
      <c r="J5568" s="140"/>
      <c r="N5568" s="211"/>
    </row>
    <row r="5569" spans="10:14" x14ac:dyDescent="0.4">
      <c r="J5569" s="140"/>
      <c r="N5569" s="211"/>
    </row>
    <row r="5570" spans="10:14" x14ac:dyDescent="0.4">
      <c r="J5570" s="140"/>
      <c r="N5570" s="211"/>
    </row>
    <row r="5571" spans="10:14" x14ac:dyDescent="0.4">
      <c r="J5571" s="140"/>
      <c r="N5571" s="211"/>
    </row>
    <row r="5572" spans="10:14" x14ac:dyDescent="0.4">
      <c r="J5572" s="140"/>
      <c r="N5572" s="211"/>
    </row>
    <row r="5573" spans="10:14" x14ac:dyDescent="0.4">
      <c r="J5573" s="140"/>
      <c r="N5573" s="211"/>
    </row>
    <row r="5574" spans="10:14" x14ac:dyDescent="0.4">
      <c r="J5574" s="140"/>
      <c r="N5574" s="211"/>
    </row>
    <row r="5575" spans="10:14" x14ac:dyDescent="0.4">
      <c r="J5575" s="140"/>
      <c r="N5575" s="211"/>
    </row>
    <row r="5576" spans="10:14" x14ac:dyDescent="0.4">
      <c r="J5576" s="140"/>
      <c r="N5576" s="211"/>
    </row>
    <row r="5577" spans="10:14" x14ac:dyDescent="0.4">
      <c r="J5577" s="140"/>
      <c r="N5577" s="211"/>
    </row>
    <row r="5578" spans="10:14" x14ac:dyDescent="0.4">
      <c r="J5578" s="140"/>
      <c r="N5578" s="211"/>
    </row>
    <row r="5579" spans="10:14" x14ac:dyDescent="0.4">
      <c r="J5579" s="140"/>
      <c r="N5579" s="211"/>
    </row>
    <row r="5580" spans="10:14" x14ac:dyDescent="0.4">
      <c r="J5580" s="140"/>
      <c r="N5580" s="211"/>
    </row>
    <row r="5581" spans="10:14" x14ac:dyDescent="0.4">
      <c r="J5581" s="140"/>
      <c r="N5581" s="211"/>
    </row>
    <row r="5582" spans="10:14" x14ac:dyDescent="0.4">
      <c r="J5582" s="140"/>
      <c r="N5582" s="211"/>
    </row>
    <row r="5583" spans="10:14" x14ac:dyDescent="0.4">
      <c r="J5583" s="140"/>
      <c r="N5583" s="211"/>
    </row>
    <row r="5584" spans="10:14" x14ac:dyDescent="0.4">
      <c r="J5584" s="140"/>
      <c r="N5584" s="211"/>
    </row>
    <row r="5585" spans="10:14" x14ac:dyDescent="0.4">
      <c r="J5585" s="140"/>
      <c r="N5585" s="211"/>
    </row>
    <row r="5586" spans="10:14" x14ac:dyDescent="0.4">
      <c r="J5586" s="140"/>
      <c r="N5586" s="211"/>
    </row>
    <row r="5587" spans="10:14" x14ac:dyDescent="0.4">
      <c r="J5587" s="140"/>
      <c r="N5587" s="211"/>
    </row>
    <row r="5588" spans="10:14" x14ac:dyDescent="0.4">
      <c r="J5588" s="140"/>
      <c r="N5588" s="211"/>
    </row>
    <row r="5589" spans="10:14" x14ac:dyDescent="0.4">
      <c r="J5589" s="140"/>
      <c r="N5589" s="211"/>
    </row>
    <row r="5590" spans="10:14" x14ac:dyDescent="0.4">
      <c r="J5590" s="140"/>
      <c r="N5590" s="211"/>
    </row>
    <row r="5591" spans="10:14" x14ac:dyDescent="0.4">
      <c r="J5591" s="140"/>
      <c r="N5591" s="211"/>
    </row>
    <row r="5592" spans="10:14" x14ac:dyDescent="0.4">
      <c r="J5592" s="140"/>
      <c r="N5592" s="211"/>
    </row>
    <row r="5593" spans="10:14" x14ac:dyDescent="0.4">
      <c r="J5593" s="140"/>
      <c r="N5593" s="211"/>
    </row>
    <row r="5594" spans="10:14" x14ac:dyDescent="0.4">
      <c r="J5594" s="140"/>
      <c r="N5594" s="211"/>
    </row>
    <row r="5595" spans="10:14" x14ac:dyDescent="0.4">
      <c r="J5595" s="140"/>
      <c r="N5595" s="211"/>
    </row>
    <row r="5596" spans="10:14" x14ac:dyDescent="0.4">
      <c r="J5596" s="140"/>
      <c r="N5596" s="211"/>
    </row>
    <row r="5597" spans="10:14" x14ac:dyDescent="0.4">
      <c r="J5597" s="140"/>
      <c r="N5597" s="211"/>
    </row>
    <row r="5598" spans="10:14" x14ac:dyDescent="0.4">
      <c r="J5598" s="140"/>
      <c r="N5598" s="211"/>
    </row>
    <row r="5599" spans="10:14" x14ac:dyDescent="0.4">
      <c r="J5599" s="140"/>
      <c r="N5599" s="211"/>
    </row>
    <row r="5600" spans="10:14" x14ac:dyDescent="0.4">
      <c r="J5600" s="140"/>
      <c r="N5600" s="211"/>
    </row>
    <row r="5601" spans="10:14" x14ac:dyDescent="0.4">
      <c r="J5601" s="140"/>
      <c r="N5601" s="211"/>
    </row>
    <row r="5602" spans="10:14" x14ac:dyDescent="0.4">
      <c r="J5602" s="140"/>
      <c r="N5602" s="211"/>
    </row>
    <row r="5603" spans="10:14" x14ac:dyDescent="0.4">
      <c r="J5603" s="140"/>
      <c r="N5603" s="211"/>
    </row>
    <row r="5604" spans="10:14" x14ac:dyDescent="0.4">
      <c r="J5604" s="140"/>
      <c r="N5604" s="211"/>
    </row>
    <row r="5605" spans="10:14" x14ac:dyDescent="0.4">
      <c r="J5605" s="140"/>
      <c r="N5605" s="211"/>
    </row>
    <row r="5606" spans="10:14" x14ac:dyDescent="0.4">
      <c r="J5606" s="140"/>
      <c r="N5606" s="211"/>
    </row>
    <row r="5607" spans="10:14" x14ac:dyDescent="0.4">
      <c r="J5607" s="140"/>
      <c r="N5607" s="211"/>
    </row>
    <row r="5608" spans="10:14" x14ac:dyDescent="0.4">
      <c r="J5608" s="140"/>
      <c r="N5608" s="211"/>
    </row>
    <row r="5609" spans="10:14" x14ac:dyDescent="0.4">
      <c r="J5609" s="140"/>
      <c r="N5609" s="211"/>
    </row>
    <row r="5610" spans="10:14" x14ac:dyDescent="0.4">
      <c r="J5610" s="140"/>
      <c r="N5610" s="211"/>
    </row>
    <row r="5611" spans="10:14" x14ac:dyDescent="0.4">
      <c r="J5611" s="140"/>
      <c r="N5611" s="211"/>
    </row>
    <row r="5612" spans="10:14" x14ac:dyDescent="0.4">
      <c r="J5612" s="140"/>
      <c r="N5612" s="211"/>
    </row>
    <row r="5613" spans="10:14" x14ac:dyDescent="0.4">
      <c r="J5613" s="140"/>
      <c r="N5613" s="211"/>
    </row>
    <row r="5614" spans="10:14" x14ac:dyDescent="0.4">
      <c r="J5614" s="140"/>
      <c r="N5614" s="211"/>
    </row>
    <row r="5615" spans="10:14" x14ac:dyDescent="0.4">
      <c r="J5615" s="140"/>
      <c r="N5615" s="211"/>
    </row>
    <row r="5616" spans="10:14" x14ac:dyDescent="0.4">
      <c r="J5616" s="140"/>
      <c r="N5616" s="211"/>
    </row>
    <row r="5617" spans="10:14" x14ac:dyDescent="0.4">
      <c r="J5617" s="140"/>
      <c r="N5617" s="211"/>
    </row>
    <row r="5618" spans="10:14" x14ac:dyDescent="0.4">
      <c r="J5618" s="140"/>
      <c r="N5618" s="211"/>
    </row>
    <row r="5619" spans="10:14" x14ac:dyDescent="0.4">
      <c r="J5619" s="140"/>
      <c r="N5619" s="211"/>
    </row>
    <row r="5620" spans="10:14" x14ac:dyDescent="0.4">
      <c r="J5620" s="140"/>
      <c r="N5620" s="211"/>
    </row>
    <row r="5621" spans="10:14" x14ac:dyDescent="0.4">
      <c r="J5621" s="140"/>
      <c r="N5621" s="211"/>
    </row>
    <row r="5622" spans="10:14" x14ac:dyDescent="0.4">
      <c r="J5622" s="140"/>
      <c r="N5622" s="211"/>
    </row>
    <row r="5623" spans="10:14" x14ac:dyDescent="0.4">
      <c r="J5623" s="140"/>
      <c r="N5623" s="211"/>
    </row>
    <row r="5624" spans="10:14" x14ac:dyDescent="0.4">
      <c r="J5624" s="140"/>
      <c r="N5624" s="211"/>
    </row>
    <row r="5625" spans="10:14" x14ac:dyDescent="0.4">
      <c r="J5625" s="140"/>
      <c r="N5625" s="211"/>
    </row>
    <row r="5626" spans="10:14" x14ac:dyDescent="0.4">
      <c r="J5626" s="140"/>
      <c r="N5626" s="211"/>
    </row>
    <row r="5627" spans="10:14" x14ac:dyDescent="0.4">
      <c r="J5627" s="140"/>
      <c r="N5627" s="211"/>
    </row>
    <row r="5628" spans="10:14" x14ac:dyDescent="0.4">
      <c r="J5628" s="140"/>
      <c r="N5628" s="211"/>
    </row>
    <row r="5629" spans="10:14" x14ac:dyDescent="0.4">
      <c r="J5629" s="140"/>
      <c r="N5629" s="211"/>
    </row>
    <row r="5630" spans="10:14" x14ac:dyDescent="0.4">
      <c r="J5630" s="140"/>
      <c r="N5630" s="211"/>
    </row>
    <row r="5631" spans="10:14" x14ac:dyDescent="0.4">
      <c r="J5631" s="140"/>
      <c r="N5631" s="211"/>
    </row>
    <row r="5632" spans="10:14" x14ac:dyDescent="0.4">
      <c r="J5632" s="140"/>
      <c r="N5632" s="211"/>
    </row>
    <row r="5633" spans="10:14" x14ac:dyDescent="0.4">
      <c r="J5633" s="140"/>
      <c r="N5633" s="211"/>
    </row>
    <row r="5634" spans="10:14" x14ac:dyDescent="0.4">
      <c r="J5634" s="140"/>
      <c r="N5634" s="211"/>
    </row>
    <row r="5635" spans="10:14" x14ac:dyDescent="0.4">
      <c r="J5635" s="140"/>
      <c r="N5635" s="211"/>
    </row>
    <row r="5636" spans="10:14" x14ac:dyDescent="0.4">
      <c r="J5636" s="140"/>
      <c r="N5636" s="211"/>
    </row>
    <row r="5637" spans="10:14" x14ac:dyDescent="0.4">
      <c r="J5637" s="140"/>
      <c r="N5637" s="211"/>
    </row>
    <row r="5638" spans="10:14" x14ac:dyDescent="0.4">
      <c r="J5638" s="140"/>
      <c r="N5638" s="211"/>
    </row>
    <row r="5639" spans="10:14" x14ac:dyDescent="0.4">
      <c r="J5639" s="140"/>
      <c r="N5639" s="211"/>
    </row>
    <row r="5640" spans="10:14" x14ac:dyDescent="0.4">
      <c r="J5640" s="140"/>
      <c r="N5640" s="211"/>
    </row>
    <row r="5641" spans="10:14" x14ac:dyDescent="0.4">
      <c r="J5641" s="140"/>
      <c r="N5641" s="211"/>
    </row>
    <row r="5642" spans="10:14" x14ac:dyDescent="0.4">
      <c r="J5642" s="140"/>
      <c r="N5642" s="211"/>
    </row>
    <row r="5643" spans="10:14" x14ac:dyDescent="0.4">
      <c r="J5643" s="140"/>
      <c r="N5643" s="211"/>
    </row>
    <row r="5644" spans="10:14" x14ac:dyDescent="0.4">
      <c r="J5644" s="140"/>
      <c r="N5644" s="211"/>
    </row>
    <row r="5645" spans="10:14" x14ac:dyDescent="0.4">
      <c r="J5645" s="140"/>
      <c r="N5645" s="211"/>
    </row>
    <row r="5646" spans="10:14" x14ac:dyDescent="0.4">
      <c r="J5646" s="140"/>
      <c r="N5646" s="211"/>
    </row>
    <row r="5647" spans="10:14" x14ac:dyDescent="0.4">
      <c r="J5647" s="140"/>
      <c r="N5647" s="211"/>
    </row>
    <row r="5648" spans="10:14" x14ac:dyDescent="0.4">
      <c r="J5648" s="140"/>
      <c r="N5648" s="211"/>
    </row>
    <row r="5649" spans="10:14" x14ac:dyDescent="0.4">
      <c r="J5649" s="140"/>
      <c r="N5649" s="211"/>
    </row>
    <row r="5650" spans="10:14" x14ac:dyDescent="0.4">
      <c r="J5650" s="140"/>
      <c r="N5650" s="211"/>
    </row>
    <row r="5651" spans="10:14" x14ac:dyDescent="0.4">
      <c r="J5651" s="140"/>
      <c r="N5651" s="211"/>
    </row>
    <row r="5652" spans="10:14" x14ac:dyDescent="0.4">
      <c r="J5652" s="140"/>
      <c r="N5652" s="211"/>
    </row>
    <row r="5653" spans="10:14" x14ac:dyDescent="0.4">
      <c r="J5653" s="140"/>
      <c r="N5653" s="211"/>
    </row>
    <row r="5654" spans="10:14" x14ac:dyDescent="0.4">
      <c r="J5654" s="140"/>
      <c r="N5654" s="211"/>
    </row>
    <row r="5655" spans="10:14" x14ac:dyDescent="0.4">
      <c r="J5655" s="140"/>
      <c r="N5655" s="211"/>
    </row>
    <row r="5656" spans="10:14" x14ac:dyDescent="0.4">
      <c r="J5656" s="140"/>
      <c r="N5656" s="211"/>
    </row>
    <row r="5657" spans="10:14" x14ac:dyDescent="0.4">
      <c r="J5657" s="140"/>
      <c r="N5657" s="211"/>
    </row>
    <row r="5658" spans="10:14" x14ac:dyDescent="0.4">
      <c r="J5658" s="140"/>
      <c r="N5658" s="211"/>
    </row>
    <row r="5659" spans="10:14" x14ac:dyDescent="0.4">
      <c r="J5659" s="140"/>
      <c r="N5659" s="211"/>
    </row>
    <row r="5660" spans="10:14" x14ac:dyDescent="0.4">
      <c r="J5660" s="140"/>
      <c r="N5660" s="211"/>
    </row>
    <row r="5661" spans="10:14" x14ac:dyDescent="0.4">
      <c r="J5661" s="140"/>
      <c r="N5661" s="211"/>
    </row>
    <row r="5662" spans="10:14" x14ac:dyDescent="0.4">
      <c r="J5662" s="140"/>
      <c r="N5662" s="211"/>
    </row>
    <row r="5663" spans="10:14" x14ac:dyDescent="0.4">
      <c r="J5663" s="140"/>
      <c r="N5663" s="211"/>
    </row>
    <row r="5664" spans="10:14" x14ac:dyDescent="0.4">
      <c r="J5664" s="140"/>
      <c r="N5664" s="211"/>
    </row>
    <row r="5665" spans="10:14" x14ac:dyDescent="0.4">
      <c r="J5665" s="140"/>
      <c r="N5665" s="211"/>
    </row>
    <row r="5666" spans="10:14" x14ac:dyDescent="0.4">
      <c r="J5666" s="140"/>
      <c r="N5666" s="211"/>
    </row>
    <row r="5667" spans="10:14" x14ac:dyDescent="0.4">
      <c r="J5667" s="140"/>
      <c r="N5667" s="211"/>
    </row>
    <row r="5668" spans="10:14" x14ac:dyDescent="0.4">
      <c r="J5668" s="140"/>
      <c r="N5668" s="211"/>
    </row>
    <row r="5669" spans="10:14" x14ac:dyDescent="0.4">
      <c r="J5669" s="140"/>
      <c r="N5669" s="211"/>
    </row>
    <row r="5670" spans="10:14" x14ac:dyDescent="0.4">
      <c r="J5670" s="140"/>
      <c r="N5670" s="211"/>
    </row>
    <row r="5671" spans="10:14" x14ac:dyDescent="0.4">
      <c r="J5671" s="140"/>
      <c r="N5671" s="211"/>
    </row>
    <row r="5672" spans="10:14" x14ac:dyDescent="0.4">
      <c r="J5672" s="140"/>
      <c r="N5672" s="211"/>
    </row>
    <row r="5673" spans="10:14" x14ac:dyDescent="0.4">
      <c r="J5673" s="140"/>
      <c r="N5673" s="211"/>
    </row>
    <row r="5674" spans="10:14" x14ac:dyDescent="0.4">
      <c r="J5674" s="140"/>
      <c r="N5674" s="211"/>
    </row>
    <row r="5675" spans="10:14" x14ac:dyDescent="0.4">
      <c r="J5675" s="140"/>
      <c r="N5675" s="211"/>
    </row>
    <row r="5676" spans="10:14" x14ac:dyDescent="0.4">
      <c r="J5676" s="140"/>
      <c r="N5676" s="211"/>
    </row>
    <row r="5677" spans="10:14" x14ac:dyDescent="0.4">
      <c r="J5677" s="140"/>
      <c r="N5677" s="211"/>
    </row>
    <row r="5678" spans="10:14" x14ac:dyDescent="0.4">
      <c r="J5678" s="140"/>
      <c r="N5678" s="211"/>
    </row>
    <row r="5679" spans="10:14" x14ac:dyDescent="0.4">
      <c r="J5679" s="140"/>
      <c r="N5679" s="211"/>
    </row>
    <row r="5680" spans="10:14" x14ac:dyDescent="0.4">
      <c r="J5680" s="140"/>
      <c r="N5680" s="211"/>
    </row>
    <row r="5681" spans="10:14" x14ac:dyDescent="0.4">
      <c r="J5681" s="140"/>
      <c r="N5681" s="211"/>
    </row>
    <row r="5682" spans="10:14" x14ac:dyDescent="0.4">
      <c r="J5682" s="140"/>
      <c r="N5682" s="211"/>
    </row>
    <row r="5683" spans="10:14" x14ac:dyDescent="0.4">
      <c r="J5683" s="140"/>
      <c r="N5683" s="211"/>
    </row>
    <row r="5684" spans="10:14" x14ac:dyDescent="0.4">
      <c r="J5684" s="140"/>
      <c r="N5684" s="211"/>
    </row>
    <row r="5685" spans="10:14" x14ac:dyDescent="0.4">
      <c r="J5685" s="140"/>
      <c r="N5685" s="211"/>
    </row>
    <row r="5686" spans="10:14" x14ac:dyDescent="0.4">
      <c r="J5686" s="140"/>
      <c r="N5686" s="211"/>
    </row>
    <row r="5687" spans="10:14" x14ac:dyDescent="0.4">
      <c r="J5687" s="140"/>
      <c r="N5687" s="211"/>
    </row>
    <row r="5688" spans="10:14" x14ac:dyDescent="0.4">
      <c r="J5688" s="140"/>
      <c r="N5688" s="211"/>
    </row>
    <row r="5689" spans="10:14" x14ac:dyDescent="0.4">
      <c r="J5689" s="140"/>
      <c r="N5689" s="211"/>
    </row>
    <row r="5690" spans="10:14" x14ac:dyDescent="0.4">
      <c r="J5690" s="140"/>
      <c r="N5690" s="211"/>
    </row>
    <row r="5691" spans="10:14" x14ac:dyDescent="0.4">
      <c r="J5691" s="140"/>
      <c r="N5691" s="211"/>
    </row>
    <row r="5692" spans="10:14" x14ac:dyDescent="0.4">
      <c r="J5692" s="140"/>
      <c r="N5692" s="211"/>
    </row>
    <row r="5693" spans="10:14" x14ac:dyDescent="0.4">
      <c r="J5693" s="140"/>
      <c r="N5693" s="211"/>
    </row>
    <row r="5694" spans="10:14" x14ac:dyDescent="0.4">
      <c r="J5694" s="140"/>
      <c r="N5694" s="211"/>
    </row>
    <row r="5695" spans="10:14" x14ac:dyDescent="0.4">
      <c r="J5695" s="140"/>
      <c r="N5695" s="211"/>
    </row>
    <row r="5696" spans="10:14" x14ac:dyDescent="0.4">
      <c r="J5696" s="140"/>
      <c r="N5696" s="211"/>
    </row>
    <row r="5697" spans="10:14" x14ac:dyDescent="0.4">
      <c r="J5697" s="140"/>
      <c r="N5697" s="211"/>
    </row>
    <row r="5698" spans="10:14" x14ac:dyDescent="0.4">
      <c r="J5698" s="140"/>
      <c r="N5698" s="211"/>
    </row>
    <row r="5699" spans="10:14" x14ac:dyDescent="0.4">
      <c r="J5699" s="140"/>
      <c r="N5699" s="211"/>
    </row>
    <row r="5700" spans="10:14" x14ac:dyDescent="0.4">
      <c r="J5700" s="140"/>
      <c r="N5700" s="211"/>
    </row>
    <row r="5701" spans="10:14" x14ac:dyDescent="0.4">
      <c r="J5701" s="140"/>
      <c r="N5701" s="211"/>
    </row>
    <row r="5702" spans="10:14" x14ac:dyDescent="0.4">
      <c r="J5702" s="140"/>
      <c r="N5702" s="211"/>
    </row>
    <row r="5703" spans="10:14" x14ac:dyDescent="0.4">
      <c r="J5703" s="140"/>
      <c r="N5703" s="211"/>
    </row>
    <row r="5704" spans="10:14" x14ac:dyDescent="0.4">
      <c r="J5704" s="140"/>
      <c r="N5704" s="211"/>
    </row>
    <row r="5705" spans="10:14" x14ac:dyDescent="0.4">
      <c r="J5705" s="140"/>
      <c r="N5705" s="211"/>
    </row>
    <row r="5706" spans="10:14" x14ac:dyDescent="0.4">
      <c r="J5706" s="140"/>
      <c r="N5706" s="211"/>
    </row>
    <row r="5707" spans="10:14" x14ac:dyDescent="0.4">
      <c r="J5707" s="140"/>
      <c r="N5707" s="211"/>
    </row>
    <row r="5708" spans="10:14" x14ac:dyDescent="0.4">
      <c r="J5708" s="140"/>
      <c r="N5708" s="211"/>
    </row>
    <row r="5709" spans="10:14" x14ac:dyDescent="0.4">
      <c r="J5709" s="140"/>
      <c r="N5709" s="211"/>
    </row>
    <row r="5710" spans="10:14" x14ac:dyDescent="0.4">
      <c r="J5710" s="140"/>
      <c r="N5710" s="211"/>
    </row>
    <row r="5711" spans="10:14" x14ac:dyDescent="0.4">
      <c r="J5711" s="140"/>
      <c r="N5711" s="211"/>
    </row>
    <row r="5712" spans="10:14" x14ac:dyDescent="0.4">
      <c r="J5712" s="140"/>
      <c r="N5712" s="211"/>
    </row>
    <row r="5713" spans="10:14" x14ac:dyDescent="0.4">
      <c r="J5713" s="140"/>
      <c r="N5713" s="211"/>
    </row>
    <row r="5714" spans="10:14" x14ac:dyDescent="0.4">
      <c r="J5714" s="140"/>
      <c r="N5714" s="211"/>
    </row>
    <row r="5715" spans="10:14" x14ac:dyDescent="0.4">
      <c r="J5715" s="140"/>
      <c r="N5715" s="211"/>
    </row>
    <row r="5716" spans="10:14" x14ac:dyDescent="0.4">
      <c r="J5716" s="140"/>
      <c r="N5716" s="211"/>
    </row>
    <row r="5717" spans="10:14" x14ac:dyDescent="0.4">
      <c r="J5717" s="140"/>
      <c r="N5717" s="211"/>
    </row>
    <row r="5718" spans="10:14" x14ac:dyDescent="0.4">
      <c r="J5718" s="140"/>
      <c r="N5718" s="211"/>
    </row>
    <row r="5719" spans="10:14" x14ac:dyDescent="0.4">
      <c r="J5719" s="140"/>
      <c r="N5719" s="211"/>
    </row>
    <row r="5720" spans="10:14" x14ac:dyDescent="0.4">
      <c r="J5720" s="140"/>
      <c r="N5720" s="211"/>
    </row>
    <row r="5721" spans="10:14" x14ac:dyDescent="0.4">
      <c r="J5721" s="140"/>
      <c r="N5721" s="211"/>
    </row>
    <row r="5722" spans="10:14" x14ac:dyDescent="0.4">
      <c r="J5722" s="140"/>
      <c r="N5722" s="211"/>
    </row>
    <row r="5723" spans="10:14" x14ac:dyDescent="0.4">
      <c r="J5723" s="140"/>
      <c r="N5723" s="211"/>
    </row>
    <row r="5724" spans="10:14" x14ac:dyDescent="0.4">
      <c r="J5724" s="140"/>
      <c r="N5724" s="211"/>
    </row>
    <row r="5725" spans="10:14" x14ac:dyDescent="0.4">
      <c r="J5725" s="140"/>
      <c r="N5725" s="211"/>
    </row>
    <row r="5726" spans="10:14" x14ac:dyDescent="0.4">
      <c r="J5726" s="140"/>
      <c r="N5726" s="211"/>
    </row>
    <row r="5727" spans="10:14" x14ac:dyDescent="0.4">
      <c r="J5727" s="140"/>
      <c r="N5727" s="211"/>
    </row>
    <row r="5728" spans="10:14" x14ac:dyDescent="0.4">
      <c r="J5728" s="140"/>
      <c r="N5728" s="211"/>
    </row>
    <row r="5729" spans="10:14" x14ac:dyDescent="0.4">
      <c r="J5729" s="140"/>
      <c r="N5729" s="211"/>
    </row>
    <row r="5730" spans="10:14" x14ac:dyDescent="0.4">
      <c r="J5730" s="140"/>
      <c r="N5730" s="211"/>
    </row>
    <row r="5731" spans="10:14" x14ac:dyDescent="0.4">
      <c r="J5731" s="140"/>
      <c r="N5731" s="211"/>
    </row>
    <row r="5732" spans="10:14" x14ac:dyDescent="0.4">
      <c r="J5732" s="140"/>
      <c r="N5732" s="211"/>
    </row>
    <row r="5733" spans="10:14" x14ac:dyDescent="0.4">
      <c r="J5733" s="140"/>
      <c r="N5733" s="211"/>
    </row>
    <row r="5734" spans="10:14" x14ac:dyDescent="0.4">
      <c r="J5734" s="140"/>
      <c r="N5734" s="211"/>
    </row>
    <row r="5735" spans="10:14" x14ac:dyDescent="0.4">
      <c r="J5735" s="140"/>
      <c r="N5735" s="211"/>
    </row>
    <row r="5736" spans="10:14" x14ac:dyDescent="0.4">
      <c r="J5736" s="140"/>
      <c r="N5736" s="211"/>
    </row>
    <row r="5737" spans="10:14" x14ac:dyDescent="0.4">
      <c r="J5737" s="140"/>
      <c r="N5737" s="211"/>
    </row>
    <row r="5738" spans="10:14" x14ac:dyDescent="0.4">
      <c r="J5738" s="140"/>
      <c r="N5738" s="211"/>
    </row>
    <row r="5739" spans="10:14" x14ac:dyDescent="0.4">
      <c r="J5739" s="140"/>
      <c r="N5739" s="211"/>
    </row>
    <row r="5740" spans="10:14" x14ac:dyDescent="0.4">
      <c r="J5740" s="140"/>
      <c r="N5740" s="211"/>
    </row>
    <row r="5741" spans="10:14" x14ac:dyDescent="0.4">
      <c r="J5741" s="140"/>
      <c r="N5741" s="211"/>
    </row>
    <row r="5742" spans="10:14" x14ac:dyDescent="0.4">
      <c r="J5742" s="140"/>
      <c r="N5742" s="211"/>
    </row>
    <row r="5743" spans="10:14" x14ac:dyDescent="0.4">
      <c r="J5743" s="140"/>
      <c r="N5743" s="211"/>
    </row>
    <row r="5744" spans="10:14" x14ac:dyDescent="0.4">
      <c r="J5744" s="140"/>
      <c r="N5744" s="211"/>
    </row>
    <row r="5745" spans="10:14" x14ac:dyDescent="0.4">
      <c r="J5745" s="140"/>
      <c r="N5745" s="211"/>
    </row>
    <row r="5746" spans="10:14" x14ac:dyDescent="0.4">
      <c r="J5746" s="140"/>
      <c r="N5746" s="211"/>
    </row>
    <row r="5747" spans="10:14" x14ac:dyDescent="0.4">
      <c r="J5747" s="140"/>
      <c r="N5747" s="211"/>
    </row>
    <row r="5748" spans="10:14" x14ac:dyDescent="0.4">
      <c r="J5748" s="140"/>
      <c r="N5748" s="211"/>
    </row>
    <row r="5749" spans="10:14" x14ac:dyDescent="0.4">
      <c r="J5749" s="140"/>
      <c r="N5749" s="211"/>
    </row>
    <row r="5750" spans="10:14" x14ac:dyDescent="0.4">
      <c r="J5750" s="140"/>
      <c r="N5750" s="211"/>
    </row>
    <row r="5751" spans="10:14" x14ac:dyDescent="0.4">
      <c r="J5751" s="140"/>
      <c r="N5751" s="211"/>
    </row>
    <row r="5752" spans="10:14" x14ac:dyDescent="0.4">
      <c r="J5752" s="140"/>
      <c r="N5752" s="211"/>
    </row>
    <row r="5753" spans="10:14" x14ac:dyDescent="0.4">
      <c r="J5753" s="140"/>
      <c r="N5753" s="211"/>
    </row>
    <row r="5754" spans="10:14" x14ac:dyDescent="0.4">
      <c r="J5754" s="140"/>
      <c r="N5754" s="211"/>
    </row>
    <row r="5755" spans="10:14" x14ac:dyDescent="0.4">
      <c r="J5755" s="140"/>
      <c r="N5755" s="211"/>
    </row>
    <row r="5756" spans="10:14" x14ac:dyDescent="0.4">
      <c r="J5756" s="140"/>
      <c r="N5756" s="211"/>
    </row>
    <row r="5757" spans="10:14" x14ac:dyDescent="0.4">
      <c r="J5757" s="140"/>
      <c r="N5757" s="211"/>
    </row>
    <row r="5758" spans="10:14" x14ac:dyDescent="0.4">
      <c r="J5758" s="140"/>
      <c r="N5758" s="211"/>
    </row>
    <row r="5759" spans="10:14" x14ac:dyDescent="0.4">
      <c r="J5759" s="140"/>
      <c r="N5759" s="211"/>
    </row>
    <row r="5760" spans="10:14" x14ac:dyDescent="0.4">
      <c r="J5760" s="140"/>
      <c r="N5760" s="211"/>
    </row>
    <row r="5761" spans="10:14" x14ac:dyDescent="0.4">
      <c r="J5761" s="140"/>
      <c r="N5761" s="211"/>
    </row>
    <row r="5762" spans="10:14" x14ac:dyDescent="0.4">
      <c r="J5762" s="140"/>
      <c r="N5762" s="211"/>
    </row>
    <row r="5763" spans="10:14" x14ac:dyDescent="0.4">
      <c r="J5763" s="140"/>
      <c r="N5763" s="211"/>
    </row>
    <row r="5764" spans="10:14" x14ac:dyDescent="0.4">
      <c r="J5764" s="140"/>
      <c r="N5764" s="211"/>
    </row>
    <row r="5765" spans="10:14" x14ac:dyDescent="0.4">
      <c r="J5765" s="140"/>
      <c r="N5765" s="211"/>
    </row>
    <row r="5766" spans="10:14" x14ac:dyDescent="0.4">
      <c r="J5766" s="140"/>
      <c r="N5766" s="211"/>
    </row>
    <row r="5767" spans="10:14" x14ac:dyDescent="0.4">
      <c r="J5767" s="140"/>
      <c r="N5767" s="211"/>
    </row>
    <row r="5768" spans="10:14" x14ac:dyDescent="0.4">
      <c r="J5768" s="140"/>
      <c r="N5768" s="211"/>
    </row>
    <row r="5769" spans="10:14" x14ac:dyDescent="0.4">
      <c r="J5769" s="140"/>
      <c r="N5769" s="211"/>
    </row>
    <row r="5770" spans="10:14" x14ac:dyDescent="0.4">
      <c r="J5770" s="140"/>
      <c r="N5770" s="211"/>
    </row>
    <row r="5771" spans="10:14" x14ac:dyDescent="0.4">
      <c r="J5771" s="140"/>
      <c r="N5771" s="211"/>
    </row>
    <row r="5772" spans="10:14" x14ac:dyDescent="0.4">
      <c r="J5772" s="140"/>
      <c r="N5772" s="211"/>
    </row>
    <row r="5773" spans="10:14" x14ac:dyDescent="0.4">
      <c r="J5773" s="140"/>
      <c r="N5773" s="211"/>
    </row>
    <row r="5774" spans="10:14" x14ac:dyDescent="0.4">
      <c r="J5774" s="140"/>
      <c r="N5774" s="211"/>
    </row>
    <row r="5775" spans="10:14" x14ac:dyDescent="0.4">
      <c r="J5775" s="140"/>
      <c r="N5775" s="211"/>
    </row>
    <row r="5776" spans="10:14" x14ac:dyDescent="0.4">
      <c r="J5776" s="140"/>
      <c r="N5776" s="211"/>
    </row>
    <row r="5777" spans="10:14" x14ac:dyDescent="0.4">
      <c r="J5777" s="140"/>
      <c r="N5777" s="211"/>
    </row>
    <row r="5778" spans="10:14" x14ac:dyDescent="0.4">
      <c r="J5778" s="140"/>
      <c r="N5778" s="211"/>
    </row>
    <row r="5779" spans="10:14" x14ac:dyDescent="0.4">
      <c r="J5779" s="140"/>
      <c r="N5779" s="211"/>
    </row>
    <row r="5780" spans="10:14" x14ac:dyDescent="0.4">
      <c r="J5780" s="140"/>
      <c r="N5780" s="211"/>
    </row>
    <row r="5781" spans="10:14" x14ac:dyDescent="0.4">
      <c r="J5781" s="140"/>
      <c r="N5781" s="211"/>
    </row>
    <row r="5782" spans="10:14" x14ac:dyDescent="0.4">
      <c r="J5782" s="140"/>
      <c r="N5782" s="211"/>
    </row>
    <row r="5783" spans="10:14" x14ac:dyDescent="0.4">
      <c r="J5783" s="140"/>
      <c r="N5783" s="211"/>
    </row>
    <row r="5784" spans="10:14" x14ac:dyDescent="0.4">
      <c r="J5784" s="140"/>
      <c r="N5784" s="211"/>
    </row>
    <row r="5785" spans="10:14" x14ac:dyDescent="0.4">
      <c r="J5785" s="140"/>
      <c r="N5785" s="211"/>
    </row>
    <row r="5786" spans="10:14" x14ac:dyDescent="0.4">
      <c r="J5786" s="140"/>
      <c r="N5786" s="211"/>
    </row>
    <row r="5787" spans="10:14" x14ac:dyDescent="0.4">
      <c r="J5787" s="140"/>
      <c r="N5787" s="211"/>
    </row>
    <row r="5788" spans="10:14" x14ac:dyDescent="0.4">
      <c r="J5788" s="140"/>
      <c r="N5788" s="211"/>
    </row>
    <row r="5789" spans="10:14" x14ac:dyDescent="0.4">
      <c r="J5789" s="140"/>
      <c r="N5789" s="211"/>
    </row>
    <row r="5790" spans="10:14" x14ac:dyDescent="0.4">
      <c r="J5790" s="140"/>
      <c r="N5790" s="211"/>
    </row>
    <row r="5791" spans="10:14" x14ac:dyDescent="0.4">
      <c r="J5791" s="140"/>
      <c r="N5791" s="211"/>
    </row>
    <row r="5792" spans="10:14" x14ac:dyDescent="0.4">
      <c r="J5792" s="140"/>
      <c r="N5792" s="211"/>
    </row>
    <row r="5793" spans="10:14" x14ac:dyDescent="0.4">
      <c r="J5793" s="140"/>
      <c r="N5793" s="211"/>
    </row>
    <row r="5794" spans="10:14" x14ac:dyDescent="0.4">
      <c r="J5794" s="140"/>
      <c r="N5794" s="211"/>
    </row>
    <row r="5795" spans="10:14" x14ac:dyDescent="0.4">
      <c r="J5795" s="140"/>
      <c r="N5795" s="211"/>
    </row>
    <row r="5796" spans="10:14" x14ac:dyDescent="0.4">
      <c r="J5796" s="140"/>
      <c r="N5796" s="211"/>
    </row>
    <row r="5797" spans="10:14" x14ac:dyDescent="0.4">
      <c r="J5797" s="140"/>
      <c r="N5797" s="211"/>
    </row>
    <row r="5798" spans="10:14" x14ac:dyDescent="0.4">
      <c r="J5798" s="140"/>
      <c r="N5798" s="211"/>
    </row>
    <row r="5799" spans="10:14" x14ac:dyDescent="0.4">
      <c r="J5799" s="140"/>
      <c r="N5799" s="211"/>
    </row>
    <row r="5800" spans="10:14" x14ac:dyDescent="0.4">
      <c r="J5800" s="140"/>
      <c r="N5800" s="211"/>
    </row>
    <row r="5801" spans="10:14" x14ac:dyDescent="0.4">
      <c r="J5801" s="140"/>
      <c r="N5801" s="211"/>
    </row>
    <row r="5802" spans="10:14" x14ac:dyDescent="0.4">
      <c r="J5802" s="140"/>
      <c r="N5802" s="211"/>
    </row>
    <row r="5803" spans="10:14" x14ac:dyDescent="0.4">
      <c r="J5803" s="140"/>
      <c r="N5803" s="211"/>
    </row>
    <row r="5804" spans="10:14" x14ac:dyDescent="0.4">
      <c r="J5804" s="140"/>
      <c r="N5804" s="211"/>
    </row>
    <row r="5805" spans="10:14" x14ac:dyDescent="0.4">
      <c r="J5805" s="140"/>
      <c r="N5805" s="211"/>
    </row>
    <row r="5806" spans="10:14" x14ac:dyDescent="0.4">
      <c r="J5806" s="140"/>
      <c r="N5806" s="211"/>
    </row>
    <row r="5807" spans="10:14" x14ac:dyDescent="0.4">
      <c r="J5807" s="140"/>
      <c r="N5807" s="211"/>
    </row>
    <row r="5808" spans="10:14" x14ac:dyDescent="0.4">
      <c r="J5808" s="140"/>
      <c r="N5808" s="211"/>
    </row>
    <row r="5809" spans="10:14" x14ac:dyDescent="0.4">
      <c r="J5809" s="140"/>
      <c r="N5809" s="211"/>
    </row>
    <row r="5810" spans="10:14" x14ac:dyDescent="0.4">
      <c r="J5810" s="140"/>
      <c r="N5810" s="211"/>
    </row>
    <row r="5811" spans="10:14" x14ac:dyDescent="0.4">
      <c r="J5811" s="140"/>
      <c r="N5811" s="211"/>
    </row>
    <row r="5812" spans="10:14" x14ac:dyDescent="0.4">
      <c r="J5812" s="140"/>
      <c r="N5812" s="211"/>
    </row>
    <row r="5813" spans="10:14" x14ac:dyDescent="0.4">
      <c r="J5813" s="140"/>
      <c r="N5813" s="211"/>
    </row>
    <row r="5814" spans="10:14" x14ac:dyDescent="0.4">
      <c r="J5814" s="140"/>
      <c r="N5814" s="211"/>
    </row>
    <row r="5815" spans="10:14" x14ac:dyDescent="0.4">
      <c r="J5815" s="140"/>
      <c r="N5815" s="211"/>
    </row>
    <row r="5816" spans="10:14" x14ac:dyDescent="0.4">
      <c r="J5816" s="140"/>
      <c r="N5816" s="211"/>
    </row>
    <row r="5817" spans="10:14" x14ac:dyDescent="0.4">
      <c r="J5817" s="140"/>
      <c r="N5817" s="211"/>
    </row>
    <row r="5818" spans="10:14" x14ac:dyDescent="0.4">
      <c r="J5818" s="140"/>
      <c r="N5818" s="211"/>
    </row>
    <row r="5819" spans="10:14" x14ac:dyDescent="0.4">
      <c r="J5819" s="140"/>
      <c r="N5819" s="211"/>
    </row>
    <row r="5820" spans="10:14" x14ac:dyDescent="0.4">
      <c r="J5820" s="140"/>
      <c r="N5820" s="211"/>
    </row>
    <row r="5821" spans="10:14" x14ac:dyDescent="0.4">
      <c r="J5821" s="140"/>
      <c r="N5821" s="211"/>
    </row>
    <row r="5822" spans="10:14" x14ac:dyDescent="0.4">
      <c r="J5822" s="140"/>
      <c r="N5822" s="211"/>
    </row>
    <row r="5823" spans="10:14" x14ac:dyDescent="0.4">
      <c r="J5823" s="140"/>
      <c r="N5823" s="211"/>
    </row>
    <row r="5824" spans="10:14" x14ac:dyDescent="0.4">
      <c r="J5824" s="140"/>
      <c r="N5824" s="211"/>
    </row>
    <row r="5825" spans="10:14" x14ac:dyDescent="0.4">
      <c r="J5825" s="140"/>
      <c r="N5825" s="211"/>
    </row>
    <row r="5826" spans="10:14" x14ac:dyDescent="0.4">
      <c r="J5826" s="140"/>
      <c r="N5826" s="211"/>
    </row>
    <row r="5827" spans="10:14" x14ac:dyDescent="0.4">
      <c r="J5827" s="140"/>
      <c r="N5827" s="211"/>
    </row>
    <row r="5828" spans="10:14" x14ac:dyDescent="0.4">
      <c r="J5828" s="140"/>
      <c r="N5828" s="211"/>
    </row>
    <row r="5829" spans="10:14" x14ac:dyDescent="0.4">
      <c r="J5829" s="140"/>
      <c r="N5829" s="211"/>
    </row>
    <row r="5830" spans="10:14" x14ac:dyDescent="0.4">
      <c r="J5830" s="140"/>
      <c r="N5830" s="211"/>
    </row>
    <row r="5831" spans="10:14" x14ac:dyDescent="0.4">
      <c r="J5831" s="140"/>
      <c r="N5831" s="211"/>
    </row>
    <row r="5832" spans="10:14" x14ac:dyDescent="0.4">
      <c r="J5832" s="140"/>
      <c r="N5832" s="211"/>
    </row>
    <row r="5833" spans="10:14" x14ac:dyDescent="0.4">
      <c r="J5833" s="140"/>
      <c r="N5833" s="211"/>
    </row>
    <row r="5834" spans="10:14" x14ac:dyDescent="0.4">
      <c r="J5834" s="140"/>
      <c r="N5834" s="211"/>
    </row>
    <row r="5835" spans="10:14" x14ac:dyDescent="0.4">
      <c r="J5835" s="140"/>
      <c r="N5835" s="211"/>
    </row>
    <row r="5836" spans="10:14" x14ac:dyDescent="0.4">
      <c r="J5836" s="140"/>
      <c r="N5836" s="211"/>
    </row>
    <row r="5837" spans="10:14" x14ac:dyDescent="0.4">
      <c r="J5837" s="140"/>
      <c r="N5837" s="211"/>
    </row>
    <row r="5838" spans="10:14" x14ac:dyDescent="0.4">
      <c r="J5838" s="140"/>
      <c r="N5838" s="211"/>
    </row>
    <row r="5839" spans="10:14" x14ac:dyDescent="0.4">
      <c r="J5839" s="140"/>
      <c r="N5839" s="211"/>
    </row>
    <row r="5840" spans="10:14" x14ac:dyDescent="0.4">
      <c r="J5840" s="140"/>
      <c r="N5840" s="211"/>
    </row>
    <row r="5841" spans="10:14" x14ac:dyDescent="0.4">
      <c r="J5841" s="140"/>
      <c r="N5841" s="211"/>
    </row>
    <row r="5842" spans="10:14" x14ac:dyDescent="0.4">
      <c r="J5842" s="140"/>
      <c r="N5842" s="211"/>
    </row>
    <row r="5843" spans="10:14" x14ac:dyDescent="0.4">
      <c r="J5843" s="140"/>
      <c r="N5843" s="211"/>
    </row>
    <row r="5844" spans="10:14" x14ac:dyDescent="0.4">
      <c r="J5844" s="140"/>
      <c r="N5844" s="211"/>
    </row>
    <row r="5845" spans="10:14" x14ac:dyDescent="0.4">
      <c r="J5845" s="140"/>
      <c r="N5845" s="211"/>
    </row>
    <row r="5846" spans="10:14" x14ac:dyDescent="0.4">
      <c r="J5846" s="140"/>
      <c r="N5846" s="211"/>
    </row>
    <row r="5847" spans="10:14" x14ac:dyDescent="0.4">
      <c r="J5847" s="140"/>
      <c r="N5847" s="211"/>
    </row>
    <row r="5848" spans="10:14" x14ac:dyDescent="0.4">
      <c r="J5848" s="140"/>
      <c r="N5848" s="211"/>
    </row>
    <row r="5849" spans="10:14" x14ac:dyDescent="0.4">
      <c r="J5849" s="140"/>
      <c r="N5849" s="211"/>
    </row>
    <row r="5850" spans="10:14" x14ac:dyDescent="0.4">
      <c r="J5850" s="140"/>
      <c r="N5850" s="211"/>
    </row>
    <row r="5851" spans="10:14" x14ac:dyDescent="0.4">
      <c r="J5851" s="140"/>
      <c r="N5851" s="211"/>
    </row>
    <row r="5852" spans="10:14" x14ac:dyDescent="0.4">
      <c r="J5852" s="140"/>
      <c r="N5852" s="211"/>
    </row>
    <row r="5853" spans="10:14" x14ac:dyDescent="0.4">
      <c r="J5853" s="140"/>
      <c r="N5853" s="211"/>
    </row>
    <row r="5854" spans="10:14" x14ac:dyDescent="0.4">
      <c r="J5854" s="140"/>
      <c r="N5854" s="211"/>
    </row>
    <row r="5855" spans="10:14" x14ac:dyDescent="0.4">
      <c r="J5855" s="140"/>
      <c r="N5855" s="211"/>
    </row>
    <row r="5856" spans="10:14" x14ac:dyDescent="0.4">
      <c r="J5856" s="140"/>
      <c r="N5856" s="211"/>
    </row>
    <row r="5857" spans="10:14" x14ac:dyDescent="0.4">
      <c r="J5857" s="140"/>
      <c r="N5857" s="211"/>
    </row>
    <row r="5858" spans="10:14" x14ac:dyDescent="0.4">
      <c r="J5858" s="140"/>
      <c r="N5858" s="211"/>
    </row>
    <row r="5859" spans="10:14" x14ac:dyDescent="0.4">
      <c r="J5859" s="140"/>
      <c r="N5859" s="211"/>
    </row>
    <row r="5860" spans="10:14" x14ac:dyDescent="0.4">
      <c r="J5860" s="140"/>
      <c r="N5860" s="211"/>
    </row>
    <row r="5861" spans="10:14" x14ac:dyDescent="0.4">
      <c r="J5861" s="140"/>
      <c r="N5861" s="211"/>
    </row>
    <row r="5862" spans="10:14" x14ac:dyDescent="0.4">
      <c r="J5862" s="140"/>
      <c r="N5862" s="211"/>
    </row>
    <row r="5863" spans="10:14" x14ac:dyDescent="0.4">
      <c r="J5863" s="140"/>
      <c r="N5863" s="211"/>
    </row>
    <row r="5864" spans="10:14" x14ac:dyDescent="0.4">
      <c r="J5864" s="140"/>
      <c r="N5864" s="211"/>
    </row>
    <row r="5865" spans="10:14" x14ac:dyDescent="0.4">
      <c r="J5865" s="140"/>
      <c r="N5865" s="211"/>
    </row>
    <row r="5866" spans="10:14" x14ac:dyDescent="0.4">
      <c r="J5866" s="140"/>
      <c r="N5866" s="211"/>
    </row>
    <row r="5867" spans="10:14" x14ac:dyDescent="0.4">
      <c r="J5867" s="140"/>
      <c r="N5867" s="211"/>
    </row>
    <row r="5868" spans="10:14" x14ac:dyDescent="0.4">
      <c r="J5868" s="140"/>
      <c r="N5868" s="211"/>
    </row>
    <row r="5869" spans="10:14" x14ac:dyDescent="0.4">
      <c r="J5869" s="140"/>
      <c r="N5869" s="211"/>
    </row>
    <row r="5870" spans="10:14" x14ac:dyDescent="0.4">
      <c r="J5870" s="140"/>
      <c r="N5870" s="211"/>
    </row>
    <row r="5871" spans="10:14" x14ac:dyDescent="0.4">
      <c r="J5871" s="140"/>
      <c r="N5871" s="211"/>
    </row>
    <row r="5872" spans="10:14" x14ac:dyDescent="0.4">
      <c r="J5872" s="140"/>
      <c r="N5872" s="211"/>
    </row>
    <row r="5873" spans="10:14" x14ac:dyDescent="0.4">
      <c r="J5873" s="140"/>
      <c r="N5873" s="211"/>
    </row>
    <row r="5874" spans="10:14" x14ac:dyDescent="0.4">
      <c r="J5874" s="140"/>
      <c r="N5874" s="211"/>
    </row>
    <row r="5875" spans="10:14" x14ac:dyDescent="0.4">
      <c r="J5875" s="140"/>
      <c r="N5875" s="211"/>
    </row>
    <row r="5876" spans="10:14" x14ac:dyDescent="0.4">
      <c r="J5876" s="140"/>
      <c r="N5876" s="211"/>
    </row>
    <row r="5877" spans="10:14" x14ac:dyDescent="0.4">
      <c r="J5877" s="140"/>
      <c r="N5877" s="211"/>
    </row>
    <row r="5878" spans="10:14" x14ac:dyDescent="0.4">
      <c r="J5878" s="140"/>
      <c r="N5878" s="211"/>
    </row>
    <row r="5879" spans="10:14" x14ac:dyDescent="0.4">
      <c r="J5879" s="140"/>
      <c r="N5879" s="211"/>
    </row>
    <row r="5880" spans="10:14" x14ac:dyDescent="0.4">
      <c r="J5880" s="140"/>
      <c r="N5880" s="211"/>
    </row>
    <row r="5881" spans="10:14" x14ac:dyDescent="0.4">
      <c r="J5881" s="140"/>
      <c r="N5881" s="211"/>
    </row>
    <row r="5882" spans="10:14" x14ac:dyDescent="0.4">
      <c r="J5882" s="140"/>
      <c r="N5882" s="211"/>
    </row>
    <row r="5883" spans="10:14" x14ac:dyDescent="0.4">
      <c r="J5883" s="140"/>
      <c r="N5883" s="211"/>
    </row>
    <row r="5884" spans="10:14" x14ac:dyDescent="0.4">
      <c r="J5884" s="140"/>
      <c r="N5884" s="211"/>
    </row>
    <row r="5885" spans="10:14" x14ac:dyDescent="0.4">
      <c r="J5885" s="140"/>
      <c r="N5885" s="211"/>
    </row>
    <row r="5886" spans="10:14" x14ac:dyDescent="0.4">
      <c r="J5886" s="140"/>
      <c r="N5886" s="211"/>
    </row>
    <row r="5887" spans="10:14" x14ac:dyDescent="0.4">
      <c r="J5887" s="140"/>
      <c r="N5887" s="211"/>
    </row>
    <row r="5888" spans="10:14" x14ac:dyDescent="0.4">
      <c r="J5888" s="140"/>
      <c r="N5888" s="211"/>
    </row>
    <row r="5889" spans="10:14" x14ac:dyDescent="0.4">
      <c r="J5889" s="140"/>
      <c r="N5889" s="211"/>
    </row>
    <row r="5890" spans="10:14" x14ac:dyDescent="0.4">
      <c r="J5890" s="140"/>
      <c r="N5890" s="211"/>
    </row>
    <row r="5891" spans="10:14" x14ac:dyDescent="0.4">
      <c r="J5891" s="140"/>
      <c r="N5891" s="211"/>
    </row>
    <row r="5892" spans="10:14" x14ac:dyDescent="0.4">
      <c r="J5892" s="140"/>
      <c r="N5892" s="211"/>
    </row>
    <row r="5893" spans="10:14" x14ac:dyDescent="0.4">
      <c r="J5893" s="140"/>
      <c r="N5893" s="211"/>
    </row>
    <row r="5894" spans="10:14" x14ac:dyDescent="0.4">
      <c r="J5894" s="140"/>
      <c r="N5894" s="211"/>
    </row>
    <row r="5895" spans="10:14" x14ac:dyDescent="0.4">
      <c r="J5895" s="140"/>
      <c r="N5895" s="211"/>
    </row>
    <row r="5896" spans="10:14" x14ac:dyDescent="0.4">
      <c r="J5896" s="140"/>
      <c r="N5896" s="211"/>
    </row>
    <row r="5897" spans="10:14" x14ac:dyDescent="0.4">
      <c r="J5897" s="140"/>
      <c r="N5897" s="211"/>
    </row>
    <row r="5898" spans="10:14" x14ac:dyDescent="0.4">
      <c r="J5898" s="140"/>
      <c r="N5898" s="211"/>
    </row>
    <row r="5899" spans="10:14" x14ac:dyDescent="0.4">
      <c r="J5899" s="140"/>
      <c r="N5899" s="211"/>
    </row>
    <row r="5900" spans="10:14" x14ac:dyDescent="0.4">
      <c r="J5900" s="140"/>
      <c r="N5900" s="211"/>
    </row>
    <row r="5901" spans="10:14" x14ac:dyDescent="0.4">
      <c r="J5901" s="140"/>
      <c r="N5901" s="211"/>
    </row>
    <row r="5902" spans="10:14" x14ac:dyDescent="0.4">
      <c r="J5902" s="140"/>
      <c r="N5902" s="211"/>
    </row>
    <row r="5903" spans="10:14" x14ac:dyDescent="0.4">
      <c r="J5903" s="140"/>
      <c r="N5903" s="211"/>
    </row>
    <row r="5904" spans="10:14" x14ac:dyDescent="0.4">
      <c r="J5904" s="140"/>
      <c r="N5904" s="211"/>
    </row>
    <row r="5905" spans="10:14" x14ac:dyDescent="0.4">
      <c r="J5905" s="140"/>
      <c r="N5905" s="211"/>
    </row>
    <row r="5906" spans="10:14" x14ac:dyDescent="0.4">
      <c r="J5906" s="140"/>
      <c r="N5906" s="211"/>
    </row>
    <row r="5907" spans="10:14" x14ac:dyDescent="0.4">
      <c r="J5907" s="140"/>
      <c r="N5907" s="211"/>
    </row>
    <row r="5908" spans="10:14" x14ac:dyDescent="0.4">
      <c r="J5908" s="140"/>
      <c r="N5908" s="211"/>
    </row>
    <row r="5909" spans="10:14" x14ac:dyDescent="0.4">
      <c r="J5909" s="140"/>
      <c r="N5909" s="211"/>
    </row>
    <row r="5910" spans="10:14" x14ac:dyDescent="0.4">
      <c r="J5910" s="140"/>
      <c r="N5910" s="211"/>
    </row>
    <row r="5911" spans="10:14" x14ac:dyDescent="0.4">
      <c r="J5911" s="140"/>
      <c r="N5911" s="211"/>
    </row>
    <row r="5912" spans="10:14" x14ac:dyDescent="0.4">
      <c r="J5912" s="140"/>
      <c r="N5912" s="211"/>
    </row>
    <row r="5913" spans="10:14" x14ac:dyDescent="0.4">
      <c r="J5913" s="140"/>
      <c r="N5913" s="211"/>
    </row>
    <row r="5914" spans="10:14" x14ac:dyDescent="0.4">
      <c r="J5914" s="140"/>
      <c r="N5914" s="211"/>
    </row>
    <row r="5915" spans="10:14" x14ac:dyDescent="0.4">
      <c r="J5915" s="140"/>
      <c r="N5915" s="211"/>
    </row>
    <row r="5916" spans="10:14" x14ac:dyDescent="0.4">
      <c r="J5916" s="140"/>
      <c r="N5916" s="211"/>
    </row>
    <row r="5917" spans="10:14" x14ac:dyDescent="0.4">
      <c r="J5917" s="140"/>
      <c r="N5917" s="211"/>
    </row>
    <row r="5918" spans="10:14" x14ac:dyDescent="0.4">
      <c r="J5918" s="140"/>
      <c r="N5918" s="211"/>
    </row>
    <row r="5919" spans="10:14" x14ac:dyDescent="0.4">
      <c r="J5919" s="140"/>
      <c r="N5919" s="211"/>
    </row>
    <row r="5920" spans="10:14" x14ac:dyDescent="0.4">
      <c r="J5920" s="140"/>
      <c r="N5920" s="211"/>
    </row>
    <row r="5921" spans="10:14" x14ac:dyDescent="0.4">
      <c r="J5921" s="140"/>
      <c r="N5921" s="211"/>
    </row>
    <row r="5922" spans="10:14" x14ac:dyDescent="0.4">
      <c r="J5922" s="140"/>
      <c r="N5922" s="211"/>
    </row>
    <row r="5923" spans="10:14" x14ac:dyDescent="0.4">
      <c r="J5923" s="140"/>
      <c r="N5923" s="211"/>
    </row>
    <row r="5924" spans="10:14" x14ac:dyDescent="0.4">
      <c r="J5924" s="140"/>
      <c r="N5924" s="211"/>
    </row>
    <row r="5925" spans="10:14" x14ac:dyDescent="0.4">
      <c r="J5925" s="140"/>
      <c r="N5925" s="211"/>
    </row>
    <row r="5926" spans="10:14" x14ac:dyDescent="0.4">
      <c r="J5926" s="140"/>
      <c r="N5926" s="211"/>
    </row>
    <row r="5927" spans="10:14" x14ac:dyDescent="0.4">
      <c r="J5927" s="140"/>
      <c r="N5927" s="211"/>
    </row>
    <row r="5928" spans="10:14" x14ac:dyDescent="0.4">
      <c r="J5928" s="140"/>
      <c r="N5928" s="211"/>
    </row>
    <row r="5929" spans="10:14" x14ac:dyDescent="0.4">
      <c r="J5929" s="140"/>
      <c r="N5929" s="211"/>
    </row>
    <row r="5930" spans="10:14" x14ac:dyDescent="0.4">
      <c r="J5930" s="140"/>
      <c r="N5930" s="211"/>
    </row>
    <row r="5931" spans="10:14" x14ac:dyDescent="0.4">
      <c r="J5931" s="140"/>
      <c r="N5931" s="211"/>
    </row>
    <row r="5932" spans="10:14" x14ac:dyDescent="0.4">
      <c r="J5932" s="140"/>
      <c r="N5932" s="211"/>
    </row>
    <row r="5933" spans="10:14" x14ac:dyDescent="0.4">
      <c r="J5933" s="140"/>
      <c r="N5933" s="211"/>
    </row>
    <row r="5934" spans="10:14" x14ac:dyDescent="0.4">
      <c r="J5934" s="140"/>
      <c r="N5934" s="211"/>
    </row>
    <row r="5935" spans="10:14" x14ac:dyDescent="0.4">
      <c r="J5935" s="140"/>
      <c r="N5935" s="211"/>
    </row>
    <row r="5936" spans="10:14" x14ac:dyDescent="0.4">
      <c r="J5936" s="140"/>
      <c r="N5936" s="211"/>
    </row>
    <row r="5937" spans="10:14" x14ac:dyDescent="0.4">
      <c r="J5937" s="140"/>
      <c r="N5937" s="211"/>
    </row>
    <row r="5938" spans="10:14" x14ac:dyDescent="0.4">
      <c r="J5938" s="140"/>
      <c r="N5938" s="211"/>
    </row>
    <row r="5939" spans="10:14" x14ac:dyDescent="0.4">
      <c r="J5939" s="140"/>
      <c r="N5939" s="211"/>
    </row>
    <row r="5940" spans="10:14" x14ac:dyDescent="0.4">
      <c r="J5940" s="140"/>
      <c r="N5940" s="211"/>
    </row>
    <row r="5941" spans="10:14" x14ac:dyDescent="0.4">
      <c r="J5941" s="140"/>
      <c r="N5941" s="211"/>
    </row>
    <row r="5942" spans="10:14" x14ac:dyDescent="0.4">
      <c r="J5942" s="140"/>
      <c r="N5942" s="211"/>
    </row>
    <row r="5943" spans="10:14" x14ac:dyDescent="0.4">
      <c r="J5943" s="140"/>
      <c r="N5943" s="211"/>
    </row>
    <row r="5944" spans="10:14" x14ac:dyDescent="0.4">
      <c r="J5944" s="140"/>
      <c r="N5944" s="211"/>
    </row>
    <row r="5945" spans="10:14" x14ac:dyDescent="0.4">
      <c r="J5945" s="140"/>
      <c r="N5945" s="211"/>
    </row>
    <row r="5946" spans="10:14" x14ac:dyDescent="0.4">
      <c r="J5946" s="140"/>
      <c r="N5946" s="211"/>
    </row>
    <row r="5947" spans="10:14" x14ac:dyDescent="0.4">
      <c r="J5947" s="140"/>
      <c r="N5947" s="211"/>
    </row>
    <row r="5948" spans="10:14" x14ac:dyDescent="0.4">
      <c r="J5948" s="140"/>
      <c r="N5948" s="211"/>
    </row>
    <row r="5949" spans="10:14" x14ac:dyDescent="0.4">
      <c r="J5949" s="140"/>
      <c r="N5949" s="211"/>
    </row>
    <row r="5950" spans="10:14" x14ac:dyDescent="0.4">
      <c r="J5950" s="140"/>
      <c r="N5950" s="211"/>
    </row>
    <row r="5951" spans="10:14" x14ac:dyDescent="0.4">
      <c r="J5951" s="140"/>
      <c r="N5951" s="211"/>
    </row>
    <row r="5952" spans="10:14" x14ac:dyDescent="0.4">
      <c r="J5952" s="140"/>
      <c r="N5952" s="211"/>
    </row>
    <row r="5953" spans="10:14" x14ac:dyDescent="0.4">
      <c r="J5953" s="140"/>
      <c r="N5953" s="211"/>
    </row>
    <row r="5954" spans="10:14" x14ac:dyDescent="0.4">
      <c r="J5954" s="140"/>
      <c r="N5954" s="211"/>
    </row>
    <row r="5955" spans="10:14" x14ac:dyDescent="0.4">
      <c r="J5955" s="140"/>
      <c r="N5955" s="211"/>
    </row>
    <row r="5956" spans="10:14" x14ac:dyDescent="0.4">
      <c r="J5956" s="140"/>
      <c r="N5956" s="211"/>
    </row>
    <row r="5957" spans="10:14" x14ac:dyDescent="0.4">
      <c r="J5957" s="140"/>
      <c r="N5957" s="211"/>
    </row>
    <row r="5958" spans="10:14" x14ac:dyDescent="0.4">
      <c r="J5958" s="140"/>
      <c r="N5958" s="211"/>
    </row>
    <row r="5959" spans="10:14" x14ac:dyDescent="0.4">
      <c r="J5959" s="140"/>
      <c r="N5959" s="211"/>
    </row>
    <row r="5960" spans="10:14" x14ac:dyDescent="0.4">
      <c r="J5960" s="140"/>
      <c r="N5960" s="211"/>
    </row>
    <row r="5961" spans="10:14" x14ac:dyDescent="0.4">
      <c r="J5961" s="140"/>
      <c r="N5961" s="211"/>
    </row>
    <row r="5962" spans="10:14" x14ac:dyDescent="0.4">
      <c r="J5962" s="140"/>
      <c r="N5962" s="211"/>
    </row>
    <row r="5963" spans="10:14" x14ac:dyDescent="0.4">
      <c r="J5963" s="140"/>
      <c r="N5963" s="211"/>
    </row>
    <row r="5964" spans="10:14" x14ac:dyDescent="0.4">
      <c r="J5964" s="140"/>
      <c r="N5964" s="211"/>
    </row>
    <row r="5965" spans="10:14" x14ac:dyDescent="0.4">
      <c r="J5965" s="140"/>
      <c r="N5965" s="211"/>
    </row>
    <row r="5966" spans="10:14" x14ac:dyDescent="0.4">
      <c r="J5966" s="140"/>
      <c r="N5966" s="211"/>
    </row>
    <row r="5967" spans="10:14" x14ac:dyDescent="0.4">
      <c r="J5967" s="140"/>
      <c r="N5967" s="211"/>
    </row>
    <row r="5968" spans="10:14" x14ac:dyDescent="0.4">
      <c r="J5968" s="140"/>
      <c r="N5968" s="211"/>
    </row>
    <row r="5969" spans="10:14" x14ac:dyDescent="0.4">
      <c r="J5969" s="140"/>
      <c r="N5969" s="211"/>
    </row>
    <row r="5970" spans="10:14" x14ac:dyDescent="0.4">
      <c r="J5970" s="140"/>
      <c r="N5970" s="211"/>
    </row>
    <row r="5971" spans="10:14" x14ac:dyDescent="0.4">
      <c r="J5971" s="140"/>
      <c r="N5971" s="211"/>
    </row>
    <row r="5972" spans="10:14" x14ac:dyDescent="0.4">
      <c r="J5972" s="140"/>
      <c r="N5972" s="211"/>
    </row>
    <row r="5973" spans="10:14" x14ac:dyDescent="0.4">
      <c r="J5973" s="140"/>
      <c r="N5973" s="211"/>
    </row>
    <row r="5974" spans="10:14" x14ac:dyDescent="0.4">
      <c r="J5974" s="140"/>
      <c r="N5974" s="211"/>
    </row>
    <row r="5975" spans="10:14" x14ac:dyDescent="0.4">
      <c r="J5975" s="140"/>
      <c r="N5975" s="211"/>
    </row>
    <row r="5976" spans="10:14" x14ac:dyDescent="0.4">
      <c r="J5976" s="140"/>
      <c r="N5976" s="211"/>
    </row>
    <row r="5977" spans="10:14" x14ac:dyDescent="0.4">
      <c r="J5977" s="140"/>
      <c r="N5977" s="211"/>
    </row>
    <row r="5978" spans="10:14" x14ac:dyDescent="0.4">
      <c r="J5978" s="140"/>
      <c r="N5978" s="211"/>
    </row>
    <row r="5979" spans="10:14" x14ac:dyDescent="0.4">
      <c r="J5979" s="140"/>
      <c r="N5979" s="211"/>
    </row>
    <row r="5980" spans="10:14" x14ac:dyDescent="0.4">
      <c r="J5980" s="140"/>
      <c r="N5980" s="211"/>
    </row>
    <row r="5981" spans="10:14" x14ac:dyDescent="0.4">
      <c r="J5981" s="140"/>
      <c r="N5981" s="211"/>
    </row>
    <row r="5982" spans="10:14" x14ac:dyDescent="0.4">
      <c r="J5982" s="140"/>
      <c r="N5982" s="211"/>
    </row>
    <row r="5983" spans="10:14" x14ac:dyDescent="0.4">
      <c r="J5983" s="140"/>
      <c r="N5983" s="211"/>
    </row>
    <row r="5984" spans="10:14" x14ac:dyDescent="0.4">
      <c r="J5984" s="140"/>
      <c r="N5984" s="211"/>
    </row>
    <row r="5985" spans="10:14" x14ac:dyDescent="0.4">
      <c r="J5985" s="140"/>
      <c r="N5985" s="211"/>
    </row>
    <row r="5986" spans="10:14" x14ac:dyDescent="0.4">
      <c r="J5986" s="140"/>
      <c r="N5986" s="211"/>
    </row>
    <row r="5987" spans="10:14" x14ac:dyDescent="0.4">
      <c r="J5987" s="140"/>
      <c r="N5987" s="211"/>
    </row>
    <row r="5988" spans="10:14" x14ac:dyDescent="0.4">
      <c r="J5988" s="140"/>
      <c r="N5988" s="211"/>
    </row>
    <row r="5989" spans="10:14" x14ac:dyDescent="0.4">
      <c r="J5989" s="140"/>
      <c r="N5989" s="211"/>
    </row>
    <row r="5990" spans="10:14" x14ac:dyDescent="0.4">
      <c r="J5990" s="140"/>
      <c r="N5990" s="211"/>
    </row>
    <row r="5991" spans="10:14" x14ac:dyDescent="0.4">
      <c r="J5991" s="140"/>
      <c r="N5991" s="211"/>
    </row>
    <row r="5992" spans="10:14" x14ac:dyDescent="0.4">
      <c r="J5992" s="140"/>
      <c r="N5992" s="211"/>
    </row>
    <row r="5993" spans="10:14" x14ac:dyDescent="0.4">
      <c r="J5993" s="140"/>
      <c r="N5993" s="211"/>
    </row>
    <row r="5994" spans="10:14" x14ac:dyDescent="0.4">
      <c r="J5994" s="140"/>
      <c r="N5994" s="211"/>
    </row>
    <row r="5995" spans="10:14" x14ac:dyDescent="0.4">
      <c r="J5995" s="140"/>
      <c r="N5995" s="211"/>
    </row>
    <row r="5996" spans="10:14" x14ac:dyDescent="0.4">
      <c r="J5996" s="140"/>
      <c r="N5996" s="211"/>
    </row>
    <row r="5997" spans="10:14" x14ac:dyDescent="0.4">
      <c r="J5997" s="140"/>
      <c r="N5997" s="211"/>
    </row>
    <row r="5998" spans="10:14" x14ac:dyDescent="0.4">
      <c r="J5998" s="140"/>
      <c r="N5998" s="211"/>
    </row>
    <row r="5999" spans="10:14" x14ac:dyDescent="0.4">
      <c r="J5999" s="140"/>
      <c r="N5999" s="211"/>
    </row>
    <row r="6000" spans="10:14" x14ac:dyDescent="0.4">
      <c r="J6000" s="140"/>
      <c r="N6000" s="211"/>
    </row>
    <row r="6001" spans="10:14" x14ac:dyDescent="0.4">
      <c r="J6001" s="140"/>
      <c r="N6001" s="211"/>
    </row>
    <row r="6002" spans="10:14" x14ac:dyDescent="0.4">
      <c r="J6002" s="140"/>
      <c r="N6002" s="211"/>
    </row>
    <row r="6003" spans="10:14" x14ac:dyDescent="0.4">
      <c r="J6003" s="140"/>
      <c r="N6003" s="211"/>
    </row>
    <row r="6004" spans="10:14" x14ac:dyDescent="0.4">
      <c r="J6004" s="140"/>
      <c r="N6004" s="211"/>
    </row>
    <row r="6005" spans="10:14" x14ac:dyDescent="0.4">
      <c r="J6005" s="140"/>
      <c r="N6005" s="211"/>
    </row>
    <row r="6006" spans="10:14" x14ac:dyDescent="0.4">
      <c r="J6006" s="140"/>
      <c r="N6006" s="211"/>
    </row>
    <row r="6007" spans="10:14" x14ac:dyDescent="0.4">
      <c r="J6007" s="140"/>
      <c r="N6007" s="211"/>
    </row>
    <row r="6008" spans="10:14" x14ac:dyDescent="0.4">
      <c r="J6008" s="140"/>
      <c r="N6008" s="211"/>
    </row>
    <row r="6009" spans="10:14" x14ac:dyDescent="0.4">
      <c r="J6009" s="140"/>
      <c r="N6009" s="211"/>
    </row>
    <row r="6010" spans="10:14" x14ac:dyDescent="0.4">
      <c r="J6010" s="140"/>
      <c r="N6010" s="211"/>
    </row>
    <row r="6011" spans="10:14" x14ac:dyDescent="0.4">
      <c r="J6011" s="140"/>
      <c r="N6011" s="211"/>
    </row>
    <row r="6012" spans="10:14" x14ac:dyDescent="0.4">
      <c r="J6012" s="140"/>
      <c r="N6012" s="211"/>
    </row>
    <row r="6013" spans="10:14" x14ac:dyDescent="0.4">
      <c r="J6013" s="140"/>
      <c r="N6013" s="211"/>
    </row>
    <row r="6014" spans="10:14" x14ac:dyDescent="0.4">
      <c r="J6014" s="140"/>
      <c r="N6014" s="211"/>
    </row>
    <row r="6015" spans="10:14" x14ac:dyDescent="0.4">
      <c r="J6015" s="140"/>
      <c r="N6015" s="211"/>
    </row>
    <row r="6016" spans="10:14" x14ac:dyDescent="0.4">
      <c r="J6016" s="140"/>
      <c r="N6016" s="211"/>
    </row>
    <row r="6017" spans="10:14" x14ac:dyDescent="0.4">
      <c r="J6017" s="140"/>
      <c r="N6017" s="211"/>
    </row>
    <row r="6018" spans="10:14" x14ac:dyDescent="0.4">
      <c r="J6018" s="140"/>
      <c r="N6018" s="211"/>
    </row>
    <row r="6019" spans="10:14" x14ac:dyDescent="0.4">
      <c r="J6019" s="140"/>
      <c r="N6019" s="211"/>
    </row>
    <row r="6020" spans="10:14" x14ac:dyDescent="0.4">
      <c r="J6020" s="140"/>
      <c r="N6020" s="211"/>
    </row>
    <row r="6021" spans="10:14" x14ac:dyDescent="0.4">
      <c r="J6021" s="140"/>
      <c r="N6021" s="211"/>
    </row>
    <row r="6022" spans="10:14" x14ac:dyDescent="0.4">
      <c r="J6022" s="140"/>
      <c r="N6022" s="211"/>
    </row>
    <row r="6023" spans="10:14" x14ac:dyDescent="0.4">
      <c r="J6023" s="140"/>
      <c r="N6023" s="211"/>
    </row>
    <row r="6024" spans="10:14" x14ac:dyDescent="0.4">
      <c r="J6024" s="140"/>
      <c r="N6024" s="211"/>
    </row>
    <row r="6025" spans="10:14" x14ac:dyDescent="0.4">
      <c r="J6025" s="140"/>
      <c r="N6025" s="211"/>
    </row>
    <row r="6026" spans="10:14" x14ac:dyDescent="0.4">
      <c r="J6026" s="140"/>
      <c r="N6026" s="211"/>
    </row>
    <row r="6027" spans="10:14" x14ac:dyDescent="0.4">
      <c r="J6027" s="140"/>
      <c r="N6027" s="211"/>
    </row>
    <row r="6028" spans="10:14" x14ac:dyDescent="0.4">
      <c r="J6028" s="140"/>
      <c r="N6028" s="211"/>
    </row>
    <row r="6029" spans="10:14" x14ac:dyDescent="0.4">
      <c r="J6029" s="140"/>
      <c r="N6029" s="211"/>
    </row>
    <row r="6030" spans="10:14" x14ac:dyDescent="0.4">
      <c r="J6030" s="140"/>
      <c r="N6030" s="211"/>
    </row>
    <row r="6031" spans="10:14" x14ac:dyDescent="0.4">
      <c r="J6031" s="140"/>
      <c r="N6031" s="211"/>
    </row>
    <row r="6032" spans="10:14" x14ac:dyDescent="0.4">
      <c r="J6032" s="140"/>
      <c r="N6032" s="211"/>
    </row>
    <row r="6033" spans="10:14" x14ac:dyDescent="0.4">
      <c r="J6033" s="140"/>
      <c r="N6033" s="211"/>
    </row>
    <row r="6034" spans="10:14" x14ac:dyDescent="0.4">
      <c r="J6034" s="140"/>
      <c r="N6034" s="211"/>
    </row>
    <row r="6035" spans="10:14" x14ac:dyDescent="0.4">
      <c r="J6035" s="140"/>
      <c r="N6035" s="211"/>
    </row>
    <row r="6036" spans="10:14" x14ac:dyDescent="0.4">
      <c r="J6036" s="140"/>
      <c r="N6036" s="211"/>
    </row>
    <row r="6037" spans="10:14" x14ac:dyDescent="0.4">
      <c r="J6037" s="140"/>
      <c r="N6037" s="211"/>
    </row>
    <row r="6038" spans="10:14" x14ac:dyDescent="0.4">
      <c r="J6038" s="140"/>
      <c r="N6038" s="211"/>
    </row>
    <row r="6039" spans="10:14" x14ac:dyDescent="0.4">
      <c r="J6039" s="140"/>
      <c r="N6039" s="211"/>
    </row>
    <row r="6040" spans="10:14" x14ac:dyDescent="0.4">
      <c r="J6040" s="140"/>
      <c r="N6040" s="211"/>
    </row>
    <row r="6041" spans="10:14" x14ac:dyDescent="0.4">
      <c r="J6041" s="140"/>
      <c r="N6041" s="211"/>
    </row>
    <row r="6042" spans="10:14" x14ac:dyDescent="0.4">
      <c r="J6042" s="140"/>
      <c r="N6042" s="211"/>
    </row>
    <row r="6043" spans="10:14" x14ac:dyDescent="0.4">
      <c r="J6043" s="140"/>
      <c r="N6043" s="211"/>
    </row>
    <row r="6044" spans="10:14" x14ac:dyDescent="0.4">
      <c r="J6044" s="140"/>
      <c r="N6044" s="211"/>
    </row>
    <row r="6045" spans="10:14" x14ac:dyDescent="0.4">
      <c r="J6045" s="140"/>
      <c r="N6045" s="211"/>
    </row>
    <row r="6046" spans="10:14" x14ac:dyDescent="0.4">
      <c r="J6046" s="140"/>
      <c r="N6046" s="211"/>
    </row>
    <row r="6047" spans="10:14" x14ac:dyDescent="0.4">
      <c r="J6047" s="140"/>
      <c r="N6047" s="211"/>
    </row>
    <row r="6048" spans="10:14" x14ac:dyDescent="0.4">
      <c r="J6048" s="140"/>
      <c r="N6048" s="211"/>
    </row>
    <row r="6049" spans="10:14" x14ac:dyDescent="0.4">
      <c r="J6049" s="140"/>
      <c r="N6049" s="211"/>
    </row>
    <row r="6050" spans="10:14" x14ac:dyDescent="0.4">
      <c r="J6050" s="140"/>
      <c r="N6050" s="211"/>
    </row>
    <row r="6051" spans="10:14" x14ac:dyDescent="0.4">
      <c r="J6051" s="140"/>
      <c r="N6051" s="211"/>
    </row>
    <row r="6052" spans="10:14" x14ac:dyDescent="0.4">
      <c r="J6052" s="140"/>
      <c r="N6052" s="211"/>
    </row>
    <row r="6053" spans="10:14" x14ac:dyDescent="0.4">
      <c r="J6053" s="140"/>
      <c r="N6053" s="211"/>
    </row>
    <row r="6054" spans="10:14" x14ac:dyDescent="0.4">
      <c r="J6054" s="140"/>
      <c r="N6054" s="211"/>
    </row>
    <row r="6055" spans="10:14" x14ac:dyDescent="0.4">
      <c r="J6055" s="140"/>
      <c r="N6055" s="211"/>
    </row>
    <row r="6056" spans="10:14" x14ac:dyDescent="0.4">
      <c r="J6056" s="140"/>
      <c r="N6056" s="211"/>
    </row>
    <row r="6057" spans="10:14" x14ac:dyDescent="0.4">
      <c r="J6057" s="140"/>
      <c r="N6057" s="211"/>
    </row>
    <row r="6058" spans="10:14" x14ac:dyDescent="0.4">
      <c r="J6058" s="140"/>
      <c r="N6058" s="211"/>
    </row>
    <row r="6059" spans="10:14" x14ac:dyDescent="0.4">
      <c r="J6059" s="140"/>
      <c r="N6059" s="211"/>
    </row>
    <row r="6060" spans="10:14" x14ac:dyDescent="0.4">
      <c r="J6060" s="140"/>
      <c r="N6060" s="211"/>
    </row>
    <row r="6061" spans="10:14" x14ac:dyDescent="0.4">
      <c r="J6061" s="140"/>
      <c r="N6061" s="211"/>
    </row>
    <row r="6062" spans="10:14" x14ac:dyDescent="0.4">
      <c r="J6062" s="140"/>
      <c r="N6062" s="211"/>
    </row>
    <row r="6063" spans="10:14" x14ac:dyDescent="0.4">
      <c r="J6063" s="140"/>
      <c r="N6063" s="211"/>
    </row>
    <row r="6064" spans="10:14" x14ac:dyDescent="0.4">
      <c r="J6064" s="140"/>
      <c r="N6064" s="211"/>
    </row>
    <row r="6065" spans="10:14" x14ac:dyDescent="0.4">
      <c r="J6065" s="140"/>
      <c r="N6065" s="211"/>
    </row>
    <row r="6066" spans="10:14" x14ac:dyDescent="0.4">
      <c r="J6066" s="140"/>
      <c r="N6066" s="211"/>
    </row>
    <row r="6067" spans="10:14" x14ac:dyDescent="0.4">
      <c r="J6067" s="140"/>
      <c r="N6067" s="211"/>
    </row>
    <row r="6068" spans="10:14" x14ac:dyDescent="0.4">
      <c r="J6068" s="140"/>
      <c r="N6068" s="211"/>
    </row>
    <row r="6069" spans="10:14" x14ac:dyDescent="0.4">
      <c r="J6069" s="140"/>
      <c r="N6069" s="211"/>
    </row>
    <row r="6070" spans="10:14" x14ac:dyDescent="0.4">
      <c r="J6070" s="140"/>
      <c r="N6070" s="211"/>
    </row>
    <row r="6071" spans="10:14" x14ac:dyDescent="0.4">
      <c r="J6071" s="140"/>
      <c r="N6071" s="211"/>
    </row>
    <row r="6072" spans="10:14" x14ac:dyDescent="0.4">
      <c r="J6072" s="140"/>
      <c r="N6072" s="211"/>
    </row>
    <row r="6073" spans="10:14" x14ac:dyDescent="0.4">
      <c r="J6073" s="140"/>
      <c r="N6073" s="211"/>
    </row>
    <row r="6074" spans="10:14" x14ac:dyDescent="0.4">
      <c r="J6074" s="140"/>
      <c r="N6074" s="211"/>
    </row>
    <row r="6075" spans="10:14" x14ac:dyDescent="0.4">
      <c r="J6075" s="140"/>
      <c r="N6075" s="211"/>
    </row>
    <row r="6076" spans="10:14" x14ac:dyDescent="0.4">
      <c r="J6076" s="140"/>
      <c r="N6076" s="211"/>
    </row>
    <row r="6077" spans="10:14" x14ac:dyDescent="0.4">
      <c r="J6077" s="140"/>
      <c r="N6077" s="211"/>
    </row>
    <row r="6078" spans="10:14" x14ac:dyDescent="0.4">
      <c r="J6078" s="140"/>
      <c r="N6078" s="211"/>
    </row>
    <row r="6079" spans="10:14" x14ac:dyDescent="0.4">
      <c r="J6079" s="140"/>
      <c r="N6079" s="211"/>
    </row>
    <row r="6080" spans="10:14" x14ac:dyDescent="0.4">
      <c r="J6080" s="140"/>
      <c r="N6080" s="211"/>
    </row>
    <row r="6081" spans="10:14" x14ac:dyDescent="0.4">
      <c r="J6081" s="140"/>
      <c r="N6081" s="211"/>
    </row>
    <row r="6082" spans="10:14" x14ac:dyDescent="0.4">
      <c r="J6082" s="140"/>
      <c r="N6082" s="211"/>
    </row>
    <row r="6083" spans="10:14" x14ac:dyDescent="0.4">
      <c r="J6083" s="140"/>
      <c r="N6083" s="211"/>
    </row>
    <row r="6084" spans="10:14" x14ac:dyDescent="0.4">
      <c r="J6084" s="140"/>
      <c r="N6084" s="211"/>
    </row>
    <row r="6085" spans="10:14" x14ac:dyDescent="0.4">
      <c r="J6085" s="140"/>
      <c r="N6085" s="211"/>
    </row>
    <row r="6086" spans="10:14" x14ac:dyDescent="0.4">
      <c r="J6086" s="140"/>
      <c r="N6086" s="211"/>
    </row>
    <row r="6087" spans="10:14" x14ac:dyDescent="0.4">
      <c r="J6087" s="140"/>
      <c r="N6087" s="211"/>
    </row>
    <row r="6088" spans="10:14" x14ac:dyDescent="0.4">
      <c r="J6088" s="140"/>
      <c r="N6088" s="211"/>
    </row>
    <row r="6089" spans="10:14" x14ac:dyDescent="0.4">
      <c r="J6089" s="140"/>
      <c r="N6089" s="211"/>
    </row>
    <row r="6090" spans="10:14" x14ac:dyDescent="0.4">
      <c r="J6090" s="140"/>
      <c r="N6090" s="211"/>
    </row>
    <row r="6091" spans="10:14" x14ac:dyDescent="0.4">
      <c r="J6091" s="140"/>
      <c r="N6091" s="211"/>
    </row>
    <row r="6092" spans="10:14" x14ac:dyDescent="0.4">
      <c r="J6092" s="140"/>
      <c r="N6092" s="211"/>
    </row>
    <row r="6093" spans="10:14" x14ac:dyDescent="0.4">
      <c r="J6093" s="140"/>
      <c r="N6093" s="211"/>
    </row>
    <row r="6094" spans="10:14" x14ac:dyDescent="0.4">
      <c r="J6094" s="140"/>
      <c r="N6094" s="211"/>
    </row>
    <row r="6095" spans="10:14" x14ac:dyDescent="0.4">
      <c r="J6095" s="140"/>
      <c r="N6095" s="211"/>
    </row>
    <row r="6096" spans="10:14" x14ac:dyDescent="0.4">
      <c r="J6096" s="140"/>
      <c r="N6096" s="211"/>
    </row>
    <row r="6097" spans="10:14" x14ac:dyDescent="0.4">
      <c r="J6097" s="140"/>
      <c r="N6097" s="211"/>
    </row>
    <row r="6098" spans="10:14" x14ac:dyDescent="0.4">
      <c r="J6098" s="140"/>
      <c r="N6098" s="211"/>
    </row>
    <row r="6099" spans="10:14" x14ac:dyDescent="0.4">
      <c r="J6099" s="140"/>
      <c r="N6099" s="211"/>
    </row>
    <row r="6100" spans="10:14" x14ac:dyDescent="0.4">
      <c r="J6100" s="140"/>
      <c r="N6100" s="211"/>
    </row>
    <row r="6101" spans="10:14" x14ac:dyDescent="0.4">
      <c r="J6101" s="140"/>
      <c r="N6101" s="211"/>
    </row>
    <row r="6102" spans="10:14" x14ac:dyDescent="0.4">
      <c r="J6102" s="140"/>
      <c r="N6102" s="211"/>
    </row>
    <row r="6103" spans="10:14" x14ac:dyDescent="0.4">
      <c r="J6103" s="140"/>
      <c r="N6103" s="211"/>
    </row>
    <row r="6104" spans="10:14" x14ac:dyDescent="0.4">
      <c r="J6104" s="140"/>
      <c r="N6104" s="211"/>
    </row>
    <row r="6105" spans="10:14" x14ac:dyDescent="0.4">
      <c r="J6105" s="140"/>
      <c r="N6105" s="211"/>
    </row>
    <row r="6106" spans="10:14" x14ac:dyDescent="0.4">
      <c r="J6106" s="140"/>
      <c r="N6106" s="211"/>
    </row>
    <row r="6107" spans="10:14" x14ac:dyDescent="0.4">
      <c r="J6107" s="140"/>
      <c r="N6107" s="211"/>
    </row>
    <row r="6108" spans="10:14" x14ac:dyDescent="0.4">
      <c r="J6108" s="140"/>
      <c r="N6108" s="211"/>
    </row>
    <row r="6109" spans="10:14" x14ac:dyDescent="0.4">
      <c r="J6109" s="140"/>
      <c r="N6109" s="211"/>
    </row>
    <row r="6110" spans="10:14" x14ac:dyDescent="0.4">
      <c r="J6110" s="140"/>
      <c r="N6110" s="211"/>
    </row>
    <row r="6111" spans="10:14" x14ac:dyDescent="0.4">
      <c r="J6111" s="140"/>
      <c r="N6111" s="211"/>
    </row>
    <row r="6112" spans="10:14" x14ac:dyDescent="0.4">
      <c r="J6112" s="140"/>
      <c r="N6112" s="211"/>
    </row>
    <row r="6113" spans="10:14" x14ac:dyDescent="0.4">
      <c r="J6113" s="140"/>
      <c r="N6113" s="211"/>
    </row>
    <row r="6114" spans="10:14" x14ac:dyDescent="0.4">
      <c r="J6114" s="140"/>
      <c r="N6114" s="211"/>
    </row>
    <row r="6115" spans="10:14" x14ac:dyDescent="0.4">
      <c r="J6115" s="140"/>
      <c r="N6115" s="211"/>
    </row>
    <row r="6116" spans="10:14" x14ac:dyDescent="0.4">
      <c r="J6116" s="140"/>
      <c r="N6116" s="211"/>
    </row>
    <row r="6117" spans="10:14" x14ac:dyDescent="0.4">
      <c r="J6117" s="140"/>
      <c r="N6117" s="211"/>
    </row>
    <row r="6118" spans="10:14" x14ac:dyDescent="0.4">
      <c r="J6118" s="140"/>
      <c r="N6118" s="211"/>
    </row>
    <row r="6119" spans="10:14" x14ac:dyDescent="0.4">
      <c r="J6119" s="140"/>
      <c r="N6119" s="211"/>
    </row>
    <row r="6120" spans="10:14" x14ac:dyDescent="0.4">
      <c r="J6120" s="140"/>
      <c r="N6120" s="211"/>
    </row>
    <row r="6121" spans="10:14" x14ac:dyDescent="0.4">
      <c r="J6121" s="140"/>
      <c r="N6121" s="211"/>
    </row>
    <row r="6122" spans="10:14" x14ac:dyDescent="0.4">
      <c r="J6122" s="140"/>
      <c r="N6122" s="211"/>
    </row>
    <row r="6123" spans="10:14" x14ac:dyDescent="0.4">
      <c r="J6123" s="140"/>
      <c r="N6123" s="211"/>
    </row>
    <row r="6124" spans="10:14" x14ac:dyDescent="0.4">
      <c r="J6124" s="140"/>
      <c r="N6124" s="211"/>
    </row>
    <row r="6125" spans="10:14" x14ac:dyDescent="0.4">
      <c r="J6125" s="140"/>
      <c r="N6125" s="211"/>
    </row>
    <row r="6126" spans="10:14" x14ac:dyDescent="0.4">
      <c r="J6126" s="140"/>
      <c r="N6126" s="211"/>
    </row>
    <row r="6127" spans="10:14" x14ac:dyDescent="0.4">
      <c r="J6127" s="140"/>
      <c r="N6127" s="211"/>
    </row>
    <row r="6128" spans="10:14" x14ac:dyDescent="0.4">
      <c r="J6128" s="140"/>
      <c r="N6128" s="211"/>
    </row>
    <row r="6129" spans="10:14" x14ac:dyDescent="0.4">
      <c r="J6129" s="140"/>
      <c r="N6129" s="211"/>
    </row>
    <row r="6130" spans="10:14" x14ac:dyDescent="0.4">
      <c r="J6130" s="140"/>
      <c r="N6130" s="211"/>
    </row>
    <row r="6131" spans="10:14" x14ac:dyDescent="0.4">
      <c r="J6131" s="140"/>
      <c r="N6131" s="211"/>
    </row>
    <row r="6132" spans="10:14" x14ac:dyDescent="0.4">
      <c r="J6132" s="140"/>
      <c r="N6132" s="211"/>
    </row>
    <row r="6133" spans="10:14" x14ac:dyDescent="0.4">
      <c r="J6133" s="140"/>
      <c r="N6133" s="211"/>
    </row>
    <row r="6134" spans="10:14" x14ac:dyDescent="0.4">
      <c r="J6134" s="140"/>
      <c r="N6134" s="211"/>
    </row>
    <row r="6135" spans="10:14" x14ac:dyDescent="0.4">
      <c r="J6135" s="140"/>
      <c r="N6135" s="211"/>
    </row>
    <row r="6136" spans="10:14" x14ac:dyDescent="0.4">
      <c r="J6136" s="140"/>
      <c r="N6136" s="211"/>
    </row>
    <row r="6137" spans="10:14" x14ac:dyDescent="0.4">
      <c r="J6137" s="140"/>
      <c r="N6137" s="211"/>
    </row>
    <row r="6138" spans="10:14" x14ac:dyDescent="0.4">
      <c r="J6138" s="140"/>
      <c r="N6138" s="211"/>
    </row>
    <row r="6139" spans="10:14" x14ac:dyDescent="0.4">
      <c r="J6139" s="140"/>
      <c r="N6139" s="211"/>
    </row>
    <row r="6140" spans="10:14" x14ac:dyDescent="0.4">
      <c r="J6140" s="140"/>
      <c r="N6140" s="211"/>
    </row>
    <row r="6141" spans="10:14" x14ac:dyDescent="0.4">
      <c r="J6141" s="140"/>
      <c r="N6141" s="211"/>
    </row>
    <row r="6142" spans="10:14" x14ac:dyDescent="0.4">
      <c r="J6142" s="140"/>
      <c r="N6142" s="211"/>
    </row>
    <row r="6143" spans="10:14" x14ac:dyDescent="0.4">
      <c r="J6143" s="140"/>
      <c r="N6143" s="211"/>
    </row>
    <row r="6144" spans="10:14" x14ac:dyDescent="0.4">
      <c r="J6144" s="140"/>
      <c r="N6144" s="211"/>
    </row>
    <row r="6145" spans="10:14" x14ac:dyDescent="0.4">
      <c r="J6145" s="140"/>
      <c r="N6145" s="211"/>
    </row>
    <row r="6146" spans="10:14" x14ac:dyDescent="0.4">
      <c r="J6146" s="140"/>
      <c r="N6146" s="211"/>
    </row>
    <row r="6147" spans="10:14" x14ac:dyDescent="0.4">
      <c r="J6147" s="140"/>
      <c r="N6147" s="211"/>
    </row>
    <row r="6148" spans="10:14" x14ac:dyDescent="0.4">
      <c r="J6148" s="140"/>
      <c r="N6148" s="211"/>
    </row>
    <row r="6149" spans="10:14" x14ac:dyDescent="0.4">
      <c r="J6149" s="140"/>
      <c r="N6149" s="211"/>
    </row>
    <row r="6150" spans="10:14" x14ac:dyDescent="0.4">
      <c r="J6150" s="140"/>
      <c r="N6150" s="211"/>
    </row>
    <row r="6151" spans="10:14" x14ac:dyDescent="0.4">
      <c r="J6151" s="140"/>
      <c r="N6151" s="211"/>
    </row>
    <row r="6152" spans="10:14" x14ac:dyDescent="0.4">
      <c r="J6152" s="140"/>
      <c r="N6152" s="211"/>
    </row>
    <row r="6153" spans="10:14" x14ac:dyDescent="0.4">
      <c r="J6153" s="140"/>
      <c r="N6153" s="211"/>
    </row>
    <row r="6154" spans="10:14" x14ac:dyDescent="0.4">
      <c r="J6154" s="140"/>
      <c r="N6154" s="211"/>
    </row>
    <row r="6155" spans="10:14" x14ac:dyDescent="0.4">
      <c r="J6155" s="140"/>
      <c r="N6155" s="211"/>
    </row>
    <row r="6156" spans="10:14" x14ac:dyDescent="0.4">
      <c r="J6156" s="140"/>
      <c r="N6156" s="211"/>
    </row>
    <row r="6157" spans="10:14" x14ac:dyDescent="0.4">
      <c r="J6157" s="140"/>
      <c r="N6157" s="211"/>
    </row>
    <row r="6158" spans="10:14" x14ac:dyDescent="0.4">
      <c r="J6158" s="140"/>
      <c r="N6158" s="211"/>
    </row>
    <row r="6159" spans="10:14" x14ac:dyDescent="0.4">
      <c r="J6159" s="140"/>
      <c r="N6159" s="211"/>
    </row>
    <row r="6160" spans="10:14" x14ac:dyDescent="0.4">
      <c r="J6160" s="140"/>
      <c r="N6160" s="211"/>
    </row>
    <row r="6161" spans="10:14" x14ac:dyDescent="0.4">
      <c r="J6161" s="140"/>
      <c r="N6161" s="211"/>
    </row>
    <row r="6162" spans="10:14" x14ac:dyDescent="0.4">
      <c r="J6162" s="140"/>
      <c r="N6162" s="211"/>
    </row>
    <row r="6163" spans="10:14" x14ac:dyDescent="0.4">
      <c r="J6163" s="140"/>
      <c r="N6163" s="211"/>
    </row>
    <row r="6164" spans="10:14" x14ac:dyDescent="0.4">
      <c r="J6164" s="140"/>
      <c r="N6164" s="211"/>
    </row>
    <row r="6165" spans="10:14" x14ac:dyDescent="0.4">
      <c r="J6165" s="140"/>
      <c r="N6165" s="211"/>
    </row>
    <row r="6166" spans="10:14" x14ac:dyDescent="0.4">
      <c r="J6166" s="140"/>
      <c r="N6166" s="211"/>
    </row>
    <row r="6167" spans="10:14" x14ac:dyDescent="0.4">
      <c r="J6167" s="140"/>
      <c r="N6167" s="211"/>
    </row>
    <row r="6168" spans="10:14" x14ac:dyDescent="0.4">
      <c r="J6168" s="140"/>
      <c r="N6168" s="211"/>
    </row>
    <row r="6169" spans="10:14" x14ac:dyDescent="0.4">
      <c r="J6169" s="140"/>
      <c r="N6169" s="211"/>
    </row>
    <row r="6170" spans="10:14" x14ac:dyDescent="0.4">
      <c r="J6170" s="140"/>
      <c r="N6170" s="211"/>
    </row>
    <row r="6171" spans="10:14" x14ac:dyDescent="0.4">
      <c r="J6171" s="140"/>
      <c r="N6171" s="211"/>
    </row>
    <row r="6172" spans="10:14" x14ac:dyDescent="0.4">
      <c r="J6172" s="140"/>
      <c r="N6172" s="211"/>
    </row>
    <row r="6173" spans="10:14" x14ac:dyDescent="0.4">
      <c r="J6173" s="140"/>
      <c r="N6173" s="211"/>
    </row>
    <row r="6174" spans="10:14" x14ac:dyDescent="0.4">
      <c r="J6174" s="140"/>
      <c r="N6174" s="211"/>
    </row>
    <row r="6175" spans="10:14" x14ac:dyDescent="0.4">
      <c r="J6175" s="140"/>
      <c r="N6175" s="211"/>
    </row>
    <row r="6176" spans="10:14" x14ac:dyDescent="0.4">
      <c r="J6176" s="140"/>
      <c r="N6176" s="211"/>
    </row>
    <row r="6177" spans="10:14" x14ac:dyDescent="0.4">
      <c r="J6177" s="140"/>
      <c r="N6177" s="211"/>
    </row>
    <row r="6178" spans="10:14" x14ac:dyDescent="0.4">
      <c r="J6178" s="140"/>
      <c r="N6178" s="211"/>
    </row>
    <row r="6179" spans="10:14" x14ac:dyDescent="0.4">
      <c r="J6179" s="140"/>
      <c r="N6179" s="211"/>
    </row>
    <row r="6180" spans="10:14" x14ac:dyDescent="0.4">
      <c r="J6180" s="140"/>
      <c r="N6180" s="211"/>
    </row>
    <row r="6181" spans="10:14" x14ac:dyDescent="0.4">
      <c r="J6181" s="140"/>
      <c r="N6181" s="211"/>
    </row>
    <row r="6182" spans="10:14" x14ac:dyDescent="0.4">
      <c r="J6182" s="140"/>
      <c r="N6182" s="211"/>
    </row>
    <row r="6183" spans="10:14" x14ac:dyDescent="0.4">
      <c r="J6183" s="140"/>
      <c r="N6183" s="211"/>
    </row>
    <row r="6184" spans="10:14" x14ac:dyDescent="0.4">
      <c r="J6184" s="140"/>
      <c r="N6184" s="211"/>
    </row>
    <row r="6185" spans="10:14" x14ac:dyDescent="0.4">
      <c r="J6185" s="140"/>
      <c r="N6185" s="211"/>
    </row>
    <row r="6186" spans="10:14" x14ac:dyDescent="0.4">
      <c r="J6186" s="140"/>
      <c r="N6186" s="211"/>
    </row>
    <row r="6187" spans="10:14" x14ac:dyDescent="0.4">
      <c r="J6187" s="140"/>
      <c r="N6187" s="211"/>
    </row>
    <row r="6188" spans="10:14" x14ac:dyDescent="0.4">
      <c r="J6188" s="140"/>
      <c r="N6188" s="211"/>
    </row>
    <row r="6189" spans="10:14" x14ac:dyDescent="0.4">
      <c r="J6189" s="140"/>
      <c r="N6189" s="211"/>
    </row>
    <row r="6190" spans="10:14" x14ac:dyDescent="0.4">
      <c r="J6190" s="140"/>
      <c r="N6190" s="211"/>
    </row>
    <row r="6191" spans="10:14" x14ac:dyDescent="0.4">
      <c r="J6191" s="140"/>
      <c r="N6191" s="211"/>
    </row>
    <row r="6192" spans="10:14" x14ac:dyDescent="0.4">
      <c r="J6192" s="140"/>
      <c r="N6192" s="211"/>
    </row>
    <row r="6193" spans="10:14" x14ac:dyDescent="0.4">
      <c r="J6193" s="140"/>
      <c r="N6193" s="211"/>
    </row>
    <row r="6194" spans="10:14" x14ac:dyDescent="0.4">
      <c r="J6194" s="140"/>
      <c r="N6194" s="211"/>
    </row>
    <row r="6195" spans="10:14" x14ac:dyDescent="0.4">
      <c r="J6195" s="140"/>
      <c r="N6195" s="211"/>
    </row>
    <row r="6196" spans="10:14" x14ac:dyDescent="0.4">
      <c r="J6196" s="140"/>
      <c r="N6196" s="211"/>
    </row>
    <row r="6197" spans="10:14" x14ac:dyDescent="0.4">
      <c r="J6197" s="140"/>
      <c r="N6197" s="211"/>
    </row>
    <row r="6198" spans="10:14" x14ac:dyDescent="0.4">
      <c r="J6198" s="140"/>
      <c r="N6198" s="211"/>
    </row>
    <row r="6199" spans="10:14" x14ac:dyDescent="0.4">
      <c r="J6199" s="140"/>
      <c r="N6199" s="211"/>
    </row>
    <row r="6200" spans="10:14" x14ac:dyDescent="0.4">
      <c r="J6200" s="140"/>
      <c r="N6200" s="211"/>
    </row>
    <row r="6201" spans="10:14" x14ac:dyDescent="0.4">
      <c r="J6201" s="140"/>
      <c r="N6201" s="211"/>
    </row>
    <row r="6202" spans="10:14" x14ac:dyDescent="0.4">
      <c r="J6202" s="140"/>
      <c r="N6202" s="211"/>
    </row>
    <row r="6203" spans="10:14" x14ac:dyDescent="0.4">
      <c r="J6203" s="140"/>
      <c r="N6203" s="211"/>
    </row>
    <row r="6204" spans="10:14" x14ac:dyDescent="0.4">
      <c r="J6204" s="140"/>
      <c r="N6204" s="211"/>
    </row>
    <row r="6205" spans="10:14" x14ac:dyDescent="0.4">
      <c r="J6205" s="140"/>
      <c r="N6205" s="211"/>
    </row>
    <row r="6206" spans="10:14" x14ac:dyDescent="0.4">
      <c r="J6206" s="140"/>
      <c r="N6206" s="211"/>
    </row>
    <row r="6207" spans="10:14" x14ac:dyDescent="0.4">
      <c r="J6207" s="140"/>
      <c r="N6207" s="211"/>
    </row>
    <row r="6208" spans="10:14" x14ac:dyDescent="0.4">
      <c r="J6208" s="140"/>
      <c r="N6208" s="211"/>
    </row>
    <row r="6209" spans="10:14" x14ac:dyDescent="0.4">
      <c r="J6209" s="140"/>
      <c r="N6209" s="211"/>
    </row>
    <row r="6210" spans="10:14" x14ac:dyDescent="0.4">
      <c r="J6210" s="140"/>
      <c r="N6210" s="211"/>
    </row>
    <row r="6211" spans="10:14" x14ac:dyDescent="0.4">
      <c r="J6211" s="140"/>
      <c r="N6211" s="211"/>
    </row>
    <row r="6212" spans="10:14" x14ac:dyDescent="0.4">
      <c r="J6212" s="140"/>
      <c r="N6212" s="211"/>
    </row>
    <row r="6213" spans="10:14" x14ac:dyDescent="0.4">
      <c r="J6213" s="140"/>
      <c r="N6213" s="211"/>
    </row>
    <row r="6214" spans="10:14" x14ac:dyDescent="0.4">
      <c r="J6214" s="140"/>
      <c r="N6214" s="211"/>
    </row>
    <row r="6215" spans="10:14" x14ac:dyDescent="0.4">
      <c r="J6215" s="140"/>
      <c r="N6215" s="211"/>
    </row>
    <row r="6216" spans="10:14" x14ac:dyDescent="0.4">
      <c r="J6216" s="140"/>
      <c r="N6216" s="211"/>
    </row>
    <row r="6217" spans="10:14" x14ac:dyDescent="0.4">
      <c r="J6217" s="140"/>
      <c r="N6217" s="211"/>
    </row>
    <row r="6218" spans="10:14" x14ac:dyDescent="0.4">
      <c r="J6218" s="140"/>
      <c r="N6218" s="211"/>
    </row>
    <row r="6219" spans="10:14" x14ac:dyDescent="0.4">
      <c r="J6219" s="140"/>
      <c r="N6219" s="211"/>
    </row>
    <row r="6220" spans="10:14" x14ac:dyDescent="0.4">
      <c r="J6220" s="140"/>
      <c r="N6220" s="211"/>
    </row>
    <row r="6221" spans="10:14" x14ac:dyDescent="0.4">
      <c r="J6221" s="140"/>
      <c r="N6221" s="211"/>
    </row>
    <row r="6222" spans="10:14" x14ac:dyDescent="0.4">
      <c r="J6222" s="140"/>
      <c r="N6222" s="211"/>
    </row>
    <row r="6223" spans="10:14" x14ac:dyDescent="0.4">
      <c r="J6223" s="140"/>
      <c r="N6223" s="211"/>
    </row>
    <row r="6224" spans="10:14" x14ac:dyDescent="0.4">
      <c r="J6224" s="140"/>
      <c r="N6224" s="211"/>
    </row>
    <row r="6225" spans="10:14" x14ac:dyDescent="0.4">
      <c r="J6225" s="140"/>
      <c r="N6225" s="211"/>
    </row>
    <row r="6226" spans="10:14" x14ac:dyDescent="0.4">
      <c r="J6226" s="140"/>
      <c r="N6226" s="211"/>
    </row>
    <row r="6227" spans="10:14" x14ac:dyDescent="0.4">
      <c r="J6227" s="140"/>
      <c r="N6227" s="211"/>
    </row>
    <row r="6228" spans="10:14" x14ac:dyDescent="0.4">
      <c r="J6228" s="140"/>
      <c r="N6228" s="211"/>
    </row>
    <row r="6229" spans="10:14" x14ac:dyDescent="0.4">
      <c r="J6229" s="140"/>
      <c r="N6229" s="211"/>
    </row>
    <row r="6230" spans="10:14" x14ac:dyDescent="0.4">
      <c r="J6230" s="140"/>
      <c r="N6230" s="211"/>
    </row>
    <row r="6231" spans="10:14" x14ac:dyDescent="0.4">
      <c r="J6231" s="140"/>
      <c r="N6231" s="211"/>
    </row>
    <row r="6232" spans="10:14" x14ac:dyDescent="0.4">
      <c r="J6232" s="140"/>
      <c r="N6232" s="211"/>
    </row>
    <row r="6233" spans="10:14" x14ac:dyDescent="0.4">
      <c r="J6233" s="140"/>
      <c r="N6233" s="211"/>
    </row>
    <row r="6234" spans="10:14" x14ac:dyDescent="0.4">
      <c r="J6234" s="140"/>
      <c r="N6234" s="211"/>
    </row>
    <row r="6235" spans="10:14" x14ac:dyDescent="0.4">
      <c r="J6235" s="140"/>
      <c r="N6235" s="211"/>
    </row>
    <row r="6236" spans="10:14" x14ac:dyDescent="0.4">
      <c r="J6236" s="140"/>
      <c r="N6236" s="211"/>
    </row>
    <row r="6237" spans="10:14" x14ac:dyDescent="0.4">
      <c r="J6237" s="140"/>
      <c r="N6237" s="211"/>
    </row>
    <row r="6238" spans="10:14" x14ac:dyDescent="0.4">
      <c r="J6238" s="140"/>
      <c r="N6238" s="211"/>
    </row>
    <row r="6239" spans="10:14" x14ac:dyDescent="0.4">
      <c r="J6239" s="140"/>
      <c r="N6239" s="211"/>
    </row>
    <row r="6240" spans="10:14" x14ac:dyDescent="0.4">
      <c r="J6240" s="140"/>
      <c r="N6240" s="211"/>
    </row>
    <row r="6241" spans="10:14" x14ac:dyDescent="0.4">
      <c r="J6241" s="140"/>
      <c r="N6241" s="211"/>
    </row>
    <row r="6242" spans="10:14" x14ac:dyDescent="0.4">
      <c r="J6242" s="140"/>
      <c r="N6242" s="211"/>
    </row>
    <row r="6243" spans="10:14" x14ac:dyDescent="0.4">
      <c r="J6243" s="140"/>
      <c r="N6243" s="211"/>
    </row>
    <row r="6244" spans="10:14" x14ac:dyDescent="0.4">
      <c r="J6244" s="140"/>
      <c r="N6244" s="211"/>
    </row>
    <row r="6245" spans="10:14" x14ac:dyDescent="0.4">
      <c r="J6245" s="140"/>
      <c r="N6245" s="211"/>
    </row>
    <row r="6246" spans="10:14" x14ac:dyDescent="0.4">
      <c r="J6246" s="140"/>
      <c r="N6246" s="211"/>
    </row>
    <row r="6247" spans="10:14" x14ac:dyDescent="0.4">
      <c r="J6247" s="140"/>
      <c r="N6247" s="211"/>
    </row>
    <row r="6248" spans="10:14" x14ac:dyDescent="0.4">
      <c r="J6248" s="140"/>
      <c r="N6248" s="211"/>
    </row>
    <row r="6249" spans="10:14" x14ac:dyDescent="0.4">
      <c r="J6249" s="140"/>
      <c r="N6249" s="211"/>
    </row>
    <row r="6250" spans="10:14" x14ac:dyDescent="0.4">
      <c r="J6250" s="140"/>
      <c r="N6250" s="211"/>
    </row>
    <row r="6251" spans="10:14" x14ac:dyDescent="0.4">
      <c r="J6251" s="140"/>
      <c r="N6251" s="211"/>
    </row>
    <row r="6252" spans="10:14" x14ac:dyDescent="0.4">
      <c r="J6252" s="140"/>
      <c r="N6252" s="211"/>
    </row>
    <row r="6253" spans="10:14" x14ac:dyDescent="0.4">
      <c r="J6253" s="140"/>
      <c r="N6253" s="211"/>
    </row>
    <row r="6254" spans="10:14" x14ac:dyDescent="0.4">
      <c r="J6254" s="140"/>
      <c r="N6254" s="211"/>
    </row>
    <row r="6255" spans="10:14" x14ac:dyDescent="0.4">
      <c r="J6255" s="140"/>
      <c r="N6255" s="211"/>
    </row>
    <row r="6256" spans="10:14" x14ac:dyDescent="0.4">
      <c r="J6256" s="140"/>
      <c r="N6256" s="211"/>
    </row>
    <row r="6257" spans="10:14" x14ac:dyDescent="0.4">
      <c r="J6257" s="140"/>
      <c r="N6257" s="211"/>
    </row>
    <row r="6258" spans="10:14" x14ac:dyDescent="0.4">
      <c r="J6258" s="140"/>
      <c r="N6258" s="211"/>
    </row>
    <row r="6259" spans="10:14" x14ac:dyDescent="0.4">
      <c r="J6259" s="140"/>
      <c r="N6259" s="211"/>
    </row>
    <row r="6260" spans="10:14" x14ac:dyDescent="0.4">
      <c r="J6260" s="140"/>
      <c r="N6260" s="211"/>
    </row>
    <row r="6261" spans="10:14" x14ac:dyDescent="0.4">
      <c r="J6261" s="140"/>
      <c r="N6261" s="211"/>
    </row>
    <row r="6262" spans="10:14" x14ac:dyDescent="0.4">
      <c r="J6262" s="140"/>
      <c r="N6262" s="211"/>
    </row>
    <row r="6263" spans="10:14" x14ac:dyDescent="0.4">
      <c r="J6263" s="140"/>
      <c r="N6263" s="211"/>
    </row>
    <row r="6264" spans="10:14" x14ac:dyDescent="0.4">
      <c r="J6264" s="140"/>
      <c r="N6264" s="211"/>
    </row>
    <row r="6265" spans="10:14" x14ac:dyDescent="0.4">
      <c r="J6265" s="140"/>
      <c r="N6265" s="211"/>
    </row>
    <row r="6266" spans="10:14" x14ac:dyDescent="0.4">
      <c r="J6266" s="140"/>
      <c r="N6266" s="211"/>
    </row>
    <row r="6267" spans="10:14" x14ac:dyDescent="0.4">
      <c r="J6267" s="140"/>
      <c r="N6267" s="211"/>
    </row>
    <row r="6268" spans="10:14" x14ac:dyDescent="0.4">
      <c r="J6268" s="140"/>
      <c r="N6268" s="211"/>
    </row>
    <row r="6269" spans="10:14" x14ac:dyDescent="0.4">
      <c r="J6269" s="140"/>
      <c r="N6269" s="211"/>
    </row>
    <row r="6270" spans="10:14" x14ac:dyDescent="0.4">
      <c r="J6270" s="140"/>
      <c r="N6270" s="211"/>
    </row>
    <row r="6271" spans="10:14" x14ac:dyDescent="0.4">
      <c r="J6271" s="140"/>
      <c r="N6271" s="211"/>
    </row>
    <row r="6272" spans="10:14" x14ac:dyDescent="0.4">
      <c r="J6272" s="140"/>
      <c r="N6272" s="211"/>
    </row>
    <row r="6273" spans="10:14" x14ac:dyDescent="0.4">
      <c r="J6273" s="140"/>
      <c r="N6273" s="211"/>
    </row>
    <row r="6274" spans="10:14" x14ac:dyDescent="0.4">
      <c r="J6274" s="140"/>
      <c r="N6274" s="211"/>
    </row>
    <row r="6275" spans="10:14" x14ac:dyDescent="0.4">
      <c r="J6275" s="140"/>
      <c r="N6275" s="211"/>
    </row>
    <row r="6276" spans="10:14" x14ac:dyDescent="0.4">
      <c r="J6276" s="140"/>
      <c r="N6276" s="211"/>
    </row>
    <row r="6277" spans="10:14" x14ac:dyDescent="0.4">
      <c r="J6277" s="140"/>
      <c r="N6277" s="211"/>
    </row>
    <row r="6278" spans="10:14" x14ac:dyDescent="0.4">
      <c r="J6278" s="140"/>
      <c r="N6278" s="211"/>
    </row>
    <row r="6279" spans="10:14" x14ac:dyDescent="0.4">
      <c r="J6279" s="140"/>
      <c r="N6279" s="211"/>
    </row>
    <row r="6280" spans="10:14" x14ac:dyDescent="0.4">
      <c r="J6280" s="140"/>
      <c r="N6280" s="211"/>
    </row>
    <row r="6281" spans="10:14" x14ac:dyDescent="0.4">
      <c r="J6281" s="140"/>
      <c r="N6281" s="211"/>
    </row>
    <row r="6282" spans="10:14" x14ac:dyDescent="0.4">
      <c r="J6282" s="140"/>
      <c r="N6282" s="211"/>
    </row>
    <row r="6283" spans="10:14" x14ac:dyDescent="0.4">
      <c r="J6283" s="140"/>
      <c r="N6283" s="211"/>
    </row>
    <row r="6284" spans="10:14" x14ac:dyDescent="0.4">
      <c r="J6284" s="140"/>
      <c r="N6284" s="211"/>
    </row>
    <row r="6285" spans="10:14" x14ac:dyDescent="0.4">
      <c r="J6285" s="140"/>
      <c r="N6285" s="211"/>
    </row>
    <row r="6286" spans="10:14" x14ac:dyDescent="0.4">
      <c r="J6286" s="140"/>
      <c r="N6286" s="211"/>
    </row>
    <row r="6287" spans="10:14" x14ac:dyDescent="0.4">
      <c r="J6287" s="140"/>
      <c r="N6287" s="211"/>
    </row>
    <row r="6288" spans="10:14" x14ac:dyDescent="0.4">
      <c r="J6288" s="140"/>
      <c r="N6288" s="211"/>
    </row>
    <row r="6289" spans="10:14" x14ac:dyDescent="0.4">
      <c r="J6289" s="140"/>
      <c r="N6289" s="211"/>
    </row>
    <row r="6290" spans="10:14" x14ac:dyDescent="0.4">
      <c r="J6290" s="140"/>
      <c r="N6290" s="211"/>
    </row>
    <row r="6291" spans="10:14" x14ac:dyDescent="0.4">
      <c r="J6291" s="140"/>
      <c r="N6291" s="211"/>
    </row>
    <row r="6292" spans="10:14" x14ac:dyDescent="0.4">
      <c r="J6292" s="140"/>
      <c r="N6292" s="211"/>
    </row>
    <row r="6293" spans="10:14" x14ac:dyDescent="0.4">
      <c r="J6293" s="140"/>
      <c r="N6293" s="211"/>
    </row>
    <row r="6294" spans="10:14" x14ac:dyDescent="0.4">
      <c r="J6294" s="140"/>
      <c r="N6294" s="211"/>
    </row>
    <row r="6295" spans="10:14" x14ac:dyDescent="0.4">
      <c r="J6295" s="140"/>
      <c r="N6295" s="211"/>
    </row>
    <row r="6296" spans="10:14" x14ac:dyDescent="0.4">
      <c r="J6296" s="140"/>
      <c r="N6296" s="211"/>
    </row>
    <row r="6297" spans="10:14" x14ac:dyDescent="0.4">
      <c r="J6297" s="140"/>
      <c r="N6297" s="211"/>
    </row>
    <row r="6298" spans="10:14" x14ac:dyDescent="0.4">
      <c r="J6298" s="140"/>
      <c r="N6298" s="211"/>
    </row>
    <row r="6299" spans="10:14" x14ac:dyDescent="0.4">
      <c r="J6299" s="140"/>
      <c r="N6299" s="211"/>
    </row>
    <row r="6300" spans="10:14" x14ac:dyDescent="0.4">
      <c r="J6300" s="140"/>
      <c r="N6300" s="211"/>
    </row>
    <row r="6301" spans="10:14" x14ac:dyDescent="0.4">
      <c r="J6301" s="140"/>
      <c r="N6301" s="211"/>
    </row>
    <row r="6302" spans="10:14" x14ac:dyDescent="0.4">
      <c r="J6302" s="140"/>
      <c r="N6302" s="211"/>
    </row>
    <row r="6303" spans="10:14" x14ac:dyDescent="0.4">
      <c r="J6303" s="140"/>
      <c r="N6303" s="211"/>
    </row>
    <row r="6304" spans="10:14" x14ac:dyDescent="0.4">
      <c r="J6304" s="140"/>
      <c r="N6304" s="211"/>
    </row>
    <row r="6305" spans="10:14" x14ac:dyDescent="0.4">
      <c r="J6305" s="140"/>
      <c r="N6305" s="211"/>
    </row>
    <row r="6306" spans="10:14" x14ac:dyDescent="0.4">
      <c r="J6306" s="140"/>
      <c r="N6306" s="211"/>
    </row>
    <row r="6307" spans="10:14" x14ac:dyDescent="0.4">
      <c r="J6307" s="140"/>
      <c r="N6307" s="211"/>
    </row>
    <row r="6308" spans="10:14" x14ac:dyDescent="0.4">
      <c r="J6308" s="140"/>
      <c r="N6308" s="211"/>
    </row>
    <row r="6309" spans="10:14" x14ac:dyDescent="0.4">
      <c r="J6309" s="140"/>
      <c r="N6309" s="211"/>
    </row>
    <row r="6310" spans="10:14" x14ac:dyDescent="0.4">
      <c r="J6310" s="140"/>
      <c r="N6310" s="211"/>
    </row>
    <row r="6311" spans="10:14" x14ac:dyDescent="0.4">
      <c r="J6311" s="140"/>
      <c r="N6311" s="211"/>
    </row>
    <row r="6312" spans="10:14" x14ac:dyDescent="0.4">
      <c r="J6312" s="140"/>
      <c r="N6312" s="211"/>
    </row>
    <row r="6313" spans="10:14" x14ac:dyDescent="0.4">
      <c r="J6313" s="140"/>
      <c r="N6313" s="211"/>
    </row>
    <row r="6314" spans="10:14" x14ac:dyDescent="0.4">
      <c r="J6314" s="140"/>
      <c r="N6314" s="211"/>
    </row>
    <row r="6315" spans="10:14" x14ac:dyDescent="0.4">
      <c r="J6315" s="140"/>
      <c r="N6315" s="211"/>
    </row>
    <row r="6316" spans="10:14" x14ac:dyDescent="0.4">
      <c r="J6316" s="140"/>
      <c r="N6316" s="211"/>
    </row>
    <row r="6317" spans="10:14" x14ac:dyDescent="0.4">
      <c r="J6317" s="140"/>
      <c r="N6317" s="211"/>
    </row>
    <row r="6318" spans="10:14" x14ac:dyDescent="0.4">
      <c r="J6318" s="140"/>
      <c r="N6318" s="211"/>
    </row>
    <row r="6319" spans="10:14" x14ac:dyDescent="0.4">
      <c r="J6319" s="140"/>
      <c r="N6319" s="211"/>
    </row>
    <row r="6320" spans="10:14" x14ac:dyDescent="0.4">
      <c r="J6320" s="140"/>
      <c r="N6320" s="211"/>
    </row>
    <row r="6321" spans="10:14" x14ac:dyDescent="0.4">
      <c r="J6321" s="140"/>
      <c r="N6321" s="211"/>
    </row>
    <row r="6322" spans="10:14" x14ac:dyDescent="0.4">
      <c r="J6322" s="140"/>
      <c r="N6322" s="211"/>
    </row>
    <row r="6323" spans="10:14" x14ac:dyDescent="0.4">
      <c r="J6323" s="140"/>
      <c r="N6323" s="211"/>
    </row>
    <row r="6324" spans="10:14" x14ac:dyDescent="0.4">
      <c r="J6324" s="140"/>
      <c r="N6324" s="211"/>
    </row>
    <row r="6325" spans="10:14" x14ac:dyDescent="0.4">
      <c r="J6325" s="140"/>
      <c r="N6325" s="211"/>
    </row>
    <row r="6326" spans="10:14" x14ac:dyDescent="0.4">
      <c r="J6326" s="140"/>
      <c r="N6326" s="211"/>
    </row>
    <row r="6327" spans="10:14" x14ac:dyDescent="0.4">
      <c r="J6327" s="140"/>
      <c r="N6327" s="211"/>
    </row>
    <row r="6328" spans="10:14" x14ac:dyDescent="0.4">
      <c r="J6328" s="140"/>
      <c r="N6328" s="211"/>
    </row>
    <row r="6329" spans="10:14" x14ac:dyDescent="0.4">
      <c r="J6329" s="140"/>
      <c r="N6329" s="211"/>
    </row>
    <row r="6330" spans="10:14" x14ac:dyDescent="0.4">
      <c r="J6330" s="140"/>
      <c r="N6330" s="211"/>
    </row>
    <row r="6331" spans="10:14" x14ac:dyDescent="0.4">
      <c r="J6331" s="140"/>
      <c r="N6331" s="211"/>
    </row>
    <row r="6332" spans="10:14" x14ac:dyDescent="0.4">
      <c r="J6332" s="140"/>
      <c r="N6332" s="211"/>
    </row>
    <row r="6333" spans="10:14" x14ac:dyDescent="0.4">
      <c r="J6333" s="140"/>
      <c r="N6333" s="211"/>
    </row>
    <row r="6334" spans="10:14" x14ac:dyDescent="0.4">
      <c r="J6334" s="140"/>
      <c r="N6334" s="211"/>
    </row>
    <row r="6335" spans="10:14" x14ac:dyDescent="0.4">
      <c r="J6335" s="140"/>
      <c r="N6335" s="211"/>
    </row>
    <row r="6336" spans="10:14" x14ac:dyDescent="0.4">
      <c r="J6336" s="140"/>
      <c r="N6336" s="211"/>
    </row>
    <row r="6337" spans="10:14" x14ac:dyDescent="0.4">
      <c r="J6337" s="140"/>
      <c r="N6337" s="211"/>
    </row>
    <row r="6338" spans="10:14" x14ac:dyDescent="0.4">
      <c r="J6338" s="140"/>
      <c r="N6338" s="211"/>
    </row>
    <row r="6339" spans="10:14" x14ac:dyDescent="0.4">
      <c r="J6339" s="140"/>
      <c r="N6339" s="211"/>
    </row>
    <row r="6340" spans="10:14" x14ac:dyDescent="0.4">
      <c r="J6340" s="140"/>
      <c r="N6340" s="211"/>
    </row>
    <row r="6341" spans="10:14" x14ac:dyDescent="0.4">
      <c r="J6341" s="140"/>
      <c r="N6341" s="211"/>
    </row>
    <row r="6342" spans="10:14" x14ac:dyDescent="0.4">
      <c r="J6342" s="140"/>
      <c r="N6342" s="211"/>
    </row>
    <row r="6343" spans="10:14" x14ac:dyDescent="0.4">
      <c r="J6343" s="140"/>
      <c r="N6343" s="211"/>
    </row>
    <row r="6344" spans="10:14" x14ac:dyDescent="0.4">
      <c r="J6344" s="140"/>
      <c r="N6344" s="211"/>
    </row>
    <row r="6345" spans="10:14" x14ac:dyDescent="0.4">
      <c r="J6345" s="140"/>
      <c r="N6345" s="211"/>
    </row>
    <row r="6346" spans="10:14" x14ac:dyDescent="0.4">
      <c r="J6346" s="140"/>
      <c r="N6346" s="211"/>
    </row>
    <row r="6347" spans="10:14" x14ac:dyDescent="0.4">
      <c r="J6347" s="140"/>
      <c r="N6347" s="211"/>
    </row>
    <row r="6348" spans="10:14" x14ac:dyDescent="0.4">
      <c r="J6348" s="140"/>
      <c r="N6348" s="211"/>
    </row>
    <row r="6349" spans="10:14" x14ac:dyDescent="0.4">
      <c r="J6349" s="140"/>
      <c r="N6349" s="211"/>
    </row>
    <row r="6350" spans="10:14" x14ac:dyDescent="0.4">
      <c r="J6350" s="140"/>
      <c r="N6350" s="211"/>
    </row>
    <row r="6351" spans="10:14" x14ac:dyDescent="0.4">
      <c r="J6351" s="140"/>
      <c r="N6351" s="211"/>
    </row>
    <row r="6352" spans="10:14" x14ac:dyDescent="0.4">
      <c r="J6352" s="140"/>
      <c r="N6352" s="211"/>
    </row>
    <row r="6353" spans="10:14" x14ac:dyDescent="0.4">
      <c r="J6353" s="140"/>
      <c r="N6353" s="211"/>
    </row>
    <row r="6354" spans="10:14" x14ac:dyDescent="0.4">
      <c r="J6354" s="140"/>
      <c r="N6354" s="211"/>
    </row>
    <row r="6355" spans="10:14" x14ac:dyDescent="0.4">
      <c r="J6355" s="140"/>
      <c r="N6355" s="211"/>
    </row>
    <row r="6356" spans="10:14" x14ac:dyDescent="0.4">
      <c r="J6356" s="140"/>
      <c r="N6356" s="211"/>
    </row>
    <row r="6357" spans="10:14" x14ac:dyDescent="0.4">
      <c r="J6357" s="140"/>
      <c r="N6357" s="211"/>
    </row>
    <row r="6358" spans="10:14" x14ac:dyDescent="0.4">
      <c r="J6358" s="140"/>
      <c r="N6358" s="211"/>
    </row>
    <row r="6359" spans="10:14" x14ac:dyDescent="0.4">
      <c r="J6359" s="140"/>
      <c r="N6359" s="211"/>
    </row>
    <row r="6360" spans="10:14" x14ac:dyDescent="0.4">
      <c r="J6360" s="140"/>
      <c r="N6360" s="211"/>
    </row>
    <row r="6361" spans="10:14" x14ac:dyDescent="0.4">
      <c r="J6361" s="140"/>
      <c r="N6361" s="211"/>
    </row>
    <row r="6362" spans="10:14" x14ac:dyDescent="0.4">
      <c r="J6362" s="140"/>
      <c r="N6362" s="211"/>
    </row>
    <row r="6363" spans="10:14" x14ac:dyDescent="0.4">
      <c r="J6363" s="140"/>
      <c r="N6363" s="211"/>
    </row>
    <row r="6364" spans="10:14" x14ac:dyDescent="0.4">
      <c r="J6364" s="140"/>
      <c r="N6364" s="211"/>
    </row>
    <row r="6365" spans="10:14" x14ac:dyDescent="0.4">
      <c r="J6365" s="140"/>
      <c r="N6365" s="211"/>
    </row>
    <row r="6366" spans="10:14" x14ac:dyDescent="0.4">
      <c r="J6366" s="140"/>
      <c r="N6366" s="211"/>
    </row>
    <row r="6367" spans="10:14" x14ac:dyDescent="0.4">
      <c r="J6367" s="140"/>
      <c r="N6367" s="211"/>
    </row>
    <row r="6368" spans="10:14" x14ac:dyDescent="0.4">
      <c r="J6368" s="140"/>
      <c r="N6368" s="211"/>
    </row>
    <row r="6369" spans="10:14" x14ac:dyDescent="0.4">
      <c r="J6369" s="140"/>
      <c r="N6369" s="211"/>
    </row>
    <row r="6370" spans="10:14" x14ac:dyDescent="0.4">
      <c r="J6370" s="140"/>
      <c r="N6370" s="211"/>
    </row>
    <row r="6371" spans="10:14" x14ac:dyDescent="0.4">
      <c r="J6371" s="140"/>
      <c r="N6371" s="211"/>
    </row>
    <row r="6372" spans="10:14" x14ac:dyDescent="0.4">
      <c r="J6372" s="140"/>
      <c r="N6372" s="211"/>
    </row>
    <row r="6373" spans="10:14" x14ac:dyDescent="0.4">
      <c r="J6373" s="140"/>
      <c r="N6373" s="211"/>
    </row>
    <row r="6374" spans="10:14" x14ac:dyDescent="0.4">
      <c r="J6374" s="140"/>
      <c r="N6374" s="211"/>
    </row>
    <row r="6375" spans="10:14" x14ac:dyDescent="0.4">
      <c r="J6375" s="140"/>
      <c r="N6375" s="211"/>
    </row>
    <row r="6376" spans="10:14" x14ac:dyDescent="0.4">
      <c r="J6376" s="140"/>
      <c r="N6376" s="211"/>
    </row>
    <row r="6377" spans="10:14" x14ac:dyDescent="0.4">
      <c r="J6377" s="140"/>
      <c r="N6377" s="211"/>
    </row>
    <row r="6378" spans="10:14" x14ac:dyDescent="0.4">
      <c r="J6378" s="140"/>
      <c r="N6378" s="211"/>
    </row>
    <row r="6379" spans="10:14" x14ac:dyDescent="0.4">
      <c r="J6379" s="140"/>
      <c r="N6379" s="211"/>
    </row>
    <row r="6380" spans="10:14" x14ac:dyDescent="0.4">
      <c r="J6380" s="140"/>
      <c r="N6380" s="211"/>
    </row>
    <row r="6381" spans="10:14" x14ac:dyDescent="0.4">
      <c r="J6381" s="140"/>
      <c r="N6381" s="211"/>
    </row>
    <row r="6382" spans="10:14" x14ac:dyDescent="0.4">
      <c r="J6382" s="140"/>
      <c r="N6382" s="211"/>
    </row>
    <row r="6383" spans="10:14" x14ac:dyDescent="0.4">
      <c r="J6383" s="140"/>
      <c r="N6383" s="211"/>
    </row>
    <row r="6384" spans="10:14" x14ac:dyDescent="0.4">
      <c r="J6384" s="140"/>
      <c r="N6384" s="211"/>
    </row>
    <row r="6385" spans="10:14" x14ac:dyDescent="0.4">
      <c r="J6385" s="140"/>
      <c r="N6385" s="211"/>
    </row>
    <row r="6386" spans="10:14" x14ac:dyDescent="0.4">
      <c r="J6386" s="140"/>
      <c r="N6386" s="211"/>
    </row>
    <row r="6387" spans="10:14" x14ac:dyDescent="0.4">
      <c r="J6387" s="140"/>
      <c r="N6387" s="211"/>
    </row>
    <row r="6388" spans="10:14" x14ac:dyDescent="0.4">
      <c r="J6388" s="140"/>
      <c r="N6388" s="211"/>
    </row>
    <row r="6389" spans="10:14" x14ac:dyDescent="0.4">
      <c r="J6389" s="140"/>
      <c r="N6389" s="211"/>
    </row>
    <row r="6390" spans="10:14" x14ac:dyDescent="0.4">
      <c r="J6390" s="140"/>
      <c r="N6390" s="211"/>
    </row>
    <row r="6391" spans="10:14" x14ac:dyDescent="0.4">
      <c r="J6391" s="140"/>
      <c r="N6391" s="211"/>
    </row>
    <row r="6392" spans="10:14" x14ac:dyDescent="0.4">
      <c r="J6392" s="140"/>
      <c r="N6392" s="211"/>
    </row>
    <row r="6393" spans="10:14" x14ac:dyDescent="0.4">
      <c r="J6393" s="140"/>
      <c r="N6393" s="211"/>
    </row>
    <row r="6394" spans="10:14" x14ac:dyDescent="0.4">
      <c r="J6394" s="140"/>
      <c r="N6394" s="211"/>
    </row>
    <row r="6395" spans="10:14" x14ac:dyDescent="0.4">
      <c r="J6395" s="140"/>
      <c r="N6395" s="211"/>
    </row>
    <row r="6396" spans="10:14" x14ac:dyDescent="0.4">
      <c r="J6396" s="140"/>
      <c r="N6396" s="211"/>
    </row>
    <row r="6397" spans="10:14" x14ac:dyDescent="0.4">
      <c r="J6397" s="140"/>
      <c r="N6397" s="211"/>
    </row>
    <row r="6398" spans="10:14" x14ac:dyDescent="0.4">
      <c r="J6398" s="140"/>
      <c r="N6398" s="211"/>
    </row>
    <row r="6399" spans="10:14" x14ac:dyDescent="0.4">
      <c r="J6399" s="140"/>
      <c r="N6399" s="211"/>
    </row>
    <row r="6400" spans="10:14" x14ac:dyDescent="0.4">
      <c r="J6400" s="140"/>
      <c r="N6400" s="211"/>
    </row>
    <row r="6401" spans="10:14" x14ac:dyDescent="0.4">
      <c r="J6401" s="140"/>
      <c r="N6401" s="211"/>
    </row>
    <row r="6402" spans="10:14" x14ac:dyDescent="0.4">
      <c r="J6402" s="140"/>
      <c r="N6402" s="211"/>
    </row>
    <row r="6403" spans="10:14" x14ac:dyDescent="0.4">
      <c r="J6403" s="140"/>
      <c r="N6403" s="211"/>
    </row>
    <row r="6404" spans="10:14" x14ac:dyDescent="0.4">
      <c r="J6404" s="140"/>
      <c r="N6404" s="211"/>
    </row>
    <row r="6405" spans="10:14" x14ac:dyDescent="0.4">
      <c r="J6405" s="140"/>
      <c r="N6405" s="211"/>
    </row>
    <row r="6406" spans="10:14" x14ac:dyDescent="0.4">
      <c r="J6406" s="140"/>
      <c r="N6406" s="211"/>
    </row>
    <row r="6407" spans="10:14" x14ac:dyDescent="0.4">
      <c r="J6407" s="140"/>
      <c r="N6407" s="211"/>
    </row>
    <row r="6408" spans="10:14" x14ac:dyDescent="0.4">
      <c r="J6408" s="140"/>
      <c r="N6408" s="211"/>
    </row>
    <row r="6409" spans="10:14" x14ac:dyDescent="0.4">
      <c r="J6409" s="140"/>
      <c r="N6409" s="211"/>
    </row>
    <row r="6410" spans="10:14" x14ac:dyDescent="0.4">
      <c r="J6410" s="140"/>
      <c r="N6410" s="211"/>
    </row>
    <row r="6411" spans="10:14" x14ac:dyDescent="0.4">
      <c r="J6411" s="140"/>
      <c r="N6411" s="211"/>
    </row>
    <row r="6412" spans="10:14" x14ac:dyDescent="0.4">
      <c r="J6412" s="140"/>
      <c r="N6412" s="211"/>
    </row>
    <row r="6413" spans="10:14" x14ac:dyDescent="0.4">
      <c r="J6413" s="140"/>
      <c r="N6413" s="211"/>
    </row>
    <row r="6414" spans="10:14" x14ac:dyDescent="0.4">
      <c r="J6414" s="140"/>
      <c r="N6414" s="211"/>
    </row>
    <row r="6415" spans="10:14" x14ac:dyDescent="0.4">
      <c r="J6415" s="140"/>
      <c r="N6415" s="211"/>
    </row>
    <row r="6416" spans="10:14" x14ac:dyDescent="0.4">
      <c r="J6416" s="140"/>
      <c r="N6416" s="211"/>
    </row>
    <row r="6417" spans="10:14" x14ac:dyDescent="0.4">
      <c r="J6417" s="140"/>
      <c r="N6417" s="211"/>
    </row>
    <row r="6418" spans="10:14" x14ac:dyDescent="0.4">
      <c r="J6418" s="140"/>
      <c r="N6418" s="211"/>
    </row>
    <row r="6419" spans="10:14" x14ac:dyDescent="0.4">
      <c r="J6419" s="140"/>
      <c r="N6419" s="211"/>
    </row>
    <row r="6420" spans="10:14" x14ac:dyDescent="0.4">
      <c r="J6420" s="140"/>
      <c r="N6420" s="211"/>
    </row>
    <row r="6421" spans="10:14" x14ac:dyDescent="0.4">
      <c r="J6421" s="140"/>
      <c r="N6421" s="211"/>
    </row>
    <row r="6422" spans="10:14" x14ac:dyDescent="0.4">
      <c r="J6422" s="140"/>
      <c r="N6422" s="211"/>
    </row>
    <row r="6423" spans="10:14" x14ac:dyDescent="0.4">
      <c r="J6423" s="140"/>
      <c r="N6423" s="211"/>
    </row>
    <row r="6424" spans="10:14" x14ac:dyDescent="0.4">
      <c r="J6424" s="140"/>
      <c r="N6424" s="211"/>
    </row>
    <row r="6425" spans="10:14" x14ac:dyDescent="0.4">
      <c r="J6425" s="140"/>
      <c r="N6425" s="211"/>
    </row>
    <row r="6426" spans="10:14" x14ac:dyDescent="0.4">
      <c r="J6426" s="140"/>
      <c r="N6426" s="211"/>
    </row>
    <row r="6427" spans="10:14" x14ac:dyDescent="0.4">
      <c r="J6427" s="140"/>
      <c r="N6427" s="211"/>
    </row>
    <row r="6428" spans="10:14" x14ac:dyDescent="0.4">
      <c r="J6428" s="140"/>
      <c r="N6428" s="211"/>
    </row>
    <row r="6429" spans="10:14" x14ac:dyDescent="0.4">
      <c r="J6429" s="140"/>
      <c r="N6429" s="211"/>
    </row>
    <row r="6430" spans="10:14" x14ac:dyDescent="0.4">
      <c r="J6430" s="140"/>
      <c r="N6430" s="211"/>
    </row>
    <row r="6431" spans="10:14" x14ac:dyDescent="0.4">
      <c r="J6431" s="140"/>
      <c r="N6431" s="211"/>
    </row>
    <row r="6432" spans="10:14" x14ac:dyDescent="0.4">
      <c r="J6432" s="140"/>
      <c r="N6432" s="211"/>
    </row>
    <row r="6433" spans="10:14" x14ac:dyDescent="0.4">
      <c r="J6433" s="140"/>
      <c r="N6433" s="211"/>
    </row>
    <row r="6434" spans="10:14" x14ac:dyDescent="0.4">
      <c r="J6434" s="140"/>
      <c r="N6434" s="211"/>
    </row>
    <row r="6435" spans="10:14" x14ac:dyDescent="0.4">
      <c r="J6435" s="140"/>
      <c r="N6435" s="211"/>
    </row>
    <row r="6436" spans="10:14" x14ac:dyDescent="0.4">
      <c r="J6436" s="140"/>
      <c r="N6436" s="211"/>
    </row>
    <row r="6437" spans="10:14" x14ac:dyDescent="0.4">
      <c r="J6437" s="140"/>
      <c r="N6437" s="211"/>
    </row>
    <row r="6438" spans="10:14" x14ac:dyDescent="0.4">
      <c r="J6438" s="140"/>
      <c r="N6438" s="211"/>
    </row>
    <row r="6439" spans="10:14" x14ac:dyDescent="0.4">
      <c r="J6439" s="140"/>
      <c r="N6439" s="211"/>
    </row>
    <row r="6440" spans="10:14" x14ac:dyDescent="0.4">
      <c r="J6440" s="140"/>
      <c r="N6440" s="211"/>
    </row>
    <row r="6441" spans="10:14" x14ac:dyDescent="0.4">
      <c r="J6441" s="140"/>
      <c r="N6441" s="211"/>
    </row>
    <row r="6442" spans="10:14" x14ac:dyDescent="0.4">
      <c r="J6442" s="140"/>
      <c r="N6442" s="211"/>
    </row>
    <row r="6443" spans="10:14" x14ac:dyDescent="0.4">
      <c r="J6443" s="140"/>
      <c r="N6443" s="211"/>
    </row>
    <row r="6444" spans="10:14" x14ac:dyDescent="0.4">
      <c r="J6444" s="140"/>
      <c r="N6444" s="211"/>
    </row>
    <row r="6445" spans="10:14" x14ac:dyDescent="0.4">
      <c r="J6445" s="140"/>
      <c r="N6445" s="211"/>
    </row>
    <row r="6446" spans="10:14" x14ac:dyDescent="0.4">
      <c r="J6446" s="140"/>
      <c r="N6446" s="211"/>
    </row>
    <row r="6447" spans="10:14" x14ac:dyDescent="0.4">
      <c r="J6447" s="140"/>
      <c r="N6447" s="211"/>
    </row>
    <row r="6448" spans="10:14" x14ac:dyDescent="0.4">
      <c r="J6448" s="140"/>
      <c r="N6448" s="211"/>
    </row>
    <row r="6449" spans="10:14" x14ac:dyDescent="0.4">
      <c r="J6449" s="140"/>
      <c r="N6449" s="211"/>
    </row>
    <row r="6450" spans="10:14" x14ac:dyDescent="0.4">
      <c r="J6450" s="140"/>
      <c r="N6450" s="211"/>
    </row>
    <row r="6451" spans="10:14" x14ac:dyDescent="0.4">
      <c r="J6451" s="140"/>
      <c r="N6451" s="211"/>
    </row>
    <row r="6452" spans="10:14" x14ac:dyDescent="0.4">
      <c r="J6452" s="140"/>
      <c r="N6452" s="211"/>
    </row>
    <row r="6453" spans="10:14" x14ac:dyDescent="0.4">
      <c r="J6453" s="140"/>
      <c r="N6453" s="211"/>
    </row>
    <row r="6454" spans="10:14" x14ac:dyDescent="0.4">
      <c r="J6454" s="140"/>
      <c r="N6454" s="211"/>
    </row>
    <row r="6455" spans="10:14" x14ac:dyDescent="0.4">
      <c r="J6455" s="140"/>
      <c r="N6455" s="211"/>
    </row>
    <row r="6456" spans="10:14" x14ac:dyDescent="0.4">
      <c r="J6456" s="140"/>
      <c r="N6456" s="211"/>
    </row>
    <row r="6457" spans="10:14" x14ac:dyDescent="0.4">
      <c r="J6457" s="140"/>
      <c r="N6457" s="211"/>
    </row>
    <row r="6458" spans="10:14" x14ac:dyDescent="0.4">
      <c r="J6458" s="140"/>
      <c r="N6458" s="211"/>
    </row>
    <row r="6459" spans="10:14" x14ac:dyDescent="0.4">
      <c r="J6459" s="140"/>
      <c r="N6459" s="211"/>
    </row>
    <row r="6460" spans="10:14" x14ac:dyDescent="0.4">
      <c r="J6460" s="140"/>
      <c r="N6460" s="211"/>
    </row>
    <row r="6461" spans="10:14" x14ac:dyDescent="0.4">
      <c r="J6461" s="140"/>
      <c r="N6461" s="211"/>
    </row>
    <row r="6462" spans="10:14" x14ac:dyDescent="0.4">
      <c r="J6462" s="140"/>
      <c r="N6462" s="211"/>
    </row>
    <row r="6463" spans="10:14" x14ac:dyDescent="0.4">
      <c r="J6463" s="140"/>
      <c r="N6463" s="211"/>
    </row>
    <row r="6464" spans="10:14" x14ac:dyDescent="0.4">
      <c r="J6464" s="140"/>
      <c r="N6464" s="211"/>
    </row>
    <row r="6465" spans="10:14" x14ac:dyDescent="0.4">
      <c r="J6465" s="140"/>
      <c r="N6465" s="211"/>
    </row>
    <row r="6466" spans="10:14" x14ac:dyDescent="0.4">
      <c r="J6466" s="140"/>
      <c r="N6466" s="211"/>
    </row>
    <row r="6467" spans="10:14" x14ac:dyDescent="0.4">
      <c r="J6467" s="140"/>
      <c r="N6467" s="211"/>
    </row>
    <row r="6468" spans="10:14" x14ac:dyDescent="0.4">
      <c r="J6468" s="140"/>
      <c r="N6468" s="211"/>
    </row>
    <row r="6469" spans="10:14" x14ac:dyDescent="0.4">
      <c r="J6469" s="140"/>
      <c r="N6469" s="211"/>
    </row>
    <row r="6470" spans="10:14" x14ac:dyDescent="0.4">
      <c r="J6470" s="140"/>
      <c r="N6470" s="211"/>
    </row>
    <row r="6471" spans="10:14" x14ac:dyDescent="0.4">
      <c r="J6471" s="140"/>
      <c r="N6471" s="211"/>
    </row>
    <row r="6472" spans="10:14" x14ac:dyDescent="0.4">
      <c r="J6472" s="140"/>
      <c r="N6472" s="211"/>
    </row>
    <row r="6473" spans="10:14" x14ac:dyDescent="0.4">
      <c r="J6473" s="140"/>
      <c r="N6473" s="211"/>
    </row>
    <row r="6474" spans="10:14" x14ac:dyDescent="0.4">
      <c r="J6474" s="140"/>
      <c r="N6474" s="211"/>
    </row>
    <row r="6475" spans="10:14" x14ac:dyDescent="0.4">
      <c r="J6475" s="140"/>
      <c r="N6475" s="211"/>
    </row>
    <row r="6476" spans="10:14" x14ac:dyDescent="0.4">
      <c r="J6476" s="140"/>
      <c r="N6476" s="211"/>
    </row>
    <row r="6477" spans="10:14" x14ac:dyDescent="0.4">
      <c r="J6477" s="140"/>
      <c r="N6477" s="211"/>
    </row>
    <row r="6478" spans="10:14" x14ac:dyDescent="0.4">
      <c r="J6478" s="140"/>
      <c r="N6478" s="211"/>
    </row>
    <row r="6479" spans="10:14" x14ac:dyDescent="0.4">
      <c r="J6479" s="140"/>
      <c r="N6479" s="211"/>
    </row>
    <row r="6480" spans="10:14" x14ac:dyDescent="0.4">
      <c r="J6480" s="140"/>
      <c r="N6480" s="211"/>
    </row>
    <row r="6481" spans="10:14" x14ac:dyDescent="0.4">
      <c r="J6481" s="140"/>
      <c r="N6481" s="211"/>
    </row>
    <row r="6482" spans="10:14" x14ac:dyDescent="0.4">
      <c r="J6482" s="140"/>
      <c r="N6482" s="211"/>
    </row>
    <row r="6483" spans="10:14" x14ac:dyDescent="0.4">
      <c r="J6483" s="140"/>
      <c r="N6483" s="211"/>
    </row>
    <row r="6484" spans="10:14" x14ac:dyDescent="0.4">
      <c r="J6484" s="140"/>
      <c r="N6484" s="211"/>
    </row>
    <row r="6485" spans="10:14" x14ac:dyDescent="0.4">
      <c r="J6485" s="140"/>
      <c r="N6485" s="211"/>
    </row>
    <row r="6486" spans="10:14" x14ac:dyDescent="0.4">
      <c r="J6486" s="140"/>
      <c r="N6486" s="211"/>
    </row>
    <row r="6487" spans="10:14" x14ac:dyDescent="0.4">
      <c r="J6487" s="140"/>
      <c r="N6487" s="211"/>
    </row>
    <row r="6488" spans="10:14" x14ac:dyDescent="0.4">
      <c r="J6488" s="140"/>
      <c r="N6488" s="211"/>
    </row>
    <row r="6489" spans="10:14" x14ac:dyDescent="0.4">
      <c r="J6489" s="140"/>
      <c r="N6489" s="211"/>
    </row>
    <row r="6490" spans="10:14" x14ac:dyDescent="0.4">
      <c r="J6490" s="140"/>
      <c r="N6490" s="211"/>
    </row>
    <row r="6491" spans="10:14" x14ac:dyDescent="0.4">
      <c r="J6491" s="140"/>
      <c r="N6491" s="211"/>
    </row>
    <row r="6492" spans="10:14" x14ac:dyDescent="0.4">
      <c r="J6492" s="140"/>
      <c r="N6492" s="211"/>
    </row>
    <row r="6493" spans="10:14" x14ac:dyDescent="0.4">
      <c r="J6493" s="140"/>
      <c r="N6493" s="211"/>
    </row>
    <row r="6494" spans="10:14" x14ac:dyDescent="0.4">
      <c r="J6494" s="140"/>
      <c r="N6494" s="211"/>
    </row>
    <row r="6495" spans="10:14" x14ac:dyDescent="0.4">
      <c r="J6495" s="140"/>
      <c r="N6495" s="211"/>
    </row>
    <row r="6496" spans="10:14" x14ac:dyDescent="0.4">
      <c r="J6496" s="140"/>
      <c r="N6496" s="211"/>
    </row>
    <row r="6497" spans="10:14" x14ac:dyDescent="0.4">
      <c r="J6497" s="140"/>
      <c r="N6497" s="211"/>
    </row>
    <row r="6498" spans="10:14" x14ac:dyDescent="0.4">
      <c r="J6498" s="140"/>
      <c r="N6498" s="211"/>
    </row>
    <row r="6499" spans="10:14" x14ac:dyDescent="0.4">
      <c r="J6499" s="140"/>
      <c r="N6499" s="211"/>
    </row>
    <row r="6500" spans="10:14" x14ac:dyDescent="0.4">
      <c r="J6500" s="140"/>
      <c r="N6500" s="211"/>
    </row>
    <row r="6501" spans="10:14" x14ac:dyDescent="0.4">
      <c r="J6501" s="140"/>
      <c r="N6501" s="211"/>
    </row>
    <row r="6502" spans="10:14" x14ac:dyDescent="0.4">
      <c r="J6502" s="140"/>
      <c r="N6502" s="211"/>
    </row>
    <row r="6503" spans="10:14" x14ac:dyDescent="0.4">
      <c r="J6503" s="140"/>
      <c r="N6503" s="211"/>
    </row>
    <row r="6504" spans="10:14" x14ac:dyDescent="0.4">
      <c r="J6504" s="140"/>
      <c r="N6504" s="211"/>
    </row>
    <row r="6505" spans="10:14" x14ac:dyDescent="0.4">
      <c r="J6505" s="140"/>
      <c r="N6505" s="211"/>
    </row>
    <row r="6506" spans="10:14" x14ac:dyDescent="0.4">
      <c r="J6506" s="140"/>
      <c r="N6506" s="211"/>
    </row>
    <row r="6507" spans="10:14" x14ac:dyDescent="0.4">
      <c r="J6507" s="140"/>
      <c r="N6507" s="211"/>
    </row>
    <row r="6508" spans="10:14" x14ac:dyDescent="0.4">
      <c r="J6508" s="140"/>
      <c r="N6508" s="211"/>
    </row>
    <row r="6509" spans="10:14" x14ac:dyDescent="0.4">
      <c r="J6509" s="140"/>
      <c r="N6509" s="211"/>
    </row>
    <row r="6510" spans="10:14" x14ac:dyDescent="0.4">
      <c r="J6510" s="140"/>
      <c r="N6510" s="211"/>
    </row>
    <row r="6511" spans="10:14" x14ac:dyDescent="0.4">
      <c r="J6511" s="140"/>
      <c r="N6511" s="211"/>
    </row>
    <row r="6512" spans="10:14" x14ac:dyDescent="0.4">
      <c r="J6512" s="140"/>
      <c r="N6512" s="211"/>
    </row>
    <row r="6513" spans="10:14" x14ac:dyDescent="0.4">
      <c r="J6513" s="140"/>
      <c r="N6513" s="211"/>
    </row>
    <row r="6514" spans="10:14" x14ac:dyDescent="0.4">
      <c r="J6514" s="140"/>
      <c r="N6514" s="211"/>
    </row>
    <row r="6515" spans="10:14" x14ac:dyDescent="0.4">
      <c r="J6515" s="140"/>
      <c r="N6515" s="211"/>
    </row>
    <row r="6516" spans="10:14" x14ac:dyDescent="0.4">
      <c r="J6516" s="140"/>
      <c r="N6516" s="211"/>
    </row>
    <row r="6517" spans="10:14" x14ac:dyDescent="0.4">
      <c r="J6517" s="140"/>
      <c r="N6517" s="211"/>
    </row>
    <row r="6518" spans="10:14" x14ac:dyDescent="0.4">
      <c r="J6518" s="140"/>
      <c r="N6518" s="211"/>
    </row>
    <row r="6519" spans="10:14" x14ac:dyDescent="0.4">
      <c r="J6519" s="140"/>
      <c r="N6519" s="211"/>
    </row>
    <row r="6520" spans="10:14" x14ac:dyDescent="0.4">
      <c r="J6520" s="140"/>
      <c r="N6520" s="211"/>
    </row>
    <row r="6521" spans="10:14" x14ac:dyDescent="0.4">
      <c r="J6521" s="140"/>
      <c r="N6521" s="211"/>
    </row>
    <row r="6522" spans="10:14" x14ac:dyDescent="0.4">
      <c r="J6522" s="140"/>
      <c r="N6522" s="211"/>
    </row>
    <row r="6523" spans="10:14" x14ac:dyDescent="0.4">
      <c r="J6523" s="140"/>
      <c r="N6523" s="211"/>
    </row>
    <row r="6524" spans="10:14" x14ac:dyDescent="0.4">
      <c r="J6524" s="140"/>
      <c r="N6524" s="211"/>
    </row>
    <row r="6525" spans="10:14" x14ac:dyDescent="0.4">
      <c r="J6525" s="140"/>
      <c r="N6525" s="211"/>
    </row>
    <row r="6526" spans="10:14" x14ac:dyDescent="0.4">
      <c r="J6526" s="140"/>
      <c r="N6526" s="211"/>
    </row>
    <row r="6527" spans="10:14" x14ac:dyDescent="0.4">
      <c r="J6527" s="140"/>
      <c r="N6527" s="211"/>
    </row>
    <row r="6528" spans="10:14" x14ac:dyDescent="0.4">
      <c r="J6528" s="140"/>
      <c r="N6528" s="211"/>
    </row>
    <row r="6529" spans="10:14" x14ac:dyDescent="0.4">
      <c r="J6529" s="140"/>
      <c r="N6529" s="211"/>
    </row>
    <row r="6530" spans="10:14" x14ac:dyDescent="0.4">
      <c r="J6530" s="140"/>
      <c r="N6530" s="211"/>
    </row>
    <row r="6531" spans="10:14" x14ac:dyDescent="0.4">
      <c r="J6531" s="140"/>
      <c r="N6531" s="211"/>
    </row>
    <row r="6532" spans="10:14" x14ac:dyDescent="0.4">
      <c r="J6532" s="140"/>
      <c r="N6532" s="211"/>
    </row>
    <row r="6533" spans="10:14" x14ac:dyDescent="0.4">
      <c r="J6533" s="140"/>
      <c r="N6533" s="211"/>
    </row>
    <row r="6534" spans="10:14" x14ac:dyDescent="0.4">
      <c r="J6534" s="140"/>
      <c r="N6534" s="211"/>
    </row>
    <row r="6535" spans="10:14" x14ac:dyDescent="0.4">
      <c r="J6535" s="140"/>
      <c r="N6535" s="211"/>
    </row>
    <row r="6536" spans="10:14" x14ac:dyDescent="0.4">
      <c r="J6536" s="140"/>
      <c r="N6536" s="211"/>
    </row>
    <row r="6537" spans="10:14" x14ac:dyDescent="0.4">
      <c r="J6537" s="140"/>
      <c r="N6537" s="211"/>
    </row>
    <row r="6538" spans="10:14" x14ac:dyDescent="0.4">
      <c r="J6538" s="140"/>
      <c r="N6538" s="211"/>
    </row>
    <row r="6539" spans="10:14" x14ac:dyDescent="0.4">
      <c r="J6539" s="140"/>
      <c r="N6539" s="211"/>
    </row>
    <row r="6540" spans="10:14" x14ac:dyDescent="0.4">
      <c r="J6540" s="140"/>
      <c r="N6540" s="211"/>
    </row>
    <row r="6541" spans="10:14" x14ac:dyDescent="0.4">
      <c r="J6541" s="140"/>
      <c r="N6541" s="211"/>
    </row>
    <row r="6542" spans="10:14" x14ac:dyDescent="0.4">
      <c r="J6542" s="140"/>
      <c r="N6542" s="211"/>
    </row>
    <row r="6543" spans="10:14" x14ac:dyDescent="0.4">
      <c r="J6543" s="140"/>
      <c r="N6543" s="211"/>
    </row>
    <row r="6544" spans="10:14" x14ac:dyDescent="0.4">
      <c r="J6544" s="140"/>
      <c r="N6544" s="211"/>
    </row>
    <row r="6545" spans="10:14" x14ac:dyDescent="0.4">
      <c r="J6545" s="140"/>
      <c r="N6545" s="211"/>
    </row>
    <row r="6546" spans="10:14" x14ac:dyDescent="0.4">
      <c r="J6546" s="140"/>
      <c r="N6546" s="211"/>
    </row>
    <row r="6547" spans="10:14" x14ac:dyDescent="0.4">
      <c r="J6547" s="140"/>
      <c r="N6547" s="211"/>
    </row>
    <row r="6548" spans="10:14" x14ac:dyDescent="0.4">
      <c r="J6548" s="140"/>
      <c r="N6548" s="211"/>
    </row>
    <row r="6549" spans="10:14" x14ac:dyDescent="0.4">
      <c r="J6549" s="140"/>
      <c r="N6549" s="211"/>
    </row>
    <row r="6550" spans="10:14" x14ac:dyDescent="0.4">
      <c r="J6550" s="140"/>
      <c r="N6550" s="211"/>
    </row>
    <row r="6551" spans="10:14" x14ac:dyDescent="0.4">
      <c r="J6551" s="140"/>
      <c r="N6551" s="211"/>
    </row>
    <row r="6552" spans="10:14" x14ac:dyDescent="0.4">
      <c r="J6552" s="140"/>
      <c r="N6552" s="211"/>
    </row>
    <row r="6553" spans="10:14" x14ac:dyDescent="0.4">
      <c r="J6553" s="140"/>
      <c r="N6553" s="211"/>
    </row>
    <row r="6554" spans="10:14" x14ac:dyDescent="0.4">
      <c r="J6554" s="140"/>
      <c r="N6554" s="211"/>
    </row>
    <row r="6555" spans="10:14" x14ac:dyDescent="0.4">
      <c r="J6555" s="140"/>
      <c r="N6555" s="211"/>
    </row>
    <row r="6556" spans="10:14" x14ac:dyDescent="0.4">
      <c r="J6556" s="140"/>
      <c r="N6556" s="211"/>
    </row>
    <row r="6557" spans="10:14" x14ac:dyDescent="0.4">
      <c r="J6557" s="140"/>
      <c r="N6557" s="211"/>
    </row>
    <row r="6558" spans="10:14" x14ac:dyDescent="0.4">
      <c r="J6558" s="140"/>
      <c r="N6558" s="211"/>
    </row>
    <row r="6559" spans="10:14" x14ac:dyDescent="0.4">
      <c r="J6559" s="140"/>
      <c r="N6559" s="211"/>
    </row>
    <row r="6560" spans="10:14" x14ac:dyDescent="0.4">
      <c r="J6560" s="140"/>
      <c r="N6560" s="211"/>
    </row>
    <row r="6561" spans="10:14" x14ac:dyDescent="0.4">
      <c r="J6561" s="140"/>
      <c r="N6561" s="211"/>
    </row>
    <row r="6562" spans="10:14" x14ac:dyDescent="0.4">
      <c r="J6562" s="140"/>
      <c r="N6562" s="211"/>
    </row>
    <row r="6563" spans="10:14" x14ac:dyDescent="0.4">
      <c r="J6563" s="140"/>
      <c r="N6563" s="211"/>
    </row>
    <row r="6564" spans="10:14" x14ac:dyDescent="0.4">
      <c r="J6564" s="140"/>
      <c r="N6564" s="211"/>
    </row>
    <row r="6565" spans="10:14" x14ac:dyDescent="0.4">
      <c r="J6565" s="140"/>
      <c r="N6565" s="211"/>
    </row>
    <row r="6566" spans="10:14" x14ac:dyDescent="0.4">
      <c r="J6566" s="140"/>
      <c r="N6566" s="211"/>
    </row>
    <row r="6567" spans="10:14" x14ac:dyDescent="0.4">
      <c r="J6567" s="140"/>
      <c r="N6567" s="211"/>
    </row>
    <row r="6568" spans="10:14" x14ac:dyDescent="0.4">
      <c r="J6568" s="140"/>
      <c r="N6568" s="211"/>
    </row>
    <row r="6569" spans="10:14" x14ac:dyDescent="0.4">
      <c r="J6569" s="140"/>
      <c r="N6569" s="211"/>
    </row>
    <row r="6570" spans="10:14" x14ac:dyDescent="0.4">
      <c r="J6570" s="140"/>
      <c r="N6570" s="211"/>
    </row>
    <row r="6571" spans="10:14" x14ac:dyDescent="0.4">
      <c r="J6571" s="140"/>
      <c r="N6571" s="211"/>
    </row>
    <row r="6572" spans="10:14" x14ac:dyDescent="0.4">
      <c r="J6572" s="140"/>
      <c r="N6572" s="211"/>
    </row>
    <row r="6573" spans="10:14" x14ac:dyDescent="0.4">
      <c r="J6573" s="140"/>
      <c r="N6573" s="211"/>
    </row>
    <row r="6574" spans="10:14" x14ac:dyDescent="0.4">
      <c r="J6574" s="140"/>
      <c r="N6574" s="211"/>
    </row>
    <row r="6575" spans="10:14" x14ac:dyDescent="0.4">
      <c r="J6575" s="140"/>
      <c r="N6575" s="211"/>
    </row>
    <row r="6576" spans="10:14" x14ac:dyDescent="0.4">
      <c r="J6576" s="140"/>
      <c r="N6576" s="211"/>
    </row>
    <row r="6577" spans="10:14" x14ac:dyDescent="0.4">
      <c r="J6577" s="140"/>
      <c r="N6577" s="211"/>
    </row>
    <row r="6578" spans="10:14" x14ac:dyDescent="0.4">
      <c r="J6578" s="140"/>
      <c r="N6578" s="211"/>
    </row>
    <row r="6579" spans="10:14" x14ac:dyDescent="0.4">
      <c r="J6579" s="140"/>
      <c r="N6579" s="211"/>
    </row>
    <row r="6580" spans="10:14" x14ac:dyDescent="0.4">
      <c r="J6580" s="140"/>
      <c r="N6580" s="211"/>
    </row>
    <row r="6581" spans="10:14" x14ac:dyDescent="0.4">
      <c r="J6581" s="140"/>
      <c r="N6581" s="211"/>
    </row>
    <row r="6582" spans="10:14" x14ac:dyDescent="0.4">
      <c r="J6582" s="140"/>
      <c r="N6582" s="211"/>
    </row>
    <row r="6583" spans="10:14" x14ac:dyDescent="0.4">
      <c r="J6583" s="140"/>
      <c r="N6583" s="211"/>
    </row>
    <row r="6584" spans="10:14" x14ac:dyDescent="0.4">
      <c r="J6584" s="140"/>
      <c r="N6584" s="211"/>
    </row>
    <row r="6585" spans="10:14" x14ac:dyDescent="0.4">
      <c r="J6585" s="140"/>
      <c r="N6585" s="211"/>
    </row>
    <row r="6586" spans="10:14" x14ac:dyDescent="0.4">
      <c r="J6586" s="140"/>
      <c r="N6586" s="211"/>
    </row>
    <row r="6587" spans="10:14" x14ac:dyDescent="0.4">
      <c r="J6587" s="140"/>
      <c r="N6587" s="211"/>
    </row>
    <row r="6588" spans="10:14" x14ac:dyDescent="0.4">
      <c r="J6588" s="140"/>
      <c r="N6588" s="211"/>
    </row>
    <row r="6589" spans="10:14" x14ac:dyDescent="0.4">
      <c r="J6589" s="140"/>
      <c r="N6589" s="211"/>
    </row>
    <row r="6590" spans="10:14" x14ac:dyDescent="0.4">
      <c r="J6590" s="140"/>
      <c r="N6590" s="211"/>
    </row>
    <row r="6591" spans="10:14" x14ac:dyDescent="0.4">
      <c r="J6591" s="140"/>
      <c r="N6591" s="211"/>
    </row>
    <row r="6592" spans="10:14" x14ac:dyDescent="0.4">
      <c r="J6592" s="140"/>
      <c r="N6592" s="211"/>
    </row>
    <row r="6593" spans="10:14" x14ac:dyDescent="0.4">
      <c r="J6593" s="140"/>
      <c r="N6593" s="211"/>
    </row>
    <row r="6594" spans="10:14" x14ac:dyDescent="0.4">
      <c r="J6594" s="140"/>
      <c r="N6594" s="211"/>
    </row>
    <row r="6595" spans="10:14" x14ac:dyDescent="0.4">
      <c r="J6595" s="140"/>
      <c r="N6595" s="211"/>
    </row>
    <row r="6596" spans="10:14" x14ac:dyDescent="0.4">
      <c r="J6596" s="140"/>
      <c r="N6596" s="211"/>
    </row>
    <row r="6597" spans="10:14" x14ac:dyDescent="0.4">
      <c r="J6597" s="140"/>
      <c r="N6597" s="211"/>
    </row>
    <row r="6598" spans="10:14" x14ac:dyDescent="0.4">
      <c r="J6598" s="140"/>
      <c r="N6598" s="211"/>
    </row>
    <row r="6599" spans="10:14" x14ac:dyDescent="0.4">
      <c r="J6599" s="140"/>
      <c r="N6599" s="211"/>
    </row>
    <row r="6600" spans="10:14" x14ac:dyDescent="0.4">
      <c r="J6600" s="140"/>
      <c r="N6600" s="211"/>
    </row>
    <row r="6601" spans="10:14" x14ac:dyDescent="0.4">
      <c r="J6601" s="140"/>
      <c r="N6601" s="211"/>
    </row>
    <row r="6602" spans="10:14" x14ac:dyDescent="0.4">
      <c r="J6602" s="140"/>
      <c r="N6602" s="211"/>
    </row>
    <row r="6603" spans="10:14" x14ac:dyDescent="0.4">
      <c r="J6603" s="140"/>
      <c r="N6603" s="211"/>
    </row>
    <row r="6604" spans="10:14" x14ac:dyDescent="0.4">
      <c r="J6604" s="140"/>
      <c r="N6604" s="211"/>
    </row>
    <row r="6605" spans="10:14" x14ac:dyDescent="0.4">
      <c r="J6605" s="140"/>
      <c r="N6605" s="211"/>
    </row>
    <row r="6606" spans="10:14" x14ac:dyDescent="0.4">
      <c r="J6606" s="140"/>
      <c r="N6606" s="211"/>
    </row>
    <row r="6607" spans="10:14" x14ac:dyDescent="0.4">
      <c r="J6607" s="140"/>
      <c r="N6607" s="211"/>
    </row>
    <row r="6608" spans="10:14" x14ac:dyDescent="0.4">
      <c r="J6608" s="140"/>
      <c r="N6608" s="211"/>
    </row>
    <row r="6609" spans="10:14" x14ac:dyDescent="0.4">
      <c r="J6609" s="140"/>
      <c r="N6609" s="211"/>
    </row>
    <row r="6610" spans="10:14" x14ac:dyDescent="0.4">
      <c r="J6610" s="140"/>
      <c r="N6610" s="211"/>
    </row>
    <row r="6611" spans="10:14" x14ac:dyDescent="0.4">
      <c r="J6611" s="140"/>
      <c r="N6611" s="211"/>
    </row>
    <row r="6612" spans="10:14" x14ac:dyDescent="0.4">
      <c r="J6612" s="140"/>
      <c r="N6612" s="211"/>
    </row>
    <row r="6613" spans="10:14" x14ac:dyDescent="0.4">
      <c r="J6613" s="140"/>
      <c r="N6613" s="211"/>
    </row>
    <row r="6614" spans="10:14" x14ac:dyDescent="0.4">
      <c r="J6614" s="140"/>
      <c r="N6614" s="211"/>
    </row>
    <row r="6615" spans="10:14" x14ac:dyDescent="0.4">
      <c r="J6615" s="140"/>
      <c r="N6615" s="211"/>
    </row>
    <row r="6616" spans="10:14" x14ac:dyDescent="0.4">
      <c r="J6616" s="140"/>
      <c r="N6616" s="211"/>
    </row>
    <row r="6617" spans="10:14" x14ac:dyDescent="0.4">
      <c r="J6617" s="140"/>
      <c r="N6617" s="211"/>
    </row>
    <row r="6618" spans="10:14" x14ac:dyDescent="0.4">
      <c r="J6618" s="140"/>
      <c r="N6618" s="211"/>
    </row>
    <row r="6619" spans="10:14" x14ac:dyDescent="0.4">
      <c r="J6619" s="140"/>
      <c r="N6619" s="211"/>
    </row>
    <row r="6620" spans="10:14" x14ac:dyDescent="0.4">
      <c r="J6620" s="140"/>
      <c r="N6620" s="211"/>
    </row>
    <row r="6621" spans="10:14" x14ac:dyDescent="0.4">
      <c r="J6621" s="140"/>
      <c r="N6621" s="211"/>
    </row>
    <row r="6622" spans="10:14" x14ac:dyDescent="0.4">
      <c r="J6622" s="140"/>
      <c r="N6622" s="211"/>
    </row>
    <row r="6623" spans="10:14" x14ac:dyDescent="0.4">
      <c r="J6623" s="140"/>
      <c r="N6623" s="211"/>
    </row>
    <row r="6624" spans="10:14" x14ac:dyDescent="0.4">
      <c r="J6624" s="140"/>
      <c r="N6624" s="211"/>
    </row>
    <row r="6625" spans="10:14" x14ac:dyDescent="0.4">
      <c r="J6625" s="140"/>
      <c r="N6625" s="211"/>
    </row>
    <row r="6626" spans="10:14" x14ac:dyDescent="0.4">
      <c r="J6626" s="140"/>
      <c r="N6626" s="211"/>
    </row>
    <row r="6627" spans="10:14" x14ac:dyDescent="0.4">
      <c r="J6627" s="140"/>
      <c r="N6627" s="211"/>
    </row>
    <row r="6628" spans="10:14" x14ac:dyDescent="0.4">
      <c r="J6628" s="140"/>
      <c r="N6628" s="211"/>
    </row>
    <row r="6629" spans="10:14" x14ac:dyDescent="0.4">
      <c r="J6629" s="140"/>
      <c r="N6629" s="211"/>
    </row>
    <row r="6630" spans="10:14" x14ac:dyDescent="0.4">
      <c r="J6630" s="140"/>
      <c r="N6630" s="211"/>
    </row>
    <row r="6631" spans="10:14" x14ac:dyDescent="0.4">
      <c r="J6631" s="140"/>
      <c r="N6631" s="211"/>
    </row>
    <row r="6632" spans="10:14" x14ac:dyDescent="0.4">
      <c r="J6632" s="140"/>
      <c r="N6632" s="211"/>
    </row>
    <row r="6633" spans="10:14" x14ac:dyDescent="0.4">
      <c r="J6633" s="140"/>
      <c r="N6633" s="211"/>
    </row>
    <row r="6634" spans="10:14" x14ac:dyDescent="0.4">
      <c r="J6634" s="140"/>
      <c r="N6634" s="211"/>
    </row>
    <row r="6635" spans="10:14" x14ac:dyDescent="0.4">
      <c r="J6635" s="140"/>
      <c r="N6635" s="211"/>
    </row>
    <row r="6636" spans="10:14" x14ac:dyDescent="0.4">
      <c r="J6636" s="140"/>
      <c r="N6636" s="211"/>
    </row>
    <row r="6637" spans="10:14" x14ac:dyDescent="0.4">
      <c r="J6637" s="140"/>
      <c r="N6637" s="211"/>
    </row>
    <row r="6638" spans="10:14" x14ac:dyDescent="0.4">
      <c r="J6638" s="140"/>
      <c r="N6638" s="211"/>
    </row>
    <row r="6639" spans="10:14" x14ac:dyDescent="0.4">
      <c r="J6639" s="140"/>
      <c r="N6639" s="211"/>
    </row>
    <row r="6640" spans="10:14" x14ac:dyDescent="0.4">
      <c r="J6640" s="140"/>
      <c r="N6640" s="211"/>
    </row>
    <row r="6641" spans="10:14" x14ac:dyDescent="0.4">
      <c r="J6641" s="140"/>
      <c r="N6641" s="211"/>
    </row>
    <row r="6642" spans="10:14" x14ac:dyDescent="0.4">
      <c r="J6642" s="140"/>
      <c r="N6642" s="211"/>
    </row>
    <row r="6643" spans="10:14" x14ac:dyDescent="0.4">
      <c r="J6643" s="140"/>
      <c r="N6643" s="211"/>
    </row>
    <row r="6644" spans="10:14" x14ac:dyDescent="0.4">
      <c r="J6644" s="140"/>
      <c r="N6644" s="211"/>
    </row>
    <row r="6645" spans="10:14" x14ac:dyDescent="0.4">
      <c r="J6645" s="140"/>
      <c r="N6645" s="211"/>
    </row>
    <row r="6646" spans="10:14" x14ac:dyDescent="0.4">
      <c r="J6646" s="140"/>
      <c r="N6646" s="211"/>
    </row>
    <row r="6647" spans="10:14" x14ac:dyDescent="0.4">
      <c r="J6647" s="140"/>
      <c r="N6647" s="211"/>
    </row>
    <row r="6648" spans="10:14" x14ac:dyDescent="0.4">
      <c r="J6648" s="140"/>
      <c r="N6648" s="211"/>
    </row>
    <row r="6649" spans="10:14" x14ac:dyDescent="0.4">
      <c r="J6649" s="140"/>
      <c r="N6649" s="211"/>
    </row>
    <row r="6650" spans="10:14" x14ac:dyDescent="0.4">
      <c r="J6650" s="140"/>
      <c r="N6650" s="211"/>
    </row>
    <row r="6651" spans="10:14" x14ac:dyDescent="0.4">
      <c r="J6651" s="140"/>
      <c r="N6651" s="211"/>
    </row>
    <row r="6652" spans="10:14" x14ac:dyDescent="0.4">
      <c r="J6652" s="140"/>
      <c r="N6652" s="211"/>
    </row>
    <row r="6653" spans="10:14" x14ac:dyDescent="0.4">
      <c r="J6653" s="140"/>
      <c r="N6653" s="211"/>
    </row>
    <row r="6654" spans="10:14" x14ac:dyDescent="0.4">
      <c r="J6654" s="140"/>
      <c r="N6654" s="211"/>
    </row>
    <row r="6655" spans="10:14" x14ac:dyDescent="0.4">
      <c r="J6655" s="140"/>
      <c r="N6655" s="211"/>
    </row>
    <row r="6656" spans="10:14" x14ac:dyDescent="0.4">
      <c r="J6656" s="140"/>
      <c r="N6656" s="211"/>
    </row>
    <row r="6657" spans="10:14" x14ac:dyDescent="0.4">
      <c r="J6657" s="140"/>
      <c r="N6657" s="211"/>
    </row>
    <row r="6658" spans="10:14" x14ac:dyDescent="0.4">
      <c r="J6658" s="140"/>
      <c r="N6658" s="211"/>
    </row>
    <row r="6659" spans="10:14" x14ac:dyDescent="0.4">
      <c r="J6659" s="140"/>
      <c r="N6659" s="211"/>
    </row>
    <row r="6660" spans="10:14" x14ac:dyDescent="0.4">
      <c r="J6660" s="140"/>
      <c r="N6660" s="211"/>
    </row>
    <row r="6661" spans="10:14" x14ac:dyDescent="0.4">
      <c r="J6661" s="140"/>
      <c r="N6661" s="211"/>
    </row>
    <row r="6662" spans="10:14" x14ac:dyDescent="0.4">
      <c r="J6662" s="140"/>
      <c r="N6662" s="211"/>
    </row>
    <row r="6663" spans="10:14" x14ac:dyDescent="0.4">
      <c r="J6663" s="140"/>
      <c r="N6663" s="211"/>
    </row>
    <row r="6664" spans="10:14" x14ac:dyDescent="0.4">
      <c r="J6664" s="140"/>
      <c r="N6664" s="211"/>
    </row>
    <row r="6665" spans="10:14" x14ac:dyDescent="0.4">
      <c r="J6665" s="140"/>
      <c r="N6665" s="211"/>
    </row>
    <row r="6666" spans="10:14" x14ac:dyDescent="0.4">
      <c r="J6666" s="140"/>
      <c r="N6666" s="211"/>
    </row>
    <row r="6667" spans="10:14" x14ac:dyDescent="0.4">
      <c r="J6667" s="140"/>
      <c r="N6667" s="211"/>
    </row>
    <row r="6668" spans="10:14" x14ac:dyDescent="0.4">
      <c r="J6668" s="140"/>
      <c r="N6668" s="211"/>
    </row>
    <row r="6669" spans="10:14" x14ac:dyDescent="0.4">
      <c r="J6669" s="140"/>
      <c r="N6669" s="211"/>
    </row>
    <row r="6670" spans="10:14" x14ac:dyDescent="0.4">
      <c r="J6670" s="140"/>
      <c r="N6670" s="211"/>
    </row>
    <row r="6671" spans="10:14" x14ac:dyDescent="0.4">
      <c r="J6671" s="140"/>
      <c r="N6671" s="211"/>
    </row>
    <row r="6672" spans="10:14" x14ac:dyDescent="0.4">
      <c r="J6672" s="140"/>
      <c r="N6672" s="211"/>
    </row>
    <row r="6673" spans="10:14" x14ac:dyDescent="0.4">
      <c r="J6673" s="140"/>
      <c r="N6673" s="211"/>
    </row>
    <row r="6674" spans="10:14" x14ac:dyDescent="0.4">
      <c r="J6674" s="140"/>
      <c r="N6674" s="211"/>
    </row>
    <row r="6675" spans="10:14" x14ac:dyDescent="0.4">
      <c r="J6675" s="140"/>
      <c r="N6675" s="211"/>
    </row>
    <row r="6676" spans="10:14" x14ac:dyDescent="0.4">
      <c r="J6676" s="140"/>
      <c r="N6676" s="211"/>
    </row>
    <row r="6677" spans="10:14" x14ac:dyDescent="0.4">
      <c r="J6677" s="140"/>
      <c r="N6677" s="211"/>
    </row>
    <row r="6678" spans="10:14" x14ac:dyDescent="0.4">
      <c r="J6678" s="140"/>
      <c r="N6678" s="211"/>
    </row>
    <row r="6679" spans="10:14" x14ac:dyDescent="0.4">
      <c r="J6679" s="140"/>
      <c r="N6679" s="211"/>
    </row>
    <row r="6680" spans="10:14" x14ac:dyDescent="0.4">
      <c r="J6680" s="140"/>
      <c r="N6680" s="211"/>
    </row>
    <row r="6681" spans="10:14" x14ac:dyDescent="0.4">
      <c r="J6681" s="140"/>
      <c r="N6681" s="211"/>
    </row>
    <row r="6682" spans="10:14" x14ac:dyDescent="0.4">
      <c r="J6682" s="140"/>
      <c r="N6682" s="211"/>
    </row>
    <row r="6683" spans="10:14" x14ac:dyDescent="0.4">
      <c r="J6683" s="140"/>
      <c r="N6683" s="211"/>
    </row>
    <row r="6684" spans="10:14" x14ac:dyDescent="0.4">
      <c r="J6684" s="140"/>
      <c r="N6684" s="211"/>
    </row>
    <row r="6685" spans="10:14" x14ac:dyDescent="0.4">
      <c r="J6685" s="140"/>
      <c r="N6685" s="211"/>
    </row>
    <row r="6686" spans="10:14" x14ac:dyDescent="0.4">
      <c r="J6686" s="140"/>
      <c r="N6686" s="211"/>
    </row>
    <row r="6687" spans="10:14" x14ac:dyDescent="0.4">
      <c r="J6687" s="140"/>
      <c r="N6687" s="211"/>
    </row>
    <row r="6688" spans="10:14" x14ac:dyDescent="0.4">
      <c r="J6688" s="140"/>
      <c r="N6688" s="211"/>
    </row>
    <row r="6689" spans="10:14" x14ac:dyDescent="0.4">
      <c r="J6689" s="140"/>
      <c r="N6689" s="211"/>
    </row>
    <row r="6690" spans="10:14" x14ac:dyDescent="0.4">
      <c r="J6690" s="140"/>
      <c r="N6690" s="211"/>
    </row>
    <row r="6691" spans="10:14" x14ac:dyDescent="0.4">
      <c r="J6691" s="140"/>
      <c r="N6691" s="211"/>
    </row>
    <row r="6692" spans="10:14" x14ac:dyDescent="0.4">
      <c r="J6692" s="140"/>
      <c r="N6692" s="211"/>
    </row>
    <row r="6693" spans="10:14" x14ac:dyDescent="0.4">
      <c r="J6693" s="140"/>
      <c r="N6693" s="211"/>
    </row>
    <row r="6694" spans="10:14" x14ac:dyDescent="0.4">
      <c r="J6694" s="140"/>
      <c r="N6694" s="211"/>
    </row>
    <row r="6695" spans="10:14" x14ac:dyDescent="0.4">
      <c r="J6695" s="140"/>
      <c r="N6695" s="211"/>
    </row>
    <row r="6696" spans="10:14" x14ac:dyDescent="0.4">
      <c r="J6696" s="140"/>
      <c r="N6696" s="211"/>
    </row>
    <row r="6697" spans="10:14" x14ac:dyDescent="0.4">
      <c r="J6697" s="140"/>
      <c r="N6697" s="211"/>
    </row>
    <row r="6698" spans="10:14" x14ac:dyDescent="0.4">
      <c r="J6698" s="140"/>
      <c r="N6698" s="211"/>
    </row>
    <row r="6699" spans="10:14" x14ac:dyDescent="0.4">
      <c r="J6699" s="140"/>
      <c r="N6699" s="211"/>
    </row>
    <row r="6700" spans="10:14" x14ac:dyDescent="0.4">
      <c r="J6700" s="140"/>
      <c r="N6700" s="211"/>
    </row>
    <row r="6701" spans="10:14" x14ac:dyDescent="0.4">
      <c r="J6701" s="140"/>
      <c r="N6701" s="211"/>
    </row>
    <row r="6702" spans="10:14" x14ac:dyDescent="0.4">
      <c r="J6702" s="140"/>
      <c r="N6702" s="211"/>
    </row>
    <row r="6703" spans="10:14" x14ac:dyDescent="0.4">
      <c r="J6703" s="140"/>
      <c r="N6703" s="211"/>
    </row>
    <row r="6704" spans="10:14" x14ac:dyDescent="0.4">
      <c r="J6704" s="140"/>
      <c r="N6704" s="211"/>
    </row>
    <row r="6705" spans="10:14" x14ac:dyDescent="0.4">
      <c r="J6705" s="140"/>
      <c r="N6705" s="211"/>
    </row>
    <row r="6706" spans="10:14" x14ac:dyDescent="0.4">
      <c r="J6706" s="140"/>
      <c r="N6706" s="211"/>
    </row>
    <row r="6707" spans="10:14" x14ac:dyDescent="0.4">
      <c r="J6707" s="140"/>
      <c r="N6707" s="211"/>
    </row>
    <row r="6708" spans="10:14" x14ac:dyDescent="0.4">
      <c r="J6708" s="140"/>
      <c r="N6708" s="211"/>
    </row>
    <row r="6709" spans="10:14" x14ac:dyDescent="0.4">
      <c r="J6709" s="140"/>
      <c r="N6709" s="211"/>
    </row>
    <row r="6710" spans="10:14" x14ac:dyDescent="0.4">
      <c r="J6710" s="140"/>
      <c r="N6710" s="211"/>
    </row>
    <row r="6711" spans="10:14" x14ac:dyDescent="0.4">
      <c r="J6711" s="140"/>
      <c r="N6711" s="211"/>
    </row>
    <row r="6712" spans="10:14" x14ac:dyDescent="0.4">
      <c r="J6712" s="140"/>
      <c r="N6712" s="211"/>
    </row>
    <row r="6713" spans="10:14" x14ac:dyDescent="0.4">
      <c r="J6713" s="140"/>
      <c r="N6713" s="211"/>
    </row>
    <row r="6714" spans="10:14" x14ac:dyDescent="0.4">
      <c r="J6714" s="140"/>
      <c r="N6714" s="211"/>
    </row>
    <row r="6715" spans="10:14" x14ac:dyDescent="0.4">
      <c r="J6715" s="140"/>
      <c r="N6715" s="211"/>
    </row>
    <row r="6716" spans="10:14" x14ac:dyDescent="0.4">
      <c r="J6716" s="140"/>
      <c r="N6716" s="211"/>
    </row>
    <row r="6717" spans="10:14" x14ac:dyDescent="0.4">
      <c r="J6717" s="140"/>
      <c r="N6717" s="211"/>
    </row>
    <row r="6718" spans="10:14" x14ac:dyDescent="0.4">
      <c r="J6718" s="140"/>
      <c r="N6718" s="211"/>
    </row>
    <row r="6719" spans="10:14" x14ac:dyDescent="0.4">
      <c r="J6719" s="140"/>
      <c r="N6719" s="211"/>
    </row>
    <row r="6720" spans="10:14" x14ac:dyDescent="0.4">
      <c r="J6720" s="140"/>
      <c r="N6720" s="211"/>
    </row>
    <row r="6721" spans="10:14" x14ac:dyDescent="0.4">
      <c r="J6721" s="140"/>
      <c r="N6721" s="211"/>
    </row>
    <row r="6722" spans="10:14" x14ac:dyDescent="0.4">
      <c r="J6722" s="140"/>
      <c r="N6722" s="211"/>
    </row>
    <row r="6723" spans="10:14" x14ac:dyDescent="0.4">
      <c r="J6723" s="140"/>
      <c r="N6723" s="211"/>
    </row>
    <row r="6724" spans="10:14" x14ac:dyDescent="0.4">
      <c r="J6724" s="140"/>
      <c r="N6724" s="211"/>
    </row>
    <row r="6725" spans="10:14" x14ac:dyDescent="0.4">
      <c r="J6725" s="140"/>
      <c r="N6725" s="211"/>
    </row>
    <row r="6726" spans="10:14" x14ac:dyDescent="0.4">
      <c r="J6726" s="140"/>
      <c r="N6726" s="211"/>
    </row>
    <row r="6727" spans="10:14" x14ac:dyDescent="0.4">
      <c r="J6727" s="140"/>
      <c r="N6727" s="211"/>
    </row>
    <row r="6728" spans="10:14" x14ac:dyDescent="0.4">
      <c r="J6728" s="140"/>
      <c r="N6728" s="211"/>
    </row>
    <row r="6729" spans="10:14" x14ac:dyDescent="0.4">
      <c r="J6729" s="140"/>
      <c r="N6729" s="211"/>
    </row>
    <row r="6730" spans="10:14" x14ac:dyDescent="0.4">
      <c r="J6730" s="140"/>
      <c r="N6730" s="211"/>
    </row>
    <row r="6731" spans="10:14" x14ac:dyDescent="0.4">
      <c r="J6731" s="140"/>
      <c r="N6731" s="211"/>
    </row>
    <row r="6732" spans="10:14" x14ac:dyDescent="0.4">
      <c r="J6732" s="140"/>
      <c r="N6732" s="211"/>
    </row>
    <row r="6733" spans="10:14" x14ac:dyDescent="0.4">
      <c r="J6733" s="140"/>
      <c r="N6733" s="211"/>
    </row>
    <row r="6734" spans="10:14" x14ac:dyDescent="0.4">
      <c r="J6734" s="140"/>
      <c r="N6734" s="211"/>
    </row>
    <row r="6735" spans="10:14" x14ac:dyDescent="0.4">
      <c r="J6735" s="140"/>
      <c r="N6735" s="211"/>
    </row>
    <row r="6736" spans="10:14" x14ac:dyDescent="0.4">
      <c r="J6736" s="140"/>
      <c r="N6736" s="211"/>
    </row>
    <row r="6737" spans="10:14" x14ac:dyDescent="0.4">
      <c r="J6737" s="140"/>
      <c r="N6737" s="211"/>
    </row>
    <row r="6738" spans="10:14" x14ac:dyDescent="0.4">
      <c r="J6738" s="140"/>
      <c r="N6738" s="211"/>
    </row>
    <row r="6739" spans="10:14" x14ac:dyDescent="0.4">
      <c r="J6739" s="140"/>
      <c r="N6739" s="211"/>
    </row>
    <row r="6740" spans="10:14" x14ac:dyDescent="0.4">
      <c r="J6740" s="140"/>
      <c r="N6740" s="211"/>
    </row>
    <row r="6741" spans="10:14" x14ac:dyDescent="0.4">
      <c r="J6741" s="140"/>
      <c r="N6741" s="211"/>
    </row>
    <row r="6742" spans="10:14" x14ac:dyDescent="0.4">
      <c r="J6742" s="140"/>
      <c r="N6742" s="211"/>
    </row>
    <row r="6743" spans="10:14" x14ac:dyDescent="0.4">
      <c r="J6743" s="140"/>
      <c r="N6743" s="211"/>
    </row>
    <row r="6744" spans="10:14" x14ac:dyDescent="0.4">
      <c r="J6744" s="72"/>
      <c r="N6744" s="211"/>
    </row>
    <row r="6745" spans="10:14" x14ac:dyDescent="0.4">
      <c r="J6745" s="140"/>
      <c r="N6745" s="211"/>
    </row>
    <row r="6746" spans="10:14" x14ac:dyDescent="0.4">
      <c r="J6746" s="140"/>
      <c r="N6746" s="211"/>
    </row>
    <row r="6747" spans="10:14" x14ac:dyDescent="0.4">
      <c r="J6747" s="140"/>
      <c r="N6747" s="211"/>
    </row>
    <row r="6748" spans="10:14" x14ac:dyDescent="0.4">
      <c r="J6748" s="140"/>
      <c r="N6748" s="211"/>
    </row>
    <row r="6749" spans="10:14" x14ac:dyDescent="0.4">
      <c r="J6749" s="140"/>
      <c r="N6749" s="211"/>
    </row>
    <row r="6750" spans="10:14" x14ac:dyDescent="0.4">
      <c r="J6750" s="140"/>
      <c r="N6750" s="211"/>
    </row>
    <row r="6751" spans="10:14" x14ac:dyDescent="0.4">
      <c r="J6751" s="140"/>
      <c r="N6751" s="211"/>
    </row>
    <row r="6752" spans="10:14" x14ac:dyDescent="0.4">
      <c r="J6752" s="140"/>
      <c r="N6752" s="211"/>
    </row>
    <row r="6753" spans="10:14" x14ac:dyDescent="0.4">
      <c r="J6753" s="140"/>
      <c r="N6753" s="211"/>
    </row>
    <row r="6754" spans="10:14" x14ac:dyDescent="0.4">
      <c r="J6754" s="140"/>
      <c r="N6754" s="211"/>
    </row>
    <row r="6755" spans="10:14" x14ac:dyDescent="0.4">
      <c r="J6755" s="140"/>
      <c r="N6755" s="211"/>
    </row>
    <row r="6756" spans="10:14" x14ac:dyDescent="0.4">
      <c r="J6756" s="140"/>
      <c r="N6756" s="211"/>
    </row>
    <row r="6757" spans="10:14" x14ac:dyDescent="0.4">
      <c r="J6757" s="140"/>
      <c r="N6757" s="211"/>
    </row>
    <row r="6758" spans="10:14" x14ac:dyDescent="0.4">
      <c r="J6758" s="140"/>
      <c r="N6758" s="211"/>
    </row>
    <row r="6759" spans="10:14" x14ac:dyDescent="0.4">
      <c r="J6759" s="140"/>
      <c r="N6759" s="211"/>
    </row>
    <row r="6760" spans="10:14" x14ac:dyDescent="0.4">
      <c r="J6760" s="140"/>
      <c r="N6760" s="211"/>
    </row>
    <row r="6761" spans="10:14" x14ac:dyDescent="0.4">
      <c r="J6761" s="140"/>
      <c r="N6761" s="211"/>
    </row>
    <row r="6762" spans="10:14" x14ac:dyDescent="0.4">
      <c r="J6762" s="140"/>
      <c r="N6762" s="211"/>
    </row>
    <row r="6763" spans="10:14" x14ac:dyDescent="0.4">
      <c r="J6763" s="140"/>
      <c r="N6763" s="211"/>
    </row>
    <row r="6764" spans="10:14" x14ac:dyDescent="0.4">
      <c r="J6764" s="140"/>
      <c r="N6764" s="211"/>
    </row>
    <row r="6765" spans="10:14" x14ac:dyDescent="0.4">
      <c r="J6765" s="140"/>
      <c r="N6765" s="211"/>
    </row>
    <row r="6766" spans="10:14" x14ac:dyDescent="0.4">
      <c r="J6766" s="140"/>
      <c r="N6766" s="211"/>
    </row>
    <row r="6767" spans="10:14" x14ac:dyDescent="0.4">
      <c r="J6767" s="140"/>
      <c r="N6767" s="211"/>
    </row>
    <row r="6768" spans="10:14" x14ac:dyDescent="0.4">
      <c r="J6768" s="140"/>
      <c r="N6768" s="211"/>
    </row>
    <row r="6769" spans="10:14" x14ac:dyDescent="0.4">
      <c r="J6769" s="140"/>
      <c r="N6769" s="211"/>
    </row>
    <row r="6770" spans="10:14" x14ac:dyDescent="0.4">
      <c r="J6770" s="140"/>
      <c r="N6770" s="211"/>
    </row>
    <row r="6771" spans="10:14" x14ac:dyDescent="0.4">
      <c r="J6771" s="140"/>
      <c r="N6771" s="211"/>
    </row>
    <row r="6772" spans="10:14" x14ac:dyDescent="0.4">
      <c r="J6772" s="140"/>
      <c r="N6772" s="211"/>
    </row>
    <row r="6773" spans="10:14" x14ac:dyDescent="0.4">
      <c r="J6773" s="140"/>
      <c r="N6773" s="211"/>
    </row>
    <row r="6774" spans="10:14" x14ac:dyDescent="0.4">
      <c r="J6774" s="140"/>
      <c r="N6774" s="211"/>
    </row>
    <row r="6775" spans="10:14" x14ac:dyDescent="0.4">
      <c r="J6775" s="140"/>
      <c r="N6775" s="211"/>
    </row>
    <row r="6776" spans="10:14" x14ac:dyDescent="0.4">
      <c r="J6776" s="140"/>
      <c r="N6776" s="211"/>
    </row>
    <row r="6777" spans="10:14" x14ac:dyDescent="0.4">
      <c r="J6777" s="140"/>
      <c r="N6777" s="211"/>
    </row>
    <row r="6778" spans="10:14" x14ac:dyDescent="0.4">
      <c r="J6778" s="140"/>
      <c r="N6778" s="211"/>
    </row>
    <row r="6779" spans="10:14" x14ac:dyDescent="0.4">
      <c r="J6779" s="140"/>
      <c r="N6779" s="211"/>
    </row>
    <row r="6780" spans="10:14" x14ac:dyDescent="0.4">
      <c r="J6780" s="140"/>
      <c r="N6780" s="211"/>
    </row>
    <row r="6781" spans="10:14" x14ac:dyDescent="0.4">
      <c r="J6781" s="140"/>
      <c r="N6781" s="211"/>
    </row>
    <row r="6782" spans="10:14" x14ac:dyDescent="0.4">
      <c r="J6782" s="140"/>
      <c r="N6782" s="211"/>
    </row>
    <row r="6783" spans="10:14" x14ac:dyDescent="0.4">
      <c r="J6783" s="140"/>
      <c r="N6783" s="211"/>
    </row>
    <row r="6784" spans="10:14" x14ac:dyDescent="0.4">
      <c r="J6784" s="140"/>
      <c r="N6784" s="211"/>
    </row>
    <row r="6785" spans="10:14" x14ac:dyDescent="0.4">
      <c r="J6785" s="140"/>
      <c r="N6785" s="211"/>
    </row>
    <row r="6786" spans="10:14" x14ac:dyDescent="0.4">
      <c r="J6786" s="140"/>
      <c r="N6786" s="211"/>
    </row>
    <row r="6787" spans="10:14" x14ac:dyDescent="0.4">
      <c r="J6787" s="140"/>
      <c r="N6787" s="211"/>
    </row>
    <row r="6788" spans="10:14" x14ac:dyDescent="0.4">
      <c r="J6788" s="140"/>
      <c r="N6788" s="211"/>
    </row>
    <row r="6789" spans="10:14" x14ac:dyDescent="0.4">
      <c r="J6789" s="140"/>
      <c r="N6789" s="211"/>
    </row>
    <row r="6790" spans="10:14" x14ac:dyDescent="0.4">
      <c r="J6790" s="140"/>
      <c r="N6790" s="211"/>
    </row>
    <row r="6791" spans="10:14" x14ac:dyDescent="0.4">
      <c r="J6791" s="140"/>
      <c r="N6791" s="211"/>
    </row>
    <row r="6792" spans="10:14" x14ac:dyDescent="0.4">
      <c r="J6792" s="140"/>
      <c r="N6792" s="211"/>
    </row>
    <row r="6793" spans="10:14" x14ac:dyDescent="0.4">
      <c r="J6793" s="140"/>
      <c r="N6793" s="211"/>
    </row>
    <row r="6794" spans="10:14" x14ac:dyDescent="0.4">
      <c r="J6794" s="140"/>
      <c r="N6794" s="211"/>
    </row>
    <row r="6795" spans="10:14" x14ac:dyDescent="0.4">
      <c r="J6795" s="140"/>
      <c r="N6795" s="211"/>
    </row>
    <row r="6796" spans="10:14" x14ac:dyDescent="0.4">
      <c r="J6796" s="140"/>
      <c r="N6796" s="211"/>
    </row>
    <row r="6797" spans="10:14" x14ac:dyDescent="0.4">
      <c r="J6797" s="140"/>
      <c r="N6797" s="211"/>
    </row>
    <row r="6798" spans="10:14" x14ac:dyDescent="0.4">
      <c r="J6798" s="140"/>
      <c r="N6798" s="211"/>
    </row>
    <row r="6799" spans="10:14" x14ac:dyDescent="0.4">
      <c r="J6799" s="140"/>
      <c r="N6799" s="211"/>
    </row>
    <row r="6800" spans="10:14" x14ac:dyDescent="0.4">
      <c r="J6800" s="140"/>
      <c r="N6800" s="211"/>
    </row>
    <row r="6801" spans="10:14" x14ac:dyDescent="0.4">
      <c r="J6801" s="140"/>
      <c r="N6801" s="211"/>
    </row>
    <row r="6802" spans="10:14" x14ac:dyDescent="0.4">
      <c r="J6802" s="140"/>
      <c r="N6802" s="211"/>
    </row>
    <row r="6803" spans="10:14" x14ac:dyDescent="0.4">
      <c r="J6803" s="140"/>
      <c r="N6803" s="211"/>
    </row>
    <row r="6804" spans="10:14" x14ac:dyDescent="0.4">
      <c r="J6804" s="140"/>
      <c r="N6804" s="211"/>
    </row>
    <row r="6805" spans="10:14" x14ac:dyDescent="0.4">
      <c r="J6805" s="140"/>
      <c r="N6805" s="211"/>
    </row>
    <row r="6806" spans="10:14" x14ac:dyDescent="0.4">
      <c r="J6806" s="140"/>
      <c r="N6806" s="211"/>
    </row>
    <row r="6807" spans="10:14" x14ac:dyDescent="0.4">
      <c r="J6807" s="140"/>
      <c r="N6807" s="211"/>
    </row>
    <row r="6808" spans="10:14" x14ac:dyDescent="0.4">
      <c r="J6808" s="140"/>
      <c r="N6808" s="211"/>
    </row>
    <row r="6809" spans="10:14" x14ac:dyDescent="0.4">
      <c r="J6809" s="140"/>
      <c r="N6809" s="211"/>
    </row>
    <row r="6810" spans="10:14" x14ac:dyDescent="0.4">
      <c r="J6810" s="140"/>
      <c r="N6810" s="211"/>
    </row>
    <row r="6811" spans="10:14" x14ac:dyDescent="0.4">
      <c r="J6811" s="140"/>
      <c r="N6811" s="211"/>
    </row>
    <row r="6812" spans="10:14" x14ac:dyDescent="0.4">
      <c r="J6812" s="140"/>
      <c r="N6812" s="211"/>
    </row>
    <row r="6813" spans="10:14" x14ac:dyDescent="0.4">
      <c r="J6813" s="140"/>
      <c r="N6813" s="211"/>
    </row>
    <row r="6814" spans="10:14" x14ac:dyDescent="0.4">
      <c r="J6814" s="140"/>
      <c r="N6814" s="211"/>
    </row>
    <row r="6815" spans="10:14" x14ac:dyDescent="0.4">
      <c r="J6815" s="140"/>
      <c r="N6815" s="211"/>
    </row>
    <row r="6816" spans="10:14" x14ac:dyDescent="0.4">
      <c r="J6816" s="140"/>
      <c r="N6816" s="211"/>
    </row>
    <row r="6817" spans="10:14" x14ac:dyDescent="0.4">
      <c r="J6817" s="140"/>
      <c r="N6817" s="211"/>
    </row>
    <row r="6818" spans="10:14" x14ac:dyDescent="0.4">
      <c r="J6818" s="140"/>
      <c r="N6818" s="211"/>
    </row>
    <row r="6819" spans="10:14" x14ac:dyDescent="0.4">
      <c r="J6819" s="140"/>
      <c r="N6819" s="211"/>
    </row>
    <row r="6820" spans="10:14" x14ac:dyDescent="0.4">
      <c r="J6820" s="140"/>
      <c r="N6820" s="211"/>
    </row>
    <row r="6821" spans="10:14" x14ac:dyDescent="0.4">
      <c r="J6821" s="140"/>
      <c r="N6821" s="211"/>
    </row>
    <row r="6822" spans="10:14" x14ac:dyDescent="0.4">
      <c r="J6822" s="140"/>
      <c r="N6822" s="211"/>
    </row>
    <row r="6823" spans="10:14" x14ac:dyDescent="0.4">
      <c r="J6823" s="140"/>
      <c r="N6823" s="211"/>
    </row>
    <row r="6824" spans="10:14" x14ac:dyDescent="0.4">
      <c r="J6824" s="140"/>
      <c r="N6824" s="211"/>
    </row>
    <row r="6825" spans="10:14" x14ac:dyDescent="0.4">
      <c r="J6825" s="140"/>
      <c r="N6825" s="211"/>
    </row>
    <row r="6826" spans="10:14" x14ac:dyDescent="0.4">
      <c r="J6826" s="140"/>
      <c r="N6826" s="211"/>
    </row>
    <row r="6827" spans="10:14" x14ac:dyDescent="0.4">
      <c r="J6827" s="140"/>
      <c r="N6827" s="211"/>
    </row>
    <row r="6828" spans="10:14" x14ac:dyDescent="0.4">
      <c r="J6828" s="140"/>
      <c r="N6828" s="211"/>
    </row>
    <row r="6829" spans="10:14" x14ac:dyDescent="0.4">
      <c r="J6829" s="140"/>
      <c r="N6829" s="211"/>
    </row>
    <row r="6830" spans="10:14" x14ac:dyDescent="0.4">
      <c r="J6830" s="140"/>
      <c r="N6830" s="211"/>
    </row>
    <row r="6831" spans="10:14" x14ac:dyDescent="0.4">
      <c r="J6831" s="140"/>
      <c r="N6831" s="211"/>
    </row>
    <row r="6832" spans="10:14" x14ac:dyDescent="0.4">
      <c r="J6832" s="140"/>
      <c r="N6832" s="211"/>
    </row>
    <row r="6833" spans="10:14" x14ac:dyDescent="0.4">
      <c r="J6833" s="140"/>
      <c r="N6833" s="211"/>
    </row>
    <row r="6834" spans="10:14" x14ac:dyDescent="0.4">
      <c r="J6834" s="140"/>
      <c r="N6834" s="211"/>
    </row>
    <row r="6835" spans="10:14" x14ac:dyDescent="0.4">
      <c r="J6835" s="140"/>
      <c r="N6835" s="211"/>
    </row>
    <row r="6836" spans="10:14" x14ac:dyDescent="0.4">
      <c r="J6836" s="140"/>
      <c r="N6836" s="211"/>
    </row>
    <row r="6837" spans="10:14" x14ac:dyDescent="0.4">
      <c r="J6837" s="140"/>
      <c r="N6837" s="211"/>
    </row>
    <row r="6838" spans="10:14" x14ac:dyDescent="0.4">
      <c r="J6838" s="140"/>
      <c r="N6838" s="211"/>
    </row>
    <row r="6839" spans="10:14" x14ac:dyDescent="0.4">
      <c r="J6839" s="140"/>
      <c r="N6839" s="211"/>
    </row>
    <row r="6840" spans="10:14" x14ac:dyDescent="0.4">
      <c r="J6840" s="140"/>
      <c r="N6840" s="211"/>
    </row>
    <row r="6841" spans="10:14" x14ac:dyDescent="0.4">
      <c r="J6841" s="140"/>
      <c r="N6841" s="211"/>
    </row>
    <row r="6842" spans="10:14" x14ac:dyDescent="0.4">
      <c r="J6842" s="140"/>
      <c r="N6842" s="211"/>
    </row>
    <row r="6843" spans="10:14" x14ac:dyDescent="0.4">
      <c r="J6843" s="140"/>
      <c r="N6843" s="211"/>
    </row>
    <row r="6844" spans="10:14" x14ac:dyDescent="0.4">
      <c r="J6844" s="140"/>
      <c r="N6844" s="211"/>
    </row>
    <row r="6845" spans="10:14" x14ac:dyDescent="0.4">
      <c r="J6845" s="140"/>
      <c r="N6845" s="211"/>
    </row>
    <row r="6846" spans="10:14" x14ac:dyDescent="0.4">
      <c r="J6846" s="140"/>
      <c r="N6846" s="211"/>
    </row>
    <row r="6847" spans="10:14" x14ac:dyDescent="0.4">
      <c r="J6847" s="140"/>
      <c r="N6847" s="211"/>
    </row>
    <row r="6848" spans="10:14" x14ac:dyDescent="0.4">
      <c r="J6848" s="140"/>
      <c r="N6848" s="211"/>
    </row>
    <row r="6849" spans="10:14" x14ac:dyDescent="0.4">
      <c r="J6849" s="140"/>
      <c r="N6849" s="211"/>
    </row>
    <row r="6850" spans="10:14" x14ac:dyDescent="0.4">
      <c r="J6850" s="140"/>
      <c r="N6850" s="211"/>
    </row>
    <row r="6851" spans="10:14" x14ac:dyDescent="0.4">
      <c r="J6851" s="140"/>
      <c r="N6851" s="211"/>
    </row>
    <row r="6852" spans="10:14" x14ac:dyDescent="0.4">
      <c r="J6852" s="140"/>
      <c r="N6852" s="211"/>
    </row>
    <row r="6853" spans="10:14" x14ac:dyDescent="0.4">
      <c r="J6853" s="140"/>
      <c r="N6853" s="211"/>
    </row>
    <row r="6854" spans="10:14" x14ac:dyDescent="0.4">
      <c r="J6854" s="140"/>
      <c r="N6854" s="211"/>
    </row>
    <row r="6855" spans="10:14" x14ac:dyDescent="0.4">
      <c r="J6855" s="140"/>
      <c r="N6855" s="211"/>
    </row>
    <row r="6856" spans="10:14" x14ac:dyDescent="0.4">
      <c r="J6856" s="140"/>
      <c r="N6856" s="211"/>
    </row>
    <row r="6857" spans="10:14" x14ac:dyDescent="0.4">
      <c r="J6857" s="140"/>
      <c r="N6857" s="211"/>
    </row>
    <row r="6858" spans="10:14" x14ac:dyDescent="0.4">
      <c r="J6858" s="140"/>
      <c r="N6858" s="211"/>
    </row>
    <row r="6859" spans="10:14" x14ac:dyDescent="0.4">
      <c r="J6859" s="140"/>
      <c r="N6859" s="211"/>
    </row>
    <row r="6860" spans="10:14" x14ac:dyDescent="0.4">
      <c r="J6860" s="140"/>
      <c r="N6860" s="211"/>
    </row>
    <row r="6861" spans="10:14" x14ac:dyDescent="0.4">
      <c r="J6861" s="140"/>
      <c r="N6861" s="211"/>
    </row>
    <row r="6862" spans="10:14" x14ac:dyDescent="0.4">
      <c r="J6862" s="140"/>
      <c r="N6862" s="211"/>
    </row>
    <row r="6863" spans="10:14" x14ac:dyDescent="0.4">
      <c r="J6863" s="140"/>
      <c r="N6863" s="211"/>
    </row>
    <row r="6864" spans="10:14" x14ac:dyDescent="0.4">
      <c r="J6864" s="140"/>
      <c r="N6864" s="211"/>
    </row>
    <row r="6865" spans="10:14" x14ac:dyDescent="0.4">
      <c r="J6865" s="140"/>
      <c r="N6865" s="211"/>
    </row>
    <row r="6866" spans="10:14" x14ac:dyDescent="0.4">
      <c r="J6866" s="140"/>
      <c r="N6866" s="211"/>
    </row>
    <row r="6867" spans="10:14" x14ac:dyDescent="0.4">
      <c r="J6867" s="140"/>
      <c r="N6867" s="211"/>
    </row>
    <row r="6868" spans="10:14" x14ac:dyDescent="0.4">
      <c r="J6868" s="140"/>
      <c r="N6868" s="211"/>
    </row>
    <row r="6869" spans="10:14" x14ac:dyDescent="0.4">
      <c r="J6869" s="140"/>
      <c r="N6869" s="211"/>
    </row>
    <row r="6870" spans="10:14" x14ac:dyDescent="0.4">
      <c r="J6870" s="140"/>
      <c r="N6870" s="211"/>
    </row>
    <row r="6871" spans="10:14" x14ac:dyDescent="0.4">
      <c r="J6871" s="140"/>
      <c r="N6871" s="211"/>
    </row>
    <row r="6872" spans="10:14" x14ac:dyDescent="0.4">
      <c r="J6872" s="140"/>
      <c r="N6872" s="211"/>
    </row>
    <row r="6873" spans="10:14" x14ac:dyDescent="0.4">
      <c r="J6873" s="140"/>
      <c r="N6873" s="211"/>
    </row>
    <row r="6874" spans="10:14" x14ac:dyDescent="0.4">
      <c r="J6874" s="140"/>
      <c r="N6874" s="211"/>
    </row>
    <row r="6875" spans="10:14" x14ac:dyDescent="0.4">
      <c r="J6875" s="140"/>
      <c r="N6875" s="211"/>
    </row>
    <row r="6876" spans="10:14" x14ac:dyDescent="0.4">
      <c r="J6876" s="140"/>
      <c r="N6876" s="211"/>
    </row>
    <row r="6877" spans="10:14" x14ac:dyDescent="0.4">
      <c r="J6877" s="140"/>
      <c r="N6877" s="211"/>
    </row>
    <row r="6878" spans="10:14" x14ac:dyDescent="0.4">
      <c r="J6878" s="140"/>
      <c r="N6878" s="211"/>
    </row>
    <row r="6879" spans="10:14" x14ac:dyDescent="0.4">
      <c r="J6879" s="140"/>
      <c r="N6879" s="211"/>
    </row>
    <row r="6880" spans="10:14" x14ac:dyDescent="0.4">
      <c r="J6880" s="140"/>
      <c r="N6880" s="211"/>
    </row>
    <row r="6881" spans="10:14" x14ac:dyDescent="0.4">
      <c r="J6881" s="140"/>
      <c r="N6881" s="211"/>
    </row>
    <row r="6882" spans="10:14" x14ac:dyDescent="0.4">
      <c r="J6882" s="140"/>
      <c r="N6882" s="211"/>
    </row>
    <row r="6883" spans="10:14" x14ac:dyDescent="0.4">
      <c r="J6883" s="140"/>
      <c r="N6883" s="211"/>
    </row>
    <row r="6884" spans="10:14" x14ac:dyDescent="0.4">
      <c r="J6884" s="140"/>
      <c r="N6884" s="211"/>
    </row>
    <row r="6885" spans="10:14" x14ac:dyDescent="0.4">
      <c r="J6885" s="140"/>
      <c r="N6885" s="211"/>
    </row>
    <row r="6886" spans="10:14" x14ac:dyDescent="0.4">
      <c r="J6886" s="140"/>
      <c r="N6886" s="211"/>
    </row>
    <row r="6887" spans="10:14" x14ac:dyDescent="0.4">
      <c r="J6887" s="140"/>
      <c r="N6887" s="211"/>
    </row>
    <row r="6888" spans="10:14" x14ac:dyDescent="0.4">
      <c r="J6888" s="140"/>
      <c r="N6888" s="211"/>
    </row>
    <row r="6889" spans="10:14" x14ac:dyDescent="0.4">
      <c r="J6889" s="140"/>
      <c r="N6889" s="211"/>
    </row>
    <row r="6890" spans="10:14" x14ac:dyDescent="0.4">
      <c r="J6890" s="140"/>
      <c r="N6890" s="211"/>
    </row>
    <row r="6891" spans="10:14" x14ac:dyDescent="0.4">
      <c r="J6891" s="140"/>
      <c r="N6891" s="211"/>
    </row>
    <row r="6892" spans="10:14" x14ac:dyDescent="0.4">
      <c r="J6892" s="140"/>
      <c r="N6892" s="211"/>
    </row>
    <row r="6893" spans="10:14" x14ac:dyDescent="0.4">
      <c r="J6893" s="140"/>
      <c r="N6893" s="211"/>
    </row>
    <row r="6894" spans="10:14" x14ac:dyDescent="0.4">
      <c r="J6894" s="140"/>
      <c r="N6894" s="211"/>
    </row>
    <row r="6895" spans="10:14" x14ac:dyDescent="0.4">
      <c r="J6895" s="140"/>
      <c r="N6895" s="211"/>
    </row>
    <row r="6896" spans="10:14" x14ac:dyDescent="0.4">
      <c r="J6896" s="140"/>
      <c r="N6896" s="211"/>
    </row>
    <row r="6897" spans="10:14" x14ac:dyDescent="0.4">
      <c r="J6897" s="140"/>
      <c r="N6897" s="211"/>
    </row>
    <row r="6898" spans="10:14" x14ac:dyDescent="0.4">
      <c r="J6898" s="140"/>
      <c r="N6898" s="211"/>
    </row>
    <row r="6899" spans="10:14" x14ac:dyDescent="0.4">
      <c r="J6899" s="140"/>
      <c r="N6899" s="211"/>
    </row>
    <row r="6900" spans="10:14" x14ac:dyDescent="0.4">
      <c r="J6900" s="140"/>
      <c r="N6900" s="211"/>
    </row>
    <row r="6901" spans="10:14" x14ac:dyDescent="0.4">
      <c r="J6901" s="140"/>
      <c r="N6901" s="211"/>
    </row>
    <row r="6902" spans="10:14" x14ac:dyDescent="0.4">
      <c r="J6902" s="140"/>
      <c r="N6902" s="211"/>
    </row>
    <row r="6903" spans="10:14" x14ac:dyDescent="0.4">
      <c r="J6903" s="140"/>
      <c r="N6903" s="211"/>
    </row>
    <row r="6904" spans="10:14" x14ac:dyDescent="0.4">
      <c r="J6904" s="140"/>
      <c r="N6904" s="211"/>
    </row>
    <row r="6905" spans="10:14" x14ac:dyDescent="0.4">
      <c r="J6905" s="140"/>
      <c r="N6905" s="211"/>
    </row>
    <row r="6906" spans="10:14" x14ac:dyDescent="0.4">
      <c r="J6906" s="140"/>
      <c r="N6906" s="211"/>
    </row>
    <row r="6907" spans="10:14" x14ac:dyDescent="0.4">
      <c r="J6907" s="140"/>
      <c r="N6907" s="211"/>
    </row>
    <row r="6908" spans="10:14" x14ac:dyDescent="0.4">
      <c r="J6908" s="140"/>
      <c r="N6908" s="211"/>
    </row>
    <row r="6909" spans="10:14" x14ac:dyDescent="0.4">
      <c r="J6909" s="140"/>
      <c r="N6909" s="211"/>
    </row>
    <row r="6910" spans="10:14" x14ac:dyDescent="0.4">
      <c r="J6910" s="140"/>
      <c r="N6910" s="211"/>
    </row>
    <row r="6911" spans="10:14" x14ac:dyDescent="0.4">
      <c r="J6911" s="140"/>
      <c r="N6911" s="211"/>
    </row>
    <row r="6912" spans="10:14" x14ac:dyDescent="0.4">
      <c r="J6912" s="140"/>
      <c r="N6912" s="211"/>
    </row>
    <row r="6913" spans="10:14" x14ac:dyDescent="0.4">
      <c r="J6913" s="140"/>
      <c r="N6913" s="211"/>
    </row>
    <row r="6914" spans="10:14" x14ac:dyDescent="0.4">
      <c r="J6914" s="140"/>
      <c r="N6914" s="211"/>
    </row>
    <row r="6915" spans="10:14" x14ac:dyDescent="0.4">
      <c r="J6915" s="140"/>
      <c r="N6915" s="211"/>
    </row>
    <row r="6916" spans="10:14" x14ac:dyDescent="0.4">
      <c r="J6916" s="140"/>
      <c r="N6916" s="211"/>
    </row>
    <row r="6917" spans="10:14" x14ac:dyDescent="0.4">
      <c r="J6917" s="140"/>
      <c r="N6917" s="211"/>
    </row>
    <row r="6918" spans="10:14" x14ac:dyDescent="0.4">
      <c r="J6918" s="140"/>
      <c r="N6918" s="211"/>
    </row>
    <row r="6919" spans="10:14" x14ac:dyDescent="0.4">
      <c r="J6919" s="140"/>
      <c r="N6919" s="211"/>
    </row>
    <row r="6920" spans="10:14" x14ac:dyDescent="0.4">
      <c r="J6920" s="140"/>
      <c r="N6920" s="211"/>
    </row>
    <row r="6921" spans="10:14" x14ac:dyDescent="0.4">
      <c r="J6921" s="140"/>
      <c r="N6921" s="211"/>
    </row>
    <row r="6922" spans="10:14" x14ac:dyDescent="0.4">
      <c r="J6922" s="140"/>
      <c r="N6922" s="211"/>
    </row>
    <row r="6923" spans="10:14" x14ac:dyDescent="0.4">
      <c r="J6923" s="140"/>
      <c r="N6923" s="211"/>
    </row>
    <row r="6924" spans="10:14" x14ac:dyDescent="0.4">
      <c r="J6924" s="140"/>
      <c r="N6924" s="211"/>
    </row>
    <row r="6925" spans="10:14" x14ac:dyDescent="0.4">
      <c r="J6925" s="140"/>
      <c r="N6925" s="211"/>
    </row>
    <row r="6926" spans="10:14" x14ac:dyDescent="0.4">
      <c r="J6926" s="140"/>
      <c r="N6926" s="211"/>
    </row>
    <row r="6927" spans="10:14" x14ac:dyDescent="0.4">
      <c r="J6927" s="140"/>
      <c r="N6927" s="211"/>
    </row>
    <row r="6928" spans="10:14" x14ac:dyDescent="0.4">
      <c r="J6928" s="140"/>
      <c r="N6928" s="211"/>
    </row>
    <row r="6929" spans="10:14" x14ac:dyDescent="0.4">
      <c r="J6929" s="140"/>
      <c r="N6929" s="211"/>
    </row>
    <row r="6930" spans="10:14" x14ac:dyDescent="0.4">
      <c r="J6930" s="140"/>
      <c r="N6930" s="211"/>
    </row>
    <row r="6931" spans="10:14" x14ac:dyDescent="0.4">
      <c r="J6931" s="140"/>
      <c r="N6931" s="211"/>
    </row>
    <row r="6932" spans="10:14" x14ac:dyDescent="0.4">
      <c r="J6932" s="140"/>
      <c r="N6932" s="211"/>
    </row>
    <row r="6933" spans="10:14" x14ac:dyDescent="0.4">
      <c r="J6933" s="140"/>
      <c r="N6933" s="211"/>
    </row>
    <row r="6934" spans="10:14" x14ac:dyDescent="0.4">
      <c r="J6934" s="140"/>
      <c r="N6934" s="211"/>
    </row>
    <row r="6935" spans="10:14" x14ac:dyDescent="0.4">
      <c r="J6935" s="140"/>
      <c r="N6935" s="211"/>
    </row>
    <row r="6936" spans="10:14" x14ac:dyDescent="0.4">
      <c r="J6936" s="140"/>
      <c r="N6936" s="211"/>
    </row>
    <row r="6937" spans="10:14" x14ac:dyDescent="0.4">
      <c r="J6937" s="140"/>
      <c r="N6937" s="211"/>
    </row>
    <row r="6938" spans="10:14" x14ac:dyDescent="0.4">
      <c r="J6938" s="140"/>
      <c r="N6938" s="211"/>
    </row>
    <row r="6939" spans="10:14" x14ac:dyDescent="0.4">
      <c r="J6939" s="140"/>
      <c r="N6939" s="211"/>
    </row>
    <row r="6940" spans="10:14" x14ac:dyDescent="0.4">
      <c r="J6940" s="140"/>
      <c r="N6940" s="211"/>
    </row>
    <row r="6941" spans="10:14" x14ac:dyDescent="0.4">
      <c r="J6941" s="140"/>
      <c r="N6941" s="211"/>
    </row>
    <row r="6942" spans="10:14" x14ac:dyDescent="0.4">
      <c r="J6942" s="140"/>
      <c r="N6942" s="211"/>
    </row>
    <row r="6943" spans="10:14" x14ac:dyDescent="0.4">
      <c r="J6943" s="140"/>
      <c r="N6943" s="211"/>
    </row>
    <row r="6944" spans="10:14" x14ac:dyDescent="0.4">
      <c r="J6944" s="140"/>
      <c r="N6944" s="211"/>
    </row>
    <row r="6945" spans="10:14" x14ac:dyDescent="0.4">
      <c r="J6945" s="140"/>
      <c r="N6945" s="211"/>
    </row>
    <row r="6946" spans="10:14" x14ac:dyDescent="0.4">
      <c r="J6946" s="140"/>
      <c r="N6946" s="211"/>
    </row>
    <row r="6947" spans="10:14" x14ac:dyDescent="0.4">
      <c r="J6947" s="140"/>
      <c r="N6947" s="211"/>
    </row>
    <row r="6948" spans="10:14" x14ac:dyDescent="0.4">
      <c r="J6948" s="140"/>
      <c r="N6948" s="211"/>
    </row>
    <row r="6949" spans="10:14" x14ac:dyDescent="0.4">
      <c r="J6949" s="140"/>
      <c r="N6949" s="211"/>
    </row>
    <row r="6950" spans="10:14" x14ac:dyDescent="0.4">
      <c r="J6950" s="140"/>
      <c r="N6950" s="211"/>
    </row>
    <row r="6951" spans="10:14" x14ac:dyDescent="0.4">
      <c r="J6951" s="140"/>
      <c r="N6951" s="211"/>
    </row>
    <row r="6952" spans="10:14" x14ac:dyDescent="0.4">
      <c r="J6952" s="140"/>
      <c r="N6952" s="211"/>
    </row>
    <row r="6953" spans="10:14" x14ac:dyDescent="0.4">
      <c r="J6953" s="140"/>
      <c r="N6953" s="211"/>
    </row>
    <row r="6954" spans="10:14" x14ac:dyDescent="0.4">
      <c r="J6954" s="140"/>
      <c r="N6954" s="211"/>
    </row>
    <row r="6955" spans="10:14" x14ac:dyDescent="0.4">
      <c r="J6955" s="140"/>
      <c r="N6955" s="211"/>
    </row>
    <row r="6956" spans="10:14" x14ac:dyDescent="0.4">
      <c r="J6956" s="140"/>
      <c r="N6956" s="211"/>
    </row>
    <row r="6957" spans="10:14" x14ac:dyDescent="0.4">
      <c r="J6957" s="140"/>
      <c r="N6957" s="211"/>
    </row>
    <row r="6958" spans="10:14" x14ac:dyDescent="0.4">
      <c r="J6958" s="140"/>
      <c r="N6958" s="211"/>
    </row>
    <row r="6959" spans="10:14" x14ac:dyDescent="0.4">
      <c r="J6959" s="140"/>
      <c r="N6959" s="211"/>
    </row>
    <row r="6960" spans="10:14" x14ac:dyDescent="0.4">
      <c r="J6960" s="140"/>
      <c r="N6960" s="211"/>
    </row>
    <row r="6961" spans="10:14" x14ac:dyDescent="0.4">
      <c r="J6961" s="140"/>
      <c r="N6961" s="211"/>
    </row>
    <row r="6962" spans="10:14" x14ac:dyDescent="0.4">
      <c r="J6962" s="140"/>
      <c r="N6962" s="211"/>
    </row>
    <row r="6963" spans="10:14" x14ac:dyDescent="0.4">
      <c r="J6963" s="140"/>
      <c r="N6963" s="211"/>
    </row>
    <row r="6964" spans="10:14" x14ac:dyDescent="0.4">
      <c r="J6964" s="140"/>
      <c r="N6964" s="211"/>
    </row>
    <row r="6965" spans="10:14" x14ac:dyDescent="0.4">
      <c r="J6965" s="140"/>
      <c r="N6965" s="211"/>
    </row>
    <row r="6966" spans="10:14" x14ac:dyDescent="0.4">
      <c r="J6966" s="140"/>
      <c r="N6966" s="211"/>
    </row>
    <row r="6967" spans="10:14" x14ac:dyDescent="0.4">
      <c r="J6967" s="140"/>
      <c r="N6967" s="211"/>
    </row>
    <row r="6968" spans="10:14" x14ac:dyDescent="0.4">
      <c r="J6968" s="140"/>
      <c r="N6968" s="211"/>
    </row>
    <row r="6969" spans="10:14" x14ac:dyDescent="0.4">
      <c r="J6969" s="140"/>
      <c r="N6969" s="211"/>
    </row>
    <row r="6970" spans="10:14" x14ac:dyDescent="0.4">
      <c r="J6970" s="140"/>
      <c r="N6970" s="211"/>
    </row>
    <row r="6971" spans="10:14" x14ac:dyDescent="0.4">
      <c r="J6971" s="140"/>
      <c r="N6971" s="211"/>
    </row>
    <row r="6972" spans="10:14" x14ac:dyDescent="0.4">
      <c r="J6972" s="140"/>
      <c r="N6972" s="211"/>
    </row>
    <row r="6973" spans="10:14" x14ac:dyDescent="0.4">
      <c r="J6973" s="140"/>
      <c r="N6973" s="211"/>
    </row>
    <row r="6974" spans="10:14" x14ac:dyDescent="0.4">
      <c r="J6974" s="140"/>
      <c r="N6974" s="211"/>
    </row>
    <row r="6975" spans="10:14" x14ac:dyDescent="0.4">
      <c r="J6975" s="140"/>
      <c r="N6975" s="211"/>
    </row>
    <row r="6976" spans="10:14" x14ac:dyDescent="0.4">
      <c r="J6976" s="140"/>
      <c r="N6976" s="211"/>
    </row>
    <row r="6977" spans="10:14" x14ac:dyDescent="0.4">
      <c r="J6977" s="140"/>
      <c r="N6977" s="211"/>
    </row>
    <row r="6978" spans="10:14" x14ac:dyDescent="0.4">
      <c r="J6978" s="140"/>
      <c r="N6978" s="211"/>
    </row>
    <row r="6979" spans="10:14" x14ac:dyDescent="0.4">
      <c r="J6979" s="140"/>
      <c r="N6979" s="211"/>
    </row>
    <row r="6980" spans="10:14" x14ac:dyDescent="0.4">
      <c r="J6980" s="140"/>
      <c r="N6980" s="211"/>
    </row>
    <row r="6981" spans="10:14" x14ac:dyDescent="0.4">
      <c r="J6981" s="140"/>
      <c r="N6981" s="211"/>
    </row>
    <row r="6982" spans="10:14" x14ac:dyDescent="0.4">
      <c r="J6982" s="140"/>
      <c r="N6982" s="211"/>
    </row>
    <row r="6983" spans="10:14" x14ac:dyDescent="0.4">
      <c r="J6983" s="140"/>
      <c r="N6983" s="211"/>
    </row>
    <row r="6984" spans="10:14" x14ac:dyDescent="0.4">
      <c r="J6984" s="140"/>
      <c r="N6984" s="211"/>
    </row>
    <row r="6985" spans="10:14" x14ac:dyDescent="0.4">
      <c r="J6985" s="140"/>
      <c r="N6985" s="211"/>
    </row>
    <row r="6986" spans="10:14" x14ac:dyDescent="0.4">
      <c r="J6986" s="140"/>
      <c r="N6986" s="211"/>
    </row>
    <row r="6987" spans="10:14" x14ac:dyDescent="0.4">
      <c r="J6987" s="140"/>
      <c r="N6987" s="211"/>
    </row>
    <row r="6988" spans="10:14" x14ac:dyDescent="0.4">
      <c r="J6988" s="140"/>
      <c r="N6988" s="211"/>
    </row>
    <row r="6989" spans="10:14" x14ac:dyDescent="0.4">
      <c r="J6989" s="140"/>
      <c r="N6989" s="211"/>
    </row>
    <row r="6990" spans="10:14" x14ac:dyDescent="0.4">
      <c r="J6990" s="140"/>
      <c r="N6990" s="211"/>
    </row>
    <row r="6991" spans="10:14" x14ac:dyDescent="0.4">
      <c r="J6991" s="140"/>
      <c r="N6991" s="211"/>
    </row>
    <row r="6992" spans="10:14" x14ac:dyDescent="0.4">
      <c r="J6992" s="140"/>
      <c r="N6992" s="211"/>
    </row>
    <row r="6993" spans="10:14" x14ac:dyDescent="0.4">
      <c r="J6993" s="140"/>
      <c r="N6993" s="211"/>
    </row>
    <row r="6994" spans="10:14" x14ac:dyDescent="0.4">
      <c r="J6994" s="140"/>
      <c r="N6994" s="211"/>
    </row>
    <row r="6995" spans="10:14" x14ac:dyDescent="0.4">
      <c r="J6995" s="140"/>
      <c r="N6995" s="211"/>
    </row>
    <row r="6996" spans="10:14" x14ac:dyDescent="0.4">
      <c r="J6996" s="140"/>
      <c r="N6996" s="211"/>
    </row>
    <row r="6997" spans="10:14" x14ac:dyDescent="0.4">
      <c r="J6997" s="140"/>
      <c r="N6997" s="211"/>
    </row>
    <row r="6998" spans="10:14" x14ac:dyDescent="0.4">
      <c r="J6998" s="140"/>
      <c r="N6998" s="211"/>
    </row>
    <row r="6999" spans="10:14" x14ac:dyDescent="0.4">
      <c r="J6999" s="140"/>
      <c r="N6999" s="211"/>
    </row>
    <row r="7000" spans="10:14" x14ac:dyDescent="0.4">
      <c r="J7000" s="140"/>
      <c r="N7000" s="211"/>
    </row>
    <row r="7001" spans="10:14" x14ac:dyDescent="0.4">
      <c r="J7001" s="140"/>
      <c r="N7001" s="211"/>
    </row>
    <row r="7002" spans="10:14" x14ac:dyDescent="0.4">
      <c r="J7002" s="140"/>
      <c r="N7002" s="211"/>
    </row>
    <row r="7003" spans="10:14" x14ac:dyDescent="0.4">
      <c r="J7003" s="140"/>
      <c r="N7003" s="211"/>
    </row>
    <row r="7004" spans="10:14" x14ac:dyDescent="0.4">
      <c r="J7004" s="140"/>
      <c r="N7004" s="211"/>
    </row>
    <row r="7005" spans="10:14" x14ac:dyDescent="0.4">
      <c r="J7005" s="140"/>
      <c r="N7005" s="211"/>
    </row>
    <row r="7006" spans="10:14" x14ac:dyDescent="0.4">
      <c r="J7006" s="140"/>
      <c r="N7006" s="211"/>
    </row>
    <row r="7007" spans="10:14" x14ac:dyDescent="0.4">
      <c r="J7007" s="140"/>
      <c r="N7007" s="211"/>
    </row>
    <row r="7008" spans="10:14" x14ac:dyDescent="0.4">
      <c r="J7008" s="140"/>
      <c r="N7008" s="211"/>
    </row>
    <row r="7009" spans="10:14" x14ac:dyDescent="0.4">
      <c r="J7009" s="140"/>
      <c r="N7009" s="211"/>
    </row>
    <row r="7010" spans="10:14" x14ac:dyDescent="0.4">
      <c r="J7010" s="140"/>
      <c r="N7010" s="211"/>
    </row>
    <row r="7011" spans="10:14" x14ac:dyDescent="0.4">
      <c r="J7011" s="140"/>
      <c r="N7011" s="211"/>
    </row>
    <row r="7012" spans="10:14" x14ac:dyDescent="0.4">
      <c r="J7012" s="140"/>
      <c r="N7012" s="211"/>
    </row>
    <row r="7013" spans="10:14" x14ac:dyDescent="0.4">
      <c r="J7013" s="140"/>
      <c r="N7013" s="211"/>
    </row>
    <row r="7014" spans="10:14" x14ac:dyDescent="0.4">
      <c r="J7014" s="140"/>
      <c r="N7014" s="211"/>
    </row>
    <row r="7015" spans="10:14" x14ac:dyDescent="0.4">
      <c r="J7015" s="140"/>
      <c r="N7015" s="211"/>
    </row>
    <row r="7016" spans="10:14" x14ac:dyDescent="0.4">
      <c r="J7016" s="140"/>
      <c r="N7016" s="211"/>
    </row>
    <row r="7017" spans="10:14" x14ac:dyDescent="0.4">
      <c r="J7017" s="140"/>
      <c r="N7017" s="211"/>
    </row>
    <row r="7018" spans="10:14" x14ac:dyDescent="0.4">
      <c r="J7018" s="140"/>
      <c r="N7018" s="211"/>
    </row>
    <row r="7019" spans="10:14" x14ac:dyDescent="0.4">
      <c r="J7019" s="140"/>
      <c r="N7019" s="211"/>
    </row>
    <row r="7020" spans="10:14" x14ac:dyDescent="0.4">
      <c r="J7020" s="140"/>
      <c r="N7020" s="211"/>
    </row>
    <row r="7021" spans="10:14" x14ac:dyDescent="0.4">
      <c r="J7021" s="140"/>
      <c r="N7021" s="211"/>
    </row>
    <row r="7022" spans="10:14" x14ac:dyDescent="0.4">
      <c r="J7022" s="140"/>
      <c r="N7022" s="211"/>
    </row>
    <row r="7023" spans="10:14" x14ac:dyDescent="0.4">
      <c r="J7023" s="140"/>
      <c r="N7023" s="211"/>
    </row>
    <row r="7024" spans="10:14" x14ac:dyDescent="0.4">
      <c r="J7024" s="140"/>
      <c r="N7024" s="211"/>
    </row>
    <row r="7025" spans="10:14" x14ac:dyDescent="0.4">
      <c r="J7025" s="140"/>
      <c r="N7025" s="211"/>
    </row>
    <row r="7026" spans="10:14" x14ac:dyDescent="0.4">
      <c r="J7026" s="140"/>
      <c r="N7026" s="211"/>
    </row>
    <row r="7027" spans="10:14" x14ac:dyDescent="0.4">
      <c r="J7027" s="140"/>
      <c r="N7027" s="211"/>
    </row>
    <row r="7028" spans="10:14" x14ac:dyDescent="0.4">
      <c r="J7028" s="140"/>
      <c r="N7028" s="211"/>
    </row>
    <row r="7029" spans="10:14" x14ac:dyDescent="0.4">
      <c r="J7029" s="140"/>
      <c r="N7029" s="211"/>
    </row>
    <row r="7030" spans="10:14" x14ac:dyDescent="0.4">
      <c r="J7030" s="140"/>
      <c r="N7030" s="211"/>
    </row>
    <row r="7031" spans="10:14" x14ac:dyDescent="0.4">
      <c r="J7031" s="140"/>
      <c r="N7031" s="211"/>
    </row>
    <row r="7032" spans="10:14" x14ac:dyDescent="0.4">
      <c r="J7032" s="140"/>
      <c r="N7032" s="211"/>
    </row>
    <row r="7033" spans="10:14" x14ac:dyDescent="0.4">
      <c r="J7033" s="140"/>
      <c r="N7033" s="211"/>
    </row>
    <row r="7034" spans="10:14" x14ac:dyDescent="0.4">
      <c r="J7034" s="140"/>
      <c r="N7034" s="211"/>
    </row>
    <row r="7035" spans="10:14" x14ac:dyDescent="0.4">
      <c r="J7035" s="140"/>
      <c r="N7035" s="211"/>
    </row>
    <row r="7036" spans="10:14" x14ac:dyDescent="0.4">
      <c r="J7036" s="140"/>
      <c r="N7036" s="211"/>
    </row>
    <row r="7037" spans="10:14" x14ac:dyDescent="0.4">
      <c r="J7037" s="140"/>
      <c r="N7037" s="211"/>
    </row>
    <row r="7038" spans="10:14" x14ac:dyDescent="0.4">
      <c r="J7038" s="140"/>
      <c r="N7038" s="211"/>
    </row>
    <row r="7039" spans="10:14" x14ac:dyDescent="0.4">
      <c r="J7039" s="140"/>
      <c r="N7039" s="211"/>
    </row>
    <row r="7040" spans="10:14" x14ac:dyDescent="0.4">
      <c r="J7040" s="140"/>
      <c r="N7040" s="211"/>
    </row>
    <row r="7041" spans="10:14" x14ac:dyDescent="0.4">
      <c r="J7041" s="140"/>
      <c r="N7041" s="211"/>
    </row>
    <row r="7042" spans="10:14" x14ac:dyDescent="0.4">
      <c r="J7042" s="140"/>
      <c r="N7042" s="211"/>
    </row>
    <row r="7043" spans="10:14" x14ac:dyDescent="0.4">
      <c r="J7043" s="140"/>
      <c r="N7043" s="211"/>
    </row>
    <row r="7044" spans="10:14" x14ac:dyDescent="0.4">
      <c r="J7044" s="140"/>
      <c r="N7044" s="211"/>
    </row>
    <row r="7045" spans="10:14" x14ac:dyDescent="0.4">
      <c r="J7045" s="140"/>
      <c r="N7045" s="211"/>
    </row>
    <row r="7046" spans="10:14" x14ac:dyDescent="0.4">
      <c r="J7046" s="140"/>
      <c r="N7046" s="211"/>
    </row>
    <row r="7047" spans="10:14" x14ac:dyDescent="0.4">
      <c r="J7047" s="140"/>
      <c r="N7047" s="211"/>
    </row>
    <row r="7048" spans="10:14" x14ac:dyDescent="0.4">
      <c r="J7048" s="140"/>
      <c r="N7048" s="211"/>
    </row>
    <row r="7049" spans="10:14" x14ac:dyDescent="0.4">
      <c r="J7049" s="140"/>
      <c r="N7049" s="211"/>
    </row>
    <row r="7050" spans="10:14" x14ac:dyDescent="0.4">
      <c r="J7050" s="140"/>
      <c r="N7050" s="211"/>
    </row>
    <row r="7051" spans="10:14" x14ac:dyDescent="0.4">
      <c r="J7051" s="140"/>
      <c r="N7051" s="211"/>
    </row>
    <row r="7052" spans="10:14" x14ac:dyDescent="0.4">
      <c r="J7052" s="140"/>
      <c r="N7052" s="211"/>
    </row>
    <row r="7053" spans="10:14" x14ac:dyDescent="0.4">
      <c r="J7053" s="140"/>
      <c r="N7053" s="211"/>
    </row>
    <row r="7054" spans="10:14" x14ac:dyDescent="0.4">
      <c r="J7054" s="140"/>
      <c r="N7054" s="211"/>
    </row>
    <row r="7055" spans="10:14" x14ac:dyDescent="0.4">
      <c r="J7055" s="140"/>
      <c r="N7055" s="211"/>
    </row>
    <row r="7056" spans="10:14" x14ac:dyDescent="0.4">
      <c r="J7056" s="140"/>
      <c r="N7056" s="211"/>
    </row>
    <row r="7057" spans="10:14" x14ac:dyDescent="0.4">
      <c r="J7057" s="140"/>
      <c r="N7057" s="211"/>
    </row>
    <row r="7058" spans="10:14" x14ac:dyDescent="0.4">
      <c r="J7058" s="140"/>
      <c r="N7058" s="211"/>
    </row>
    <row r="7059" spans="10:14" x14ac:dyDescent="0.4">
      <c r="J7059" s="140"/>
      <c r="N7059" s="211"/>
    </row>
    <row r="7060" spans="10:14" x14ac:dyDescent="0.4">
      <c r="J7060" s="140"/>
      <c r="N7060" s="211"/>
    </row>
    <row r="7061" spans="10:14" x14ac:dyDescent="0.4">
      <c r="J7061" s="140"/>
      <c r="N7061" s="211"/>
    </row>
    <row r="7062" spans="10:14" x14ac:dyDescent="0.4">
      <c r="J7062" s="140"/>
      <c r="N7062" s="211"/>
    </row>
    <row r="7063" spans="10:14" x14ac:dyDescent="0.4">
      <c r="J7063" s="140"/>
      <c r="N7063" s="211"/>
    </row>
    <row r="7064" spans="10:14" x14ac:dyDescent="0.4">
      <c r="J7064" s="140"/>
      <c r="N7064" s="211"/>
    </row>
    <row r="7065" spans="10:14" x14ac:dyDescent="0.4">
      <c r="J7065" s="140"/>
      <c r="N7065" s="211"/>
    </row>
    <row r="7066" spans="10:14" x14ac:dyDescent="0.4">
      <c r="J7066" s="140"/>
      <c r="N7066" s="211"/>
    </row>
    <row r="7067" spans="10:14" x14ac:dyDescent="0.4">
      <c r="J7067" s="140"/>
      <c r="N7067" s="211"/>
    </row>
    <row r="7068" spans="10:14" x14ac:dyDescent="0.4">
      <c r="J7068" s="140"/>
      <c r="N7068" s="211"/>
    </row>
    <row r="7069" spans="10:14" x14ac:dyDescent="0.4">
      <c r="J7069" s="140"/>
      <c r="N7069" s="211"/>
    </row>
    <row r="7070" spans="10:14" x14ac:dyDescent="0.4">
      <c r="J7070" s="140"/>
      <c r="N7070" s="211"/>
    </row>
    <row r="7071" spans="10:14" x14ac:dyDescent="0.4">
      <c r="J7071" s="140"/>
      <c r="N7071" s="211"/>
    </row>
    <row r="7072" spans="10:14" x14ac:dyDescent="0.4">
      <c r="J7072" s="140"/>
      <c r="N7072" s="211"/>
    </row>
    <row r="7073" spans="10:14" x14ac:dyDescent="0.4">
      <c r="J7073" s="140"/>
      <c r="N7073" s="211"/>
    </row>
    <row r="7074" spans="10:14" x14ac:dyDescent="0.4">
      <c r="J7074" s="140"/>
      <c r="N7074" s="211"/>
    </row>
    <row r="7075" spans="10:14" x14ac:dyDescent="0.4">
      <c r="J7075" s="140"/>
      <c r="N7075" s="211"/>
    </row>
    <row r="7076" spans="10:14" x14ac:dyDescent="0.4">
      <c r="J7076" s="140"/>
      <c r="N7076" s="211"/>
    </row>
    <row r="7077" spans="10:14" x14ac:dyDescent="0.4">
      <c r="J7077" s="140"/>
      <c r="N7077" s="211"/>
    </row>
    <row r="7078" spans="10:14" x14ac:dyDescent="0.4">
      <c r="J7078" s="140"/>
      <c r="N7078" s="211"/>
    </row>
    <row r="7079" spans="10:14" x14ac:dyDescent="0.4">
      <c r="J7079" s="140"/>
      <c r="N7079" s="211"/>
    </row>
    <row r="7080" spans="10:14" x14ac:dyDescent="0.4">
      <c r="J7080" s="140"/>
      <c r="N7080" s="211"/>
    </row>
    <row r="7081" spans="10:14" x14ac:dyDescent="0.4">
      <c r="J7081" s="140"/>
      <c r="N7081" s="211"/>
    </row>
    <row r="7082" spans="10:14" x14ac:dyDescent="0.4">
      <c r="J7082" s="140"/>
      <c r="N7082" s="211"/>
    </row>
    <row r="7083" spans="10:14" x14ac:dyDescent="0.4">
      <c r="J7083" s="140"/>
      <c r="N7083" s="211"/>
    </row>
    <row r="7084" spans="10:14" x14ac:dyDescent="0.4">
      <c r="J7084" s="140"/>
      <c r="N7084" s="211"/>
    </row>
    <row r="7085" spans="10:14" x14ac:dyDescent="0.4">
      <c r="J7085" s="140"/>
      <c r="N7085" s="211"/>
    </row>
    <row r="7086" spans="10:14" x14ac:dyDescent="0.4">
      <c r="J7086" s="140"/>
      <c r="N7086" s="211"/>
    </row>
    <row r="7087" spans="10:14" x14ac:dyDescent="0.4">
      <c r="J7087" s="140"/>
      <c r="N7087" s="211"/>
    </row>
    <row r="7088" spans="10:14" x14ac:dyDescent="0.4">
      <c r="J7088" s="140"/>
      <c r="N7088" s="211"/>
    </row>
    <row r="7089" spans="10:14" x14ac:dyDescent="0.4">
      <c r="J7089" s="140"/>
      <c r="N7089" s="211"/>
    </row>
    <row r="7090" spans="10:14" x14ac:dyDescent="0.4">
      <c r="J7090" s="140"/>
      <c r="N7090" s="211"/>
    </row>
    <row r="7091" spans="10:14" x14ac:dyDescent="0.4">
      <c r="J7091" s="140"/>
      <c r="N7091" s="211"/>
    </row>
    <row r="7092" spans="10:14" x14ac:dyDescent="0.4">
      <c r="J7092" s="140"/>
      <c r="N7092" s="211"/>
    </row>
    <row r="7093" spans="10:14" x14ac:dyDescent="0.4">
      <c r="J7093" s="140"/>
      <c r="N7093" s="211"/>
    </row>
    <row r="7094" spans="10:14" x14ac:dyDescent="0.4">
      <c r="J7094" s="140"/>
      <c r="N7094" s="211"/>
    </row>
    <row r="7095" spans="10:14" x14ac:dyDescent="0.4">
      <c r="J7095" s="140"/>
      <c r="N7095" s="211"/>
    </row>
    <row r="7096" spans="10:14" x14ac:dyDescent="0.4">
      <c r="J7096" s="140"/>
      <c r="N7096" s="211"/>
    </row>
    <row r="7097" spans="10:14" x14ac:dyDescent="0.4">
      <c r="J7097" s="140"/>
      <c r="N7097" s="211"/>
    </row>
    <row r="7098" spans="10:14" x14ac:dyDescent="0.4">
      <c r="J7098" s="140"/>
      <c r="N7098" s="211"/>
    </row>
    <row r="7099" spans="10:14" x14ac:dyDescent="0.4">
      <c r="J7099" s="140"/>
      <c r="N7099" s="211"/>
    </row>
    <row r="7100" spans="10:14" x14ac:dyDescent="0.4">
      <c r="J7100" s="140"/>
      <c r="N7100" s="211"/>
    </row>
    <row r="7101" spans="10:14" x14ac:dyDescent="0.4">
      <c r="J7101" s="140"/>
      <c r="N7101" s="211"/>
    </row>
    <row r="7102" spans="10:14" x14ac:dyDescent="0.4">
      <c r="J7102" s="140"/>
      <c r="N7102" s="211"/>
    </row>
    <row r="7103" spans="10:14" x14ac:dyDescent="0.4">
      <c r="J7103" s="140"/>
      <c r="N7103" s="211"/>
    </row>
    <row r="7104" spans="10:14" x14ac:dyDescent="0.4">
      <c r="J7104" s="140"/>
      <c r="N7104" s="211"/>
    </row>
    <row r="7105" spans="10:14" x14ac:dyDescent="0.4">
      <c r="J7105" s="140"/>
      <c r="N7105" s="211"/>
    </row>
    <row r="7106" spans="10:14" x14ac:dyDescent="0.4">
      <c r="J7106" s="140"/>
      <c r="N7106" s="211"/>
    </row>
    <row r="7107" spans="10:14" x14ac:dyDescent="0.4">
      <c r="J7107" s="140"/>
      <c r="N7107" s="211"/>
    </row>
    <row r="7108" spans="10:14" x14ac:dyDescent="0.4">
      <c r="J7108" s="140"/>
      <c r="N7108" s="211"/>
    </row>
    <row r="7109" spans="10:14" x14ac:dyDescent="0.4">
      <c r="J7109" s="140"/>
      <c r="N7109" s="211"/>
    </row>
    <row r="7110" spans="10:14" x14ac:dyDescent="0.4">
      <c r="J7110" s="140"/>
      <c r="N7110" s="211"/>
    </row>
    <row r="7111" spans="10:14" x14ac:dyDescent="0.4">
      <c r="J7111" s="140"/>
      <c r="N7111" s="211"/>
    </row>
    <row r="7112" spans="10:14" x14ac:dyDescent="0.4">
      <c r="J7112" s="140"/>
      <c r="N7112" s="211"/>
    </row>
    <row r="7113" spans="10:14" x14ac:dyDescent="0.4">
      <c r="J7113" s="140"/>
      <c r="N7113" s="211"/>
    </row>
    <row r="7114" spans="10:14" x14ac:dyDescent="0.4">
      <c r="J7114" s="140"/>
      <c r="N7114" s="211"/>
    </row>
    <row r="7115" spans="10:14" x14ac:dyDescent="0.4">
      <c r="J7115" s="140"/>
      <c r="N7115" s="211"/>
    </row>
    <row r="7116" spans="10:14" x14ac:dyDescent="0.4">
      <c r="J7116" s="140"/>
      <c r="N7116" s="211"/>
    </row>
    <row r="7117" spans="10:14" x14ac:dyDescent="0.4">
      <c r="J7117" s="140"/>
      <c r="N7117" s="211"/>
    </row>
    <row r="7118" spans="10:14" x14ac:dyDescent="0.4">
      <c r="J7118" s="140"/>
      <c r="N7118" s="211"/>
    </row>
    <row r="7119" spans="10:14" x14ac:dyDescent="0.4">
      <c r="J7119" s="140"/>
      <c r="N7119" s="211"/>
    </row>
    <row r="7120" spans="10:14" x14ac:dyDescent="0.4">
      <c r="J7120" s="140"/>
      <c r="N7120" s="211"/>
    </row>
    <row r="7121" spans="10:14" x14ac:dyDescent="0.4">
      <c r="J7121" s="140"/>
      <c r="N7121" s="211"/>
    </row>
    <row r="7122" spans="10:14" x14ac:dyDescent="0.4">
      <c r="J7122" s="140"/>
      <c r="N7122" s="211"/>
    </row>
    <row r="7123" spans="10:14" x14ac:dyDescent="0.4">
      <c r="J7123" s="140"/>
      <c r="N7123" s="211"/>
    </row>
    <row r="7124" spans="10:14" x14ac:dyDescent="0.4">
      <c r="J7124" s="140"/>
      <c r="N7124" s="211"/>
    </row>
    <row r="7125" spans="10:14" x14ac:dyDescent="0.4">
      <c r="J7125" s="140"/>
      <c r="N7125" s="211"/>
    </row>
    <row r="7126" spans="10:14" x14ac:dyDescent="0.4">
      <c r="J7126" s="140"/>
      <c r="N7126" s="211"/>
    </row>
    <row r="7127" spans="10:14" x14ac:dyDescent="0.4">
      <c r="J7127" s="140"/>
      <c r="N7127" s="211"/>
    </row>
    <row r="7128" spans="10:14" x14ac:dyDescent="0.4">
      <c r="J7128" s="140"/>
      <c r="N7128" s="211"/>
    </row>
    <row r="7129" spans="10:14" x14ac:dyDescent="0.4">
      <c r="J7129" s="140"/>
      <c r="N7129" s="211"/>
    </row>
    <row r="7130" spans="10:14" x14ac:dyDescent="0.4">
      <c r="J7130" s="140"/>
      <c r="N7130" s="211"/>
    </row>
    <row r="7131" spans="10:14" x14ac:dyDescent="0.4">
      <c r="J7131" s="140"/>
      <c r="N7131" s="211"/>
    </row>
    <row r="7132" spans="10:14" x14ac:dyDescent="0.4">
      <c r="J7132" s="140"/>
      <c r="N7132" s="211"/>
    </row>
    <row r="7133" spans="10:14" x14ac:dyDescent="0.4">
      <c r="J7133" s="140"/>
      <c r="N7133" s="211"/>
    </row>
    <row r="7134" spans="10:14" x14ac:dyDescent="0.4">
      <c r="J7134" s="140"/>
      <c r="N7134" s="211"/>
    </row>
    <row r="7135" spans="10:14" x14ac:dyDescent="0.4">
      <c r="J7135" s="140"/>
      <c r="N7135" s="211"/>
    </row>
    <row r="7136" spans="10:14" x14ac:dyDescent="0.4">
      <c r="J7136" s="140"/>
      <c r="N7136" s="211"/>
    </row>
    <row r="7137" spans="10:14" x14ac:dyDescent="0.4">
      <c r="J7137" s="140"/>
      <c r="N7137" s="211"/>
    </row>
    <row r="7138" spans="10:14" x14ac:dyDescent="0.4">
      <c r="J7138" s="140"/>
      <c r="N7138" s="211"/>
    </row>
    <row r="7139" spans="10:14" x14ac:dyDescent="0.4">
      <c r="J7139" s="140"/>
      <c r="N7139" s="211"/>
    </row>
    <row r="7140" spans="10:14" x14ac:dyDescent="0.4">
      <c r="J7140" s="140"/>
      <c r="N7140" s="211"/>
    </row>
    <row r="7141" spans="10:14" x14ac:dyDescent="0.4">
      <c r="J7141" s="140"/>
      <c r="N7141" s="211"/>
    </row>
    <row r="7142" spans="10:14" x14ac:dyDescent="0.4">
      <c r="J7142" s="140"/>
      <c r="N7142" s="211"/>
    </row>
    <row r="7143" spans="10:14" x14ac:dyDescent="0.4">
      <c r="J7143" s="140"/>
      <c r="N7143" s="211"/>
    </row>
    <row r="7144" spans="10:14" x14ac:dyDescent="0.4">
      <c r="J7144" s="140"/>
      <c r="N7144" s="211"/>
    </row>
    <row r="7145" spans="10:14" x14ac:dyDescent="0.4">
      <c r="J7145" s="140"/>
      <c r="N7145" s="211"/>
    </row>
    <row r="7146" spans="10:14" x14ac:dyDescent="0.4">
      <c r="J7146" s="140"/>
      <c r="N7146" s="211"/>
    </row>
    <row r="7147" spans="10:14" x14ac:dyDescent="0.4">
      <c r="J7147" s="140"/>
      <c r="N7147" s="211"/>
    </row>
    <row r="7148" spans="10:14" x14ac:dyDescent="0.4">
      <c r="J7148" s="140"/>
      <c r="N7148" s="211"/>
    </row>
    <row r="7149" spans="10:14" x14ac:dyDescent="0.4">
      <c r="J7149" s="140"/>
      <c r="N7149" s="211"/>
    </row>
    <row r="7150" spans="10:14" x14ac:dyDescent="0.4">
      <c r="J7150" s="140"/>
      <c r="N7150" s="211"/>
    </row>
    <row r="7151" spans="10:14" x14ac:dyDescent="0.4">
      <c r="J7151" s="140"/>
      <c r="N7151" s="211"/>
    </row>
    <row r="7152" spans="10:14" x14ac:dyDescent="0.4">
      <c r="J7152" s="140"/>
      <c r="N7152" s="211"/>
    </row>
    <row r="7153" spans="10:14" x14ac:dyDescent="0.4">
      <c r="J7153" s="140"/>
      <c r="N7153" s="211"/>
    </row>
    <row r="7154" spans="10:14" x14ac:dyDescent="0.4">
      <c r="J7154" s="140"/>
      <c r="N7154" s="211"/>
    </row>
    <row r="7155" spans="10:14" x14ac:dyDescent="0.4">
      <c r="J7155" s="140"/>
      <c r="N7155" s="211"/>
    </row>
    <row r="7156" spans="10:14" x14ac:dyDescent="0.4">
      <c r="J7156" s="140"/>
      <c r="N7156" s="211"/>
    </row>
    <row r="7157" spans="10:14" x14ac:dyDescent="0.4">
      <c r="J7157" s="140"/>
      <c r="N7157" s="211"/>
    </row>
    <row r="7158" spans="10:14" x14ac:dyDescent="0.4">
      <c r="J7158" s="140"/>
      <c r="N7158" s="211"/>
    </row>
    <row r="7159" spans="10:14" x14ac:dyDescent="0.4">
      <c r="J7159" s="140"/>
      <c r="N7159" s="211"/>
    </row>
    <row r="7160" spans="10:14" x14ac:dyDescent="0.4">
      <c r="J7160" s="140"/>
      <c r="N7160" s="211"/>
    </row>
    <row r="7161" spans="10:14" x14ac:dyDescent="0.4">
      <c r="J7161" s="140"/>
      <c r="N7161" s="211"/>
    </row>
    <row r="7162" spans="10:14" x14ac:dyDescent="0.4">
      <c r="J7162" s="140"/>
      <c r="N7162" s="211"/>
    </row>
    <row r="7163" spans="10:14" x14ac:dyDescent="0.4">
      <c r="J7163" s="140"/>
      <c r="N7163" s="211"/>
    </row>
    <row r="7164" spans="10:14" x14ac:dyDescent="0.4">
      <c r="J7164" s="140"/>
      <c r="N7164" s="211"/>
    </row>
    <row r="7165" spans="10:14" x14ac:dyDescent="0.4">
      <c r="J7165" s="140"/>
      <c r="N7165" s="211"/>
    </row>
    <row r="7166" spans="10:14" x14ac:dyDescent="0.4">
      <c r="J7166" s="140"/>
      <c r="N7166" s="211"/>
    </row>
    <row r="7167" spans="10:14" x14ac:dyDescent="0.4">
      <c r="J7167" s="140"/>
      <c r="N7167" s="211"/>
    </row>
    <row r="7168" spans="10:14" x14ac:dyDescent="0.4">
      <c r="J7168" s="140"/>
      <c r="N7168" s="211"/>
    </row>
    <row r="7169" spans="10:14" x14ac:dyDescent="0.4">
      <c r="J7169" s="140"/>
      <c r="N7169" s="211"/>
    </row>
    <row r="7170" spans="10:14" x14ac:dyDescent="0.4">
      <c r="J7170" s="140"/>
      <c r="N7170" s="211"/>
    </row>
    <row r="7171" spans="10:14" x14ac:dyDescent="0.4">
      <c r="J7171" s="140"/>
      <c r="N7171" s="211"/>
    </row>
    <row r="7172" spans="10:14" x14ac:dyDescent="0.4">
      <c r="J7172" s="140"/>
      <c r="N7172" s="211"/>
    </row>
    <row r="7173" spans="10:14" x14ac:dyDescent="0.4">
      <c r="J7173" s="140"/>
      <c r="N7173" s="211"/>
    </row>
    <row r="7174" spans="10:14" x14ac:dyDescent="0.4">
      <c r="J7174" s="140"/>
      <c r="N7174" s="211"/>
    </row>
    <row r="7175" spans="10:14" x14ac:dyDescent="0.4">
      <c r="J7175" s="140"/>
      <c r="N7175" s="211"/>
    </row>
    <row r="7176" spans="10:14" x14ac:dyDescent="0.4">
      <c r="J7176" s="140"/>
      <c r="N7176" s="211"/>
    </row>
    <row r="7177" spans="10:14" x14ac:dyDescent="0.4">
      <c r="J7177" s="140"/>
      <c r="N7177" s="211"/>
    </row>
    <row r="7178" spans="10:14" x14ac:dyDescent="0.4">
      <c r="J7178" s="140"/>
      <c r="N7178" s="211"/>
    </row>
    <row r="7179" spans="10:14" x14ac:dyDescent="0.4">
      <c r="J7179" s="140"/>
      <c r="N7179" s="211"/>
    </row>
    <row r="7180" spans="10:14" x14ac:dyDescent="0.4">
      <c r="J7180" s="140"/>
      <c r="N7180" s="211"/>
    </row>
    <row r="7181" spans="10:14" x14ac:dyDescent="0.4">
      <c r="J7181" s="140"/>
      <c r="N7181" s="211"/>
    </row>
    <row r="7182" spans="10:14" x14ac:dyDescent="0.4">
      <c r="J7182" s="140"/>
      <c r="N7182" s="211"/>
    </row>
    <row r="7183" spans="10:14" x14ac:dyDescent="0.4">
      <c r="J7183" s="140"/>
      <c r="N7183" s="211"/>
    </row>
    <row r="7184" spans="10:14" x14ac:dyDescent="0.4">
      <c r="J7184" s="140"/>
      <c r="N7184" s="211"/>
    </row>
    <row r="7185" spans="10:14" x14ac:dyDescent="0.4">
      <c r="J7185" s="140"/>
      <c r="N7185" s="211"/>
    </row>
    <row r="7186" spans="10:14" x14ac:dyDescent="0.4">
      <c r="J7186" s="140"/>
      <c r="N7186" s="211"/>
    </row>
    <row r="7187" spans="10:14" x14ac:dyDescent="0.4">
      <c r="J7187" s="140"/>
      <c r="N7187" s="211"/>
    </row>
    <row r="7188" spans="10:14" x14ac:dyDescent="0.4">
      <c r="J7188" s="140"/>
      <c r="N7188" s="211"/>
    </row>
    <row r="7189" spans="10:14" x14ac:dyDescent="0.4">
      <c r="J7189" s="140"/>
      <c r="N7189" s="211"/>
    </row>
    <row r="7190" spans="10:14" x14ac:dyDescent="0.4">
      <c r="J7190" s="140"/>
      <c r="N7190" s="211"/>
    </row>
    <row r="7191" spans="10:14" x14ac:dyDescent="0.4">
      <c r="J7191" s="140"/>
      <c r="N7191" s="211"/>
    </row>
    <row r="7192" spans="10:14" x14ac:dyDescent="0.4">
      <c r="J7192" s="140"/>
      <c r="N7192" s="211"/>
    </row>
    <row r="7193" spans="10:14" x14ac:dyDescent="0.4">
      <c r="J7193" s="140"/>
      <c r="N7193" s="211"/>
    </row>
    <row r="7194" spans="10:14" x14ac:dyDescent="0.4">
      <c r="J7194" s="140"/>
      <c r="N7194" s="211"/>
    </row>
    <row r="7195" spans="10:14" x14ac:dyDescent="0.4">
      <c r="J7195" s="140"/>
      <c r="N7195" s="211"/>
    </row>
    <row r="7196" spans="10:14" x14ac:dyDescent="0.4">
      <c r="J7196" s="140"/>
      <c r="N7196" s="211"/>
    </row>
    <row r="7197" spans="10:14" x14ac:dyDescent="0.4">
      <c r="J7197" s="140"/>
      <c r="N7197" s="211"/>
    </row>
    <row r="7198" spans="10:14" x14ac:dyDescent="0.4">
      <c r="J7198" s="140"/>
      <c r="N7198" s="211"/>
    </row>
    <row r="7199" spans="10:14" x14ac:dyDescent="0.4">
      <c r="J7199" s="140"/>
      <c r="N7199" s="211"/>
    </row>
    <row r="7200" spans="10:14" x14ac:dyDescent="0.4">
      <c r="J7200" s="140"/>
      <c r="N7200" s="211"/>
    </row>
    <row r="7201" spans="10:14" x14ac:dyDescent="0.4">
      <c r="J7201" s="140"/>
      <c r="N7201" s="211"/>
    </row>
    <row r="7202" spans="10:14" x14ac:dyDescent="0.4">
      <c r="J7202" s="140"/>
      <c r="N7202" s="211"/>
    </row>
    <row r="7203" spans="10:14" x14ac:dyDescent="0.4">
      <c r="J7203" s="140"/>
      <c r="N7203" s="211"/>
    </row>
    <row r="7204" spans="10:14" x14ac:dyDescent="0.4">
      <c r="J7204" s="140"/>
      <c r="N7204" s="211"/>
    </row>
    <row r="7205" spans="10:14" x14ac:dyDescent="0.4">
      <c r="J7205" s="140"/>
      <c r="N7205" s="211"/>
    </row>
    <row r="7206" spans="10:14" x14ac:dyDescent="0.4">
      <c r="J7206" s="140"/>
      <c r="N7206" s="211"/>
    </row>
    <row r="7207" spans="10:14" x14ac:dyDescent="0.4">
      <c r="J7207" s="140"/>
      <c r="N7207" s="211"/>
    </row>
    <row r="7208" spans="10:14" x14ac:dyDescent="0.4">
      <c r="J7208" s="140"/>
      <c r="N7208" s="211"/>
    </row>
    <row r="7209" spans="10:14" x14ac:dyDescent="0.4">
      <c r="J7209" s="140"/>
      <c r="N7209" s="211"/>
    </row>
    <row r="7210" spans="10:14" x14ac:dyDescent="0.4">
      <c r="J7210" s="140"/>
      <c r="N7210" s="211"/>
    </row>
    <row r="7211" spans="10:14" x14ac:dyDescent="0.4">
      <c r="J7211" s="140"/>
      <c r="N7211" s="211"/>
    </row>
    <row r="7212" spans="10:14" x14ac:dyDescent="0.4">
      <c r="J7212" s="140"/>
      <c r="N7212" s="211"/>
    </row>
    <row r="7213" spans="10:14" x14ac:dyDescent="0.4">
      <c r="J7213" s="140"/>
      <c r="N7213" s="211"/>
    </row>
    <row r="7214" spans="10:14" x14ac:dyDescent="0.4">
      <c r="J7214" s="140"/>
      <c r="N7214" s="211"/>
    </row>
    <row r="7215" spans="10:14" x14ac:dyDescent="0.4">
      <c r="J7215" s="140"/>
      <c r="N7215" s="211"/>
    </row>
    <row r="7216" spans="10:14" x14ac:dyDescent="0.4">
      <c r="J7216" s="140"/>
      <c r="N7216" s="211"/>
    </row>
    <row r="7217" spans="10:14" x14ac:dyDescent="0.4">
      <c r="J7217" s="140"/>
      <c r="N7217" s="211"/>
    </row>
    <row r="7218" spans="10:14" x14ac:dyDescent="0.4">
      <c r="J7218" s="140"/>
      <c r="N7218" s="211"/>
    </row>
    <row r="7219" spans="10:14" x14ac:dyDescent="0.4">
      <c r="J7219" s="140"/>
      <c r="N7219" s="211"/>
    </row>
    <row r="7220" spans="10:14" x14ac:dyDescent="0.4">
      <c r="J7220" s="140"/>
      <c r="N7220" s="211"/>
    </row>
    <row r="7221" spans="10:14" x14ac:dyDescent="0.4">
      <c r="J7221" s="140"/>
      <c r="N7221" s="211"/>
    </row>
    <row r="7222" spans="10:14" x14ac:dyDescent="0.4">
      <c r="J7222" s="140"/>
      <c r="N7222" s="211"/>
    </row>
    <row r="7223" spans="10:14" x14ac:dyDescent="0.4">
      <c r="J7223" s="140"/>
      <c r="N7223" s="211"/>
    </row>
    <row r="7224" spans="10:14" x14ac:dyDescent="0.4">
      <c r="J7224" s="140"/>
      <c r="N7224" s="211"/>
    </row>
    <row r="7225" spans="10:14" x14ac:dyDescent="0.4">
      <c r="J7225" s="140"/>
      <c r="N7225" s="211"/>
    </row>
    <row r="7226" spans="10:14" x14ac:dyDescent="0.4">
      <c r="J7226" s="140"/>
      <c r="N7226" s="211"/>
    </row>
    <row r="7227" spans="10:14" x14ac:dyDescent="0.4">
      <c r="J7227" s="140"/>
      <c r="N7227" s="211"/>
    </row>
    <row r="7228" spans="10:14" x14ac:dyDescent="0.4">
      <c r="J7228" s="140"/>
      <c r="N7228" s="211"/>
    </row>
    <row r="7229" spans="10:14" x14ac:dyDescent="0.4">
      <c r="J7229" s="140"/>
      <c r="N7229" s="211"/>
    </row>
    <row r="7230" spans="10:14" x14ac:dyDescent="0.4">
      <c r="J7230" s="140"/>
      <c r="N7230" s="211"/>
    </row>
    <row r="7231" spans="10:14" x14ac:dyDescent="0.4">
      <c r="J7231" s="140"/>
      <c r="N7231" s="211"/>
    </row>
    <row r="7232" spans="10:14" x14ac:dyDescent="0.4">
      <c r="J7232" s="140"/>
      <c r="N7232" s="211"/>
    </row>
    <row r="7233" spans="10:14" x14ac:dyDescent="0.4">
      <c r="J7233" s="140"/>
      <c r="N7233" s="211"/>
    </row>
    <row r="7234" spans="10:14" x14ac:dyDescent="0.4">
      <c r="J7234" s="140"/>
      <c r="N7234" s="211"/>
    </row>
    <row r="7235" spans="10:14" x14ac:dyDescent="0.4">
      <c r="J7235" s="140"/>
      <c r="N7235" s="211"/>
    </row>
    <row r="7236" spans="10:14" x14ac:dyDescent="0.4">
      <c r="J7236" s="140"/>
      <c r="N7236" s="211"/>
    </row>
    <row r="7237" spans="10:14" x14ac:dyDescent="0.4">
      <c r="J7237" s="140"/>
      <c r="N7237" s="211"/>
    </row>
    <row r="7238" spans="10:14" x14ac:dyDescent="0.4">
      <c r="J7238" s="140"/>
      <c r="N7238" s="211"/>
    </row>
    <row r="7239" spans="10:14" x14ac:dyDescent="0.4">
      <c r="J7239" s="140"/>
      <c r="N7239" s="211"/>
    </row>
    <row r="7240" spans="10:14" x14ac:dyDescent="0.4">
      <c r="J7240" s="140"/>
      <c r="N7240" s="211"/>
    </row>
    <row r="7241" spans="10:14" x14ac:dyDescent="0.4">
      <c r="J7241" s="140"/>
      <c r="N7241" s="211"/>
    </row>
    <row r="7242" spans="10:14" x14ac:dyDescent="0.4">
      <c r="J7242" s="140"/>
      <c r="N7242" s="211"/>
    </row>
    <row r="7243" spans="10:14" x14ac:dyDescent="0.4">
      <c r="J7243" s="140"/>
      <c r="N7243" s="211"/>
    </row>
    <row r="7244" spans="10:14" x14ac:dyDescent="0.4">
      <c r="J7244" s="140"/>
      <c r="N7244" s="211"/>
    </row>
    <row r="7245" spans="10:14" x14ac:dyDescent="0.4">
      <c r="J7245" s="140"/>
      <c r="N7245" s="211"/>
    </row>
    <row r="7246" spans="10:14" x14ac:dyDescent="0.4">
      <c r="J7246" s="140"/>
      <c r="N7246" s="211"/>
    </row>
    <row r="7247" spans="10:14" x14ac:dyDescent="0.4">
      <c r="J7247" s="140"/>
      <c r="N7247" s="211"/>
    </row>
    <row r="7248" spans="10:14" x14ac:dyDescent="0.4">
      <c r="J7248" s="140"/>
      <c r="N7248" s="211"/>
    </row>
    <row r="7249" spans="10:14" x14ac:dyDescent="0.4">
      <c r="J7249" s="140"/>
      <c r="N7249" s="211"/>
    </row>
    <row r="7250" spans="10:14" x14ac:dyDescent="0.4">
      <c r="J7250" s="140"/>
      <c r="N7250" s="211"/>
    </row>
    <row r="7251" spans="10:14" x14ac:dyDescent="0.4">
      <c r="J7251" s="140"/>
      <c r="N7251" s="211"/>
    </row>
    <row r="7252" spans="10:14" x14ac:dyDescent="0.4">
      <c r="J7252" s="140"/>
      <c r="N7252" s="211"/>
    </row>
    <row r="7253" spans="10:14" x14ac:dyDescent="0.4">
      <c r="J7253" s="140"/>
      <c r="N7253" s="211"/>
    </row>
    <row r="7254" spans="10:14" x14ac:dyDescent="0.4">
      <c r="J7254" s="140"/>
      <c r="N7254" s="211"/>
    </row>
    <row r="7255" spans="10:14" x14ac:dyDescent="0.4">
      <c r="J7255" s="140"/>
      <c r="N7255" s="211"/>
    </row>
    <row r="7256" spans="10:14" x14ac:dyDescent="0.4">
      <c r="J7256" s="140"/>
      <c r="N7256" s="211"/>
    </row>
    <row r="7257" spans="10:14" x14ac:dyDescent="0.4">
      <c r="J7257" s="140"/>
      <c r="N7257" s="211"/>
    </row>
    <row r="7258" spans="10:14" x14ac:dyDescent="0.4">
      <c r="J7258" s="140"/>
      <c r="N7258" s="211"/>
    </row>
    <row r="7259" spans="10:14" x14ac:dyDescent="0.4">
      <c r="J7259" s="140"/>
      <c r="N7259" s="211"/>
    </row>
    <row r="7260" spans="10:14" x14ac:dyDescent="0.4">
      <c r="J7260" s="140"/>
      <c r="N7260" s="211"/>
    </row>
    <row r="7261" spans="10:14" x14ac:dyDescent="0.4">
      <c r="J7261" s="140"/>
      <c r="N7261" s="211"/>
    </row>
    <row r="7262" spans="10:14" x14ac:dyDescent="0.4">
      <c r="J7262" s="140"/>
      <c r="N7262" s="211"/>
    </row>
    <row r="7263" spans="10:14" x14ac:dyDescent="0.4">
      <c r="J7263" s="140"/>
      <c r="N7263" s="211"/>
    </row>
    <row r="7264" spans="10:14" x14ac:dyDescent="0.4">
      <c r="J7264" s="140"/>
      <c r="N7264" s="211"/>
    </row>
    <row r="7265" spans="10:14" x14ac:dyDescent="0.4">
      <c r="J7265" s="140"/>
      <c r="N7265" s="211"/>
    </row>
    <row r="7266" spans="10:14" x14ac:dyDescent="0.4">
      <c r="J7266" s="140"/>
      <c r="N7266" s="211"/>
    </row>
    <row r="7267" spans="10:14" x14ac:dyDescent="0.4">
      <c r="J7267" s="140"/>
      <c r="N7267" s="211"/>
    </row>
    <row r="7268" spans="10:14" x14ac:dyDescent="0.4">
      <c r="J7268" s="140"/>
      <c r="N7268" s="211"/>
    </row>
    <row r="7269" spans="10:14" x14ac:dyDescent="0.4">
      <c r="J7269" s="140"/>
      <c r="N7269" s="211"/>
    </row>
    <row r="7270" spans="10:14" x14ac:dyDescent="0.4">
      <c r="J7270" s="140"/>
      <c r="N7270" s="211"/>
    </row>
    <row r="7271" spans="10:14" x14ac:dyDescent="0.4">
      <c r="J7271" s="140"/>
      <c r="N7271" s="211"/>
    </row>
    <row r="7272" spans="10:14" x14ac:dyDescent="0.4">
      <c r="J7272" s="140"/>
      <c r="N7272" s="211"/>
    </row>
    <row r="7273" spans="10:14" x14ac:dyDescent="0.4">
      <c r="J7273" s="140"/>
      <c r="N7273" s="211"/>
    </row>
    <row r="7274" spans="10:14" x14ac:dyDescent="0.4">
      <c r="J7274" s="140"/>
      <c r="N7274" s="211"/>
    </row>
    <row r="7275" spans="10:14" x14ac:dyDescent="0.4">
      <c r="J7275" s="140"/>
      <c r="N7275" s="211"/>
    </row>
    <row r="7276" spans="10:14" x14ac:dyDescent="0.4">
      <c r="J7276" s="140"/>
      <c r="N7276" s="211"/>
    </row>
    <row r="7277" spans="10:14" x14ac:dyDescent="0.4">
      <c r="J7277" s="140"/>
      <c r="N7277" s="211"/>
    </row>
    <row r="7278" spans="10:14" x14ac:dyDescent="0.4">
      <c r="J7278" s="140"/>
      <c r="N7278" s="211"/>
    </row>
    <row r="7279" spans="10:14" x14ac:dyDescent="0.4">
      <c r="J7279" s="140"/>
      <c r="N7279" s="211"/>
    </row>
    <row r="7280" spans="10:14" x14ac:dyDescent="0.4">
      <c r="J7280" s="140"/>
      <c r="N7280" s="211"/>
    </row>
    <row r="7281" spans="10:14" x14ac:dyDescent="0.4">
      <c r="J7281" s="140"/>
      <c r="N7281" s="211"/>
    </row>
    <row r="7282" spans="10:14" x14ac:dyDescent="0.4">
      <c r="J7282" s="140"/>
      <c r="N7282" s="211"/>
    </row>
    <row r="7283" spans="10:14" x14ac:dyDescent="0.4">
      <c r="J7283" s="140"/>
      <c r="N7283" s="211"/>
    </row>
    <row r="7284" spans="10:14" x14ac:dyDescent="0.4">
      <c r="J7284" s="140"/>
      <c r="N7284" s="211"/>
    </row>
    <row r="7285" spans="10:14" x14ac:dyDescent="0.4">
      <c r="J7285" s="140"/>
      <c r="N7285" s="211"/>
    </row>
    <row r="7286" spans="10:14" x14ac:dyDescent="0.4">
      <c r="J7286" s="140"/>
      <c r="N7286" s="211"/>
    </row>
    <row r="7287" spans="10:14" x14ac:dyDescent="0.4">
      <c r="J7287" s="140"/>
      <c r="N7287" s="211"/>
    </row>
    <row r="7288" spans="10:14" x14ac:dyDescent="0.4">
      <c r="J7288" s="140"/>
      <c r="N7288" s="211"/>
    </row>
    <row r="7289" spans="10:14" x14ac:dyDescent="0.4">
      <c r="J7289" s="140"/>
      <c r="N7289" s="211"/>
    </row>
    <row r="7290" spans="10:14" x14ac:dyDescent="0.4">
      <c r="J7290" s="140"/>
      <c r="N7290" s="211"/>
    </row>
    <row r="7291" spans="10:14" x14ac:dyDescent="0.4">
      <c r="J7291" s="140"/>
      <c r="N7291" s="211"/>
    </row>
    <row r="7292" spans="10:14" x14ac:dyDescent="0.4">
      <c r="J7292" s="140"/>
      <c r="N7292" s="211"/>
    </row>
    <row r="7293" spans="10:14" x14ac:dyDescent="0.4">
      <c r="J7293" s="140"/>
      <c r="N7293" s="211"/>
    </row>
    <row r="7294" spans="10:14" x14ac:dyDescent="0.4">
      <c r="J7294" s="140"/>
      <c r="N7294" s="211"/>
    </row>
    <row r="7295" spans="10:14" x14ac:dyDescent="0.4">
      <c r="J7295" s="140"/>
      <c r="N7295" s="211"/>
    </row>
    <row r="7296" spans="10:14" x14ac:dyDescent="0.4">
      <c r="J7296" s="140"/>
      <c r="N7296" s="211"/>
    </row>
    <row r="7297" spans="10:14" x14ac:dyDescent="0.4">
      <c r="J7297" s="140"/>
      <c r="N7297" s="211"/>
    </row>
    <row r="7298" spans="10:14" x14ac:dyDescent="0.4">
      <c r="J7298" s="140"/>
      <c r="N7298" s="211"/>
    </row>
    <row r="7299" spans="10:14" x14ac:dyDescent="0.4">
      <c r="J7299" s="140"/>
      <c r="N7299" s="211"/>
    </row>
    <row r="7300" spans="10:14" x14ac:dyDescent="0.4">
      <c r="J7300" s="140"/>
      <c r="N7300" s="211"/>
    </row>
    <row r="7301" spans="10:14" x14ac:dyDescent="0.4">
      <c r="J7301" s="140"/>
      <c r="N7301" s="211"/>
    </row>
    <row r="7302" spans="10:14" x14ac:dyDescent="0.4">
      <c r="J7302" s="140"/>
      <c r="N7302" s="211"/>
    </row>
    <row r="7303" spans="10:14" x14ac:dyDescent="0.4">
      <c r="J7303" s="140"/>
      <c r="N7303" s="211"/>
    </row>
    <row r="7304" spans="10:14" x14ac:dyDescent="0.4">
      <c r="J7304" s="140"/>
      <c r="N7304" s="211"/>
    </row>
    <row r="7305" spans="10:14" x14ac:dyDescent="0.4">
      <c r="J7305" s="140"/>
      <c r="N7305" s="211"/>
    </row>
    <row r="7306" spans="10:14" x14ac:dyDescent="0.4">
      <c r="J7306" s="140"/>
      <c r="N7306" s="211"/>
    </row>
    <row r="7307" spans="10:14" x14ac:dyDescent="0.4">
      <c r="J7307" s="140"/>
      <c r="N7307" s="211"/>
    </row>
    <row r="7308" spans="10:14" x14ac:dyDescent="0.4">
      <c r="J7308" s="140"/>
      <c r="N7308" s="211"/>
    </row>
    <row r="7309" spans="10:14" x14ac:dyDescent="0.4">
      <c r="J7309" s="140"/>
      <c r="N7309" s="211"/>
    </row>
    <row r="7310" spans="10:14" x14ac:dyDescent="0.4">
      <c r="J7310" s="140"/>
      <c r="N7310" s="211"/>
    </row>
    <row r="7311" spans="10:14" x14ac:dyDescent="0.4">
      <c r="J7311" s="140"/>
      <c r="N7311" s="211"/>
    </row>
    <row r="7312" spans="10:14" x14ac:dyDescent="0.4">
      <c r="N7312" s="211"/>
    </row>
    <row r="7313" spans="14:14" x14ac:dyDescent="0.4">
      <c r="N7313" s="211"/>
    </row>
    <row r="7314" spans="14:14" x14ac:dyDescent="0.4">
      <c r="N7314" s="211"/>
    </row>
    <row r="7315" spans="14:14" x14ac:dyDescent="0.4">
      <c r="N7315" s="211"/>
    </row>
    <row r="7316" spans="14:14" x14ac:dyDescent="0.4">
      <c r="N7316" s="211"/>
    </row>
    <row r="7317" spans="14:14" x14ac:dyDescent="0.4">
      <c r="N7317" s="211"/>
    </row>
    <row r="7318" spans="14:14" x14ac:dyDescent="0.4">
      <c r="N7318" s="211"/>
    </row>
    <row r="7319" spans="14:14" x14ac:dyDescent="0.4">
      <c r="N7319" s="211"/>
    </row>
    <row r="7320" spans="14:14" x14ac:dyDescent="0.4">
      <c r="N7320" s="211"/>
    </row>
    <row r="7321" spans="14:14" x14ac:dyDescent="0.4">
      <c r="N7321" s="211"/>
    </row>
    <row r="7322" spans="14:14" x14ac:dyDescent="0.4">
      <c r="N7322" s="211"/>
    </row>
    <row r="7323" spans="14:14" x14ac:dyDescent="0.4">
      <c r="N7323" s="211"/>
    </row>
    <row r="7324" spans="14:14" x14ac:dyDescent="0.4">
      <c r="N7324" s="211"/>
    </row>
    <row r="7325" spans="14:14" x14ac:dyDescent="0.4">
      <c r="N7325" s="211"/>
    </row>
    <row r="7326" spans="14:14" x14ac:dyDescent="0.4">
      <c r="N7326" s="211"/>
    </row>
    <row r="7327" spans="14:14" x14ac:dyDescent="0.4">
      <c r="N7327" s="211"/>
    </row>
    <row r="7328" spans="14:14" x14ac:dyDescent="0.4">
      <c r="N7328" s="211"/>
    </row>
    <row r="7329" spans="14:14" x14ac:dyDescent="0.4">
      <c r="N7329" s="211"/>
    </row>
    <row r="7330" spans="14:14" x14ac:dyDescent="0.4">
      <c r="N7330" s="211"/>
    </row>
    <row r="7331" spans="14:14" x14ac:dyDescent="0.4">
      <c r="N7331" s="211"/>
    </row>
    <row r="7332" spans="14:14" x14ac:dyDescent="0.4">
      <c r="N7332" s="211"/>
    </row>
    <row r="7333" spans="14:14" x14ac:dyDescent="0.4">
      <c r="N7333" s="211"/>
    </row>
    <row r="7334" spans="14:14" x14ac:dyDescent="0.4">
      <c r="N7334" s="211"/>
    </row>
    <row r="7335" spans="14:14" x14ac:dyDescent="0.4">
      <c r="N7335" s="211"/>
    </row>
    <row r="7336" spans="14:14" x14ac:dyDescent="0.4">
      <c r="N7336" s="211"/>
    </row>
    <row r="7337" spans="14:14" x14ac:dyDescent="0.4">
      <c r="N7337" s="211"/>
    </row>
    <row r="7338" spans="14:14" x14ac:dyDescent="0.4">
      <c r="N7338" s="211"/>
    </row>
    <row r="7339" spans="14:14" x14ac:dyDescent="0.4">
      <c r="N7339" s="211"/>
    </row>
    <row r="7340" spans="14:14" x14ac:dyDescent="0.4">
      <c r="N7340" s="211"/>
    </row>
    <row r="7341" spans="14:14" x14ac:dyDescent="0.4">
      <c r="N7341" s="211"/>
    </row>
    <row r="7342" spans="14:14" x14ac:dyDescent="0.4">
      <c r="N7342" s="211"/>
    </row>
    <row r="7343" spans="14:14" x14ac:dyDescent="0.4">
      <c r="N7343" s="211"/>
    </row>
    <row r="7344" spans="14:14" x14ac:dyDescent="0.4">
      <c r="N7344" s="211"/>
    </row>
    <row r="7345" spans="14:14" x14ac:dyDescent="0.4">
      <c r="N7345" s="211"/>
    </row>
    <row r="7346" spans="14:14" x14ac:dyDescent="0.4">
      <c r="N7346" s="211"/>
    </row>
    <row r="7347" spans="14:14" x14ac:dyDescent="0.4">
      <c r="N7347" s="211"/>
    </row>
    <row r="7348" spans="14:14" x14ac:dyDescent="0.4">
      <c r="N7348" s="211"/>
    </row>
    <row r="7349" spans="14:14" x14ac:dyDescent="0.4">
      <c r="N7349" s="211"/>
    </row>
    <row r="7350" spans="14:14" x14ac:dyDescent="0.4">
      <c r="N7350" s="211"/>
    </row>
    <row r="7351" spans="14:14" x14ac:dyDescent="0.4">
      <c r="N7351" s="211"/>
    </row>
    <row r="7352" spans="14:14" x14ac:dyDescent="0.4">
      <c r="N7352" s="211"/>
    </row>
    <row r="7353" spans="14:14" x14ac:dyDescent="0.4">
      <c r="N7353" s="211"/>
    </row>
    <row r="7354" spans="14:14" x14ac:dyDescent="0.4">
      <c r="N7354" s="211"/>
    </row>
    <row r="7355" spans="14:14" x14ac:dyDescent="0.4">
      <c r="N7355" s="211"/>
    </row>
    <row r="7356" spans="14:14" x14ac:dyDescent="0.4">
      <c r="N7356" s="211"/>
    </row>
    <row r="7357" spans="14:14" x14ac:dyDescent="0.4">
      <c r="N7357" s="211"/>
    </row>
    <row r="7358" spans="14:14" x14ac:dyDescent="0.4">
      <c r="N7358" s="211"/>
    </row>
    <row r="7359" spans="14:14" x14ac:dyDescent="0.4">
      <c r="N7359" s="211"/>
    </row>
    <row r="7360" spans="14:14" x14ac:dyDescent="0.4">
      <c r="N7360" s="211"/>
    </row>
    <row r="7361" spans="14:14" x14ac:dyDescent="0.4">
      <c r="N7361" s="211"/>
    </row>
    <row r="7362" spans="14:14" x14ac:dyDescent="0.4">
      <c r="N7362" s="211"/>
    </row>
    <row r="7363" spans="14:14" x14ac:dyDescent="0.4">
      <c r="N7363" s="211"/>
    </row>
    <row r="7364" spans="14:14" x14ac:dyDescent="0.4">
      <c r="N7364" s="211"/>
    </row>
    <row r="7365" spans="14:14" x14ac:dyDescent="0.4">
      <c r="N7365" s="211"/>
    </row>
    <row r="7366" spans="14:14" x14ac:dyDescent="0.4">
      <c r="N7366" s="211"/>
    </row>
    <row r="7367" spans="14:14" x14ac:dyDescent="0.4">
      <c r="N7367" s="211"/>
    </row>
    <row r="7368" spans="14:14" x14ac:dyDescent="0.4">
      <c r="N7368" s="211"/>
    </row>
    <row r="7369" spans="14:14" x14ac:dyDescent="0.4">
      <c r="N7369" s="211"/>
    </row>
    <row r="7370" spans="14:14" x14ac:dyDescent="0.4">
      <c r="N7370" s="211"/>
    </row>
    <row r="7371" spans="14:14" x14ac:dyDescent="0.4">
      <c r="N7371" s="211"/>
    </row>
    <row r="7372" spans="14:14" x14ac:dyDescent="0.4">
      <c r="N7372" s="211"/>
    </row>
    <row r="7373" spans="14:14" x14ac:dyDescent="0.4">
      <c r="N7373" s="211"/>
    </row>
    <row r="7374" spans="14:14" x14ac:dyDescent="0.4">
      <c r="N7374" s="211"/>
    </row>
    <row r="7375" spans="14:14" x14ac:dyDescent="0.4">
      <c r="N7375" s="211"/>
    </row>
    <row r="7376" spans="14:14" x14ac:dyDescent="0.4">
      <c r="N7376" s="211"/>
    </row>
    <row r="7377" spans="14:14" x14ac:dyDescent="0.4">
      <c r="N7377" s="211"/>
    </row>
    <row r="7378" spans="14:14" x14ac:dyDescent="0.4">
      <c r="N7378" s="211"/>
    </row>
    <row r="7379" spans="14:14" x14ac:dyDescent="0.4">
      <c r="N7379" s="211"/>
    </row>
    <row r="7380" spans="14:14" x14ac:dyDescent="0.4">
      <c r="N7380" s="211"/>
    </row>
    <row r="7381" spans="14:14" x14ac:dyDescent="0.4">
      <c r="N7381" s="211"/>
    </row>
    <row r="7382" spans="14:14" x14ac:dyDescent="0.4">
      <c r="N7382" s="211"/>
    </row>
    <row r="7383" spans="14:14" x14ac:dyDescent="0.4">
      <c r="N7383" s="211"/>
    </row>
    <row r="7384" spans="14:14" x14ac:dyDescent="0.4">
      <c r="N7384" s="211"/>
    </row>
    <row r="7385" spans="14:14" x14ac:dyDescent="0.4">
      <c r="N7385" s="211"/>
    </row>
    <row r="7386" spans="14:14" x14ac:dyDescent="0.4">
      <c r="N7386" s="211"/>
    </row>
    <row r="7387" spans="14:14" x14ac:dyDescent="0.4">
      <c r="N7387" s="211"/>
    </row>
    <row r="7388" spans="14:14" x14ac:dyDescent="0.4">
      <c r="N7388" s="211"/>
    </row>
    <row r="7389" spans="14:14" x14ac:dyDescent="0.4">
      <c r="N7389" s="211"/>
    </row>
    <row r="7390" spans="14:14" x14ac:dyDescent="0.4">
      <c r="N7390" s="211"/>
    </row>
    <row r="7391" spans="14:14" x14ac:dyDescent="0.4">
      <c r="N7391" s="211"/>
    </row>
    <row r="7392" spans="14:14" x14ac:dyDescent="0.4">
      <c r="N7392" s="211"/>
    </row>
    <row r="7393" spans="14:14" x14ac:dyDescent="0.4">
      <c r="N7393" s="211"/>
    </row>
    <row r="7394" spans="14:14" x14ac:dyDescent="0.4">
      <c r="N7394" s="211"/>
    </row>
    <row r="7395" spans="14:14" x14ac:dyDescent="0.4">
      <c r="N7395" s="211"/>
    </row>
    <row r="7396" spans="14:14" x14ac:dyDescent="0.4">
      <c r="N7396" s="211"/>
    </row>
    <row r="7397" spans="14:14" x14ac:dyDescent="0.4">
      <c r="N7397" s="211"/>
    </row>
    <row r="7398" spans="14:14" x14ac:dyDescent="0.4">
      <c r="N7398" s="211"/>
    </row>
    <row r="7399" spans="14:14" x14ac:dyDescent="0.4">
      <c r="N7399" s="211"/>
    </row>
    <row r="7400" spans="14:14" x14ac:dyDescent="0.4">
      <c r="N7400" s="211"/>
    </row>
    <row r="7401" spans="14:14" x14ac:dyDescent="0.4">
      <c r="N7401" s="211"/>
    </row>
    <row r="7402" spans="14:14" x14ac:dyDescent="0.4">
      <c r="N7402" s="211"/>
    </row>
    <row r="7403" spans="14:14" x14ac:dyDescent="0.4">
      <c r="N7403" s="211"/>
    </row>
    <row r="7404" spans="14:14" x14ac:dyDescent="0.4">
      <c r="N7404" s="211"/>
    </row>
    <row r="7405" spans="14:14" x14ac:dyDescent="0.4">
      <c r="N7405" s="211"/>
    </row>
    <row r="7406" spans="14:14" x14ac:dyDescent="0.4">
      <c r="N7406" s="211"/>
    </row>
    <row r="7407" spans="14:14" x14ac:dyDescent="0.4">
      <c r="N7407" s="211"/>
    </row>
    <row r="7408" spans="14:14" x14ac:dyDescent="0.4">
      <c r="N7408" s="211"/>
    </row>
    <row r="7409" spans="14:14" x14ac:dyDescent="0.4">
      <c r="N7409" s="211"/>
    </row>
    <row r="7410" spans="14:14" x14ac:dyDescent="0.4">
      <c r="N7410" s="211"/>
    </row>
    <row r="7411" spans="14:14" x14ac:dyDescent="0.4">
      <c r="N7411" s="211"/>
    </row>
    <row r="7412" spans="14:14" x14ac:dyDescent="0.4">
      <c r="N7412" s="211"/>
    </row>
    <row r="7413" spans="14:14" x14ac:dyDescent="0.4">
      <c r="N7413" s="211"/>
    </row>
    <row r="7414" spans="14:14" x14ac:dyDescent="0.4">
      <c r="N7414" s="211"/>
    </row>
    <row r="7415" spans="14:14" x14ac:dyDescent="0.4">
      <c r="N7415" s="211"/>
    </row>
    <row r="7416" spans="14:14" x14ac:dyDescent="0.4">
      <c r="N7416" s="211"/>
    </row>
    <row r="7417" spans="14:14" x14ac:dyDescent="0.4">
      <c r="N7417" s="211"/>
    </row>
    <row r="7418" spans="14:14" x14ac:dyDescent="0.4">
      <c r="N7418" s="211"/>
    </row>
    <row r="7419" spans="14:14" x14ac:dyDescent="0.4">
      <c r="N7419" s="211"/>
    </row>
    <row r="7420" spans="14:14" x14ac:dyDescent="0.4">
      <c r="N7420" s="211"/>
    </row>
    <row r="7421" spans="14:14" x14ac:dyDescent="0.4">
      <c r="N7421" s="211"/>
    </row>
    <row r="7422" spans="14:14" x14ac:dyDescent="0.4">
      <c r="N7422" s="211"/>
    </row>
    <row r="7423" spans="14:14" x14ac:dyDescent="0.4">
      <c r="N7423" s="211"/>
    </row>
    <row r="7424" spans="14:14" x14ac:dyDescent="0.4">
      <c r="N7424" s="211"/>
    </row>
    <row r="7425" spans="14:14" x14ac:dyDescent="0.4">
      <c r="N7425" s="211"/>
    </row>
    <row r="7426" spans="14:14" x14ac:dyDescent="0.4">
      <c r="N7426" s="211"/>
    </row>
    <row r="7427" spans="14:14" x14ac:dyDescent="0.4">
      <c r="N7427" s="211"/>
    </row>
    <row r="7428" spans="14:14" x14ac:dyDescent="0.4">
      <c r="N7428" s="211"/>
    </row>
    <row r="7429" spans="14:14" x14ac:dyDescent="0.4">
      <c r="N7429" s="211"/>
    </row>
    <row r="7430" spans="14:14" x14ac:dyDescent="0.4">
      <c r="N7430" s="211"/>
    </row>
    <row r="7431" spans="14:14" x14ac:dyDescent="0.4">
      <c r="N7431" s="211"/>
    </row>
    <row r="7432" spans="14:14" x14ac:dyDescent="0.4">
      <c r="N7432" s="211"/>
    </row>
    <row r="7433" spans="14:14" x14ac:dyDescent="0.4">
      <c r="N7433" s="211"/>
    </row>
    <row r="7434" spans="14:14" x14ac:dyDescent="0.4">
      <c r="N7434" s="211"/>
    </row>
    <row r="7435" spans="14:14" x14ac:dyDescent="0.4">
      <c r="N7435" s="211"/>
    </row>
    <row r="7436" spans="14:14" x14ac:dyDescent="0.4">
      <c r="N7436" s="211"/>
    </row>
    <row r="7437" spans="14:14" x14ac:dyDescent="0.4">
      <c r="N7437" s="211"/>
    </row>
    <row r="7438" spans="14:14" x14ac:dyDescent="0.4">
      <c r="N7438" s="211"/>
    </row>
    <row r="7439" spans="14:14" x14ac:dyDescent="0.4">
      <c r="N7439" s="211"/>
    </row>
    <row r="7440" spans="14:14" x14ac:dyDescent="0.4">
      <c r="N7440" s="211"/>
    </row>
    <row r="7441" spans="14:14" x14ac:dyDescent="0.4">
      <c r="N7441" s="211"/>
    </row>
    <row r="7442" spans="14:14" x14ac:dyDescent="0.4">
      <c r="N7442" s="211"/>
    </row>
    <row r="7443" spans="14:14" x14ac:dyDescent="0.4">
      <c r="N7443" s="211"/>
    </row>
    <row r="7444" spans="14:14" x14ac:dyDescent="0.4">
      <c r="N7444" s="211"/>
    </row>
    <row r="7445" spans="14:14" x14ac:dyDescent="0.4">
      <c r="N7445" s="211"/>
    </row>
    <row r="7446" spans="14:14" x14ac:dyDescent="0.4">
      <c r="N7446" s="211"/>
    </row>
    <row r="7447" spans="14:14" x14ac:dyDescent="0.4">
      <c r="N7447" s="211"/>
    </row>
    <row r="7448" spans="14:14" x14ac:dyDescent="0.4">
      <c r="N7448" s="211"/>
    </row>
    <row r="7449" spans="14:14" x14ac:dyDescent="0.4">
      <c r="N7449" s="211"/>
    </row>
    <row r="7450" spans="14:14" x14ac:dyDescent="0.4">
      <c r="N7450" s="211"/>
    </row>
    <row r="7451" spans="14:14" x14ac:dyDescent="0.4">
      <c r="N7451" s="211"/>
    </row>
    <row r="7452" spans="14:14" x14ac:dyDescent="0.4">
      <c r="N7452" s="211"/>
    </row>
    <row r="7453" spans="14:14" x14ac:dyDescent="0.4">
      <c r="N7453" s="211"/>
    </row>
    <row r="7454" spans="14:14" x14ac:dyDescent="0.4">
      <c r="N7454" s="211"/>
    </row>
    <row r="7455" spans="14:14" x14ac:dyDescent="0.4">
      <c r="N7455" s="211"/>
    </row>
    <row r="7456" spans="14:14" x14ac:dyDescent="0.4">
      <c r="N7456" s="211"/>
    </row>
    <row r="7457" spans="14:14" x14ac:dyDescent="0.4">
      <c r="N7457" s="211"/>
    </row>
    <row r="7458" spans="14:14" x14ac:dyDescent="0.4">
      <c r="N7458" s="211"/>
    </row>
    <row r="7459" spans="14:14" x14ac:dyDescent="0.4">
      <c r="N7459" s="211"/>
    </row>
    <row r="7460" spans="14:14" x14ac:dyDescent="0.4">
      <c r="N7460" s="211"/>
    </row>
    <row r="7461" spans="14:14" x14ac:dyDescent="0.4">
      <c r="N7461" s="211"/>
    </row>
    <row r="7462" spans="14:14" x14ac:dyDescent="0.4">
      <c r="N7462" s="211"/>
    </row>
    <row r="7463" spans="14:14" x14ac:dyDescent="0.4">
      <c r="N7463" s="211"/>
    </row>
    <row r="7464" spans="14:14" x14ac:dyDescent="0.4">
      <c r="N7464" s="211"/>
    </row>
    <row r="7465" spans="14:14" x14ac:dyDescent="0.4">
      <c r="N7465" s="211"/>
    </row>
    <row r="7466" spans="14:14" x14ac:dyDescent="0.4">
      <c r="N7466" s="211"/>
    </row>
    <row r="7467" spans="14:14" x14ac:dyDescent="0.4">
      <c r="N7467" s="211"/>
    </row>
    <row r="7468" spans="14:14" x14ac:dyDescent="0.4">
      <c r="N7468" s="211"/>
    </row>
    <row r="7469" spans="14:14" x14ac:dyDescent="0.4">
      <c r="N7469" s="211"/>
    </row>
    <row r="7470" spans="14:14" x14ac:dyDescent="0.4">
      <c r="N7470" s="211"/>
    </row>
    <row r="7471" spans="14:14" x14ac:dyDescent="0.4">
      <c r="N7471" s="211"/>
    </row>
    <row r="7472" spans="14:14" x14ac:dyDescent="0.4">
      <c r="N7472" s="211"/>
    </row>
    <row r="7473" spans="14:14" x14ac:dyDescent="0.4">
      <c r="N7473" s="211"/>
    </row>
    <row r="7474" spans="14:14" x14ac:dyDescent="0.4">
      <c r="N7474" s="211"/>
    </row>
    <row r="7475" spans="14:14" x14ac:dyDescent="0.4">
      <c r="N7475" s="211"/>
    </row>
    <row r="7476" spans="14:14" x14ac:dyDescent="0.4">
      <c r="N7476" s="211"/>
    </row>
    <row r="7477" spans="14:14" x14ac:dyDescent="0.4">
      <c r="N7477" s="211"/>
    </row>
    <row r="7478" spans="14:14" x14ac:dyDescent="0.4">
      <c r="N7478" s="211"/>
    </row>
    <row r="7479" spans="14:14" x14ac:dyDescent="0.4">
      <c r="N7479" s="211"/>
    </row>
    <row r="7480" spans="14:14" x14ac:dyDescent="0.4">
      <c r="N7480" s="211"/>
    </row>
    <row r="7481" spans="14:14" x14ac:dyDescent="0.4">
      <c r="N7481" s="211"/>
    </row>
    <row r="7482" spans="14:14" x14ac:dyDescent="0.4">
      <c r="N7482" s="211"/>
    </row>
    <row r="7483" spans="14:14" x14ac:dyDescent="0.4">
      <c r="N7483" s="211"/>
    </row>
    <row r="7484" spans="14:14" x14ac:dyDescent="0.4">
      <c r="N7484" s="211"/>
    </row>
    <row r="7485" spans="14:14" x14ac:dyDescent="0.4">
      <c r="N7485" s="211"/>
    </row>
    <row r="7486" spans="14:14" x14ac:dyDescent="0.4">
      <c r="N7486" s="211"/>
    </row>
    <row r="7487" spans="14:14" x14ac:dyDescent="0.4">
      <c r="N7487" s="211"/>
    </row>
    <row r="7488" spans="14:14" x14ac:dyDescent="0.4">
      <c r="N7488" s="211"/>
    </row>
    <row r="7489" spans="14:14" x14ac:dyDescent="0.4">
      <c r="N7489" s="211"/>
    </row>
    <row r="7490" spans="14:14" x14ac:dyDescent="0.4">
      <c r="N7490" s="211"/>
    </row>
    <row r="7491" spans="14:14" x14ac:dyDescent="0.4">
      <c r="N7491" s="211"/>
    </row>
    <row r="7492" spans="14:14" x14ac:dyDescent="0.4">
      <c r="N7492" s="211"/>
    </row>
    <row r="7493" spans="14:14" x14ac:dyDescent="0.4">
      <c r="N7493" s="211"/>
    </row>
    <row r="7494" spans="14:14" x14ac:dyDescent="0.4">
      <c r="N7494" s="211"/>
    </row>
    <row r="7495" spans="14:14" x14ac:dyDescent="0.4">
      <c r="N7495" s="211"/>
    </row>
    <row r="7496" spans="14:14" x14ac:dyDescent="0.4">
      <c r="N7496" s="211"/>
    </row>
    <row r="7497" spans="14:14" x14ac:dyDescent="0.4">
      <c r="N7497" s="211"/>
    </row>
    <row r="7498" spans="14:14" x14ac:dyDescent="0.4">
      <c r="N7498" s="211"/>
    </row>
    <row r="7499" spans="14:14" x14ac:dyDescent="0.4">
      <c r="N7499" s="211"/>
    </row>
    <row r="7500" spans="14:14" x14ac:dyDescent="0.4">
      <c r="N7500" s="211"/>
    </row>
    <row r="7501" spans="14:14" x14ac:dyDescent="0.4">
      <c r="N7501" s="211"/>
    </row>
    <row r="7502" spans="14:14" x14ac:dyDescent="0.4">
      <c r="N7502" s="211"/>
    </row>
    <row r="7503" spans="14:14" x14ac:dyDescent="0.4">
      <c r="N7503" s="211"/>
    </row>
    <row r="7504" spans="14:14" x14ac:dyDescent="0.4">
      <c r="N7504" s="211"/>
    </row>
    <row r="7505" spans="14:14" x14ac:dyDescent="0.4">
      <c r="N7505" s="211"/>
    </row>
    <row r="7506" spans="14:14" x14ac:dyDescent="0.4">
      <c r="N7506" s="211"/>
    </row>
    <row r="7507" spans="14:14" x14ac:dyDescent="0.4">
      <c r="N7507" s="211"/>
    </row>
    <row r="7508" spans="14:14" x14ac:dyDescent="0.4">
      <c r="N7508" s="211"/>
    </row>
    <row r="7509" spans="14:14" x14ac:dyDescent="0.4">
      <c r="N7509" s="211"/>
    </row>
    <row r="7510" spans="14:14" x14ac:dyDescent="0.4">
      <c r="N7510" s="211"/>
    </row>
    <row r="7511" spans="14:14" x14ac:dyDescent="0.4">
      <c r="N7511" s="211"/>
    </row>
    <row r="7512" spans="14:14" x14ac:dyDescent="0.4">
      <c r="N7512" s="211"/>
    </row>
    <row r="7513" spans="14:14" x14ac:dyDescent="0.4">
      <c r="N7513" s="211"/>
    </row>
    <row r="7514" spans="14:14" x14ac:dyDescent="0.4">
      <c r="N7514" s="211"/>
    </row>
    <row r="7515" spans="14:14" x14ac:dyDescent="0.4">
      <c r="N7515" s="211"/>
    </row>
    <row r="7516" spans="14:14" x14ac:dyDescent="0.4">
      <c r="N7516" s="211"/>
    </row>
    <row r="7517" spans="14:14" x14ac:dyDescent="0.4">
      <c r="N7517" s="211"/>
    </row>
    <row r="7518" spans="14:14" x14ac:dyDescent="0.4">
      <c r="N7518" s="211"/>
    </row>
    <row r="7519" spans="14:14" x14ac:dyDescent="0.4">
      <c r="N7519" s="211"/>
    </row>
    <row r="7520" spans="14:14" x14ac:dyDescent="0.4">
      <c r="N7520" s="211"/>
    </row>
    <row r="7521" spans="14:14" x14ac:dyDescent="0.4">
      <c r="N7521" s="211"/>
    </row>
    <row r="7522" spans="14:14" x14ac:dyDescent="0.4">
      <c r="N7522" s="211"/>
    </row>
    <row r="7523" spans="14:14" x14ac:dyDescent="0.4">
      <c r="N7523" s="211"/>
    </row>
    <row r="7524" spans="14:14" x14ac:dyDescent="0.4">
      <c r="N7524" s="211"/>
    </row>
    <row r="7525" spans="14:14" x14ac:dyDescent="0.4">
      <c r="N7525" s="211"/>
    </row>
    <row r="7526" spans="14:14" x14ac:dyDescent="0.4">
      <c r="N7526" s="211"/>
    </row>
    <row r="7527" spans="14:14" x14ac:dyDescent="0.4">
      <c r="N7527" s="211"/>
    </row>
    <row r="7528" spans="14:14" x14ac:dyDescent="0.4">
      <c r="N7528" s="211"/>
    </row>
    <row r="7529" spans="14:14" x14ac:dyDescent="0.4">
      <c r="N7529" s="211"/>
    </row>
    <row r="7530" spans="14:14" x14ac:dyDescent="0.4">
      <c r="N7530" s="211"/>
    </row>
    <row r="7531" spans="14:14" x14ac:dyDescent="0.4">
      <c r="N7531" s="211"/>
    </row>
    <row r="7532" spans="14:14" x14ac:dyDescent="0.4">
      <c r="N7532" s="211"/>
    </row>
    <row r="7533" spans="14:14" x14ac:dyDescent="0.4">
      <c r="N7533" s="211"/>
    </row>
    <row r="7534" spans="14:14" x14ac:dyDescent="0.4">
      <c r="N7534" s="211"/>
    </row>
    <row r="7535" spans="14:14" x14ac:dyDescent="0.4">
      <c r="N7535" s="211"/>
    </row>
    <row r="7536" spans="14:14" x14ac:dyDescent="0.4">
      <c r="N7536" s="211"/>
    </row>
    <row r="7537" spans="14:14" x14ac:dyDescent="0.4">
      <c r="N7537" s="211"/>
    </row>
    <row r="7538" spans="14:14" x14ac:dyDescent="0.4">
      <c r="N7538" s="211"/>
    </row>
    <row r="7539" spans="14:14" x14ac:dyDescent="0.4">
      <c r="N7539" s="211"/>
    </row>
    <row r="7540" spans="14:14" x14ac:dyDescent="0.4">
      <c r="N7540" s="211"/>
    </row>
    <row r="7541" spans="14:14" x14ac:dyDescent="0.4">
      <c r="N7541" s="211"/>
    </row>
    <row r="7542" spans="14:14" x14ac:dyDescent="0.4">
      <c r="N7542" s="211"/>
    </row>
    <row r="7543" spans="14:14" x14ac:dyDescent="0.4">
      <c r="N7543" s="211"/>
    </row>
    <row r="7544" spans="14:14" x14ac:dyDescent="0.4">
      <c r="N7544" s="211"/>
    </row>
    <row r="7545" spans="14:14" x14ac:dyDescent="0.4">
      <c r="N7545" s="211"/>
    </row>
    <row r="7546" spans="14:14" x14ac:dyDescent="0.4">
      <c r="N7546" s="211"/>
    </row>
    <row r="7547" spans="14:14" x14ac:dyDescent="0.4">
      <c r="N7547" s="211"/>
    </row>
    <row r="7548" spans="14:14" x14ac:dyDescent="0.4">
      <c r="N7548" s="211"/>
    </row>
    <row r="7549" spans="14:14" x14ac:dyDescent="0.4">
      <c r="N7549" s="211"/>
    </row>
    <row r="7550" spans="14:14" x14ac:dyDescent="0.4">
      <c r="N7550" s="211"/>
    </row>
    <row r="7551" spans="14:14" x14ac:dyDescent="0.4">
      <c r="N7551" s="211"/>
    </row>
    <row r="7552" spans="14:14" x14ac:dyDescent="0.4">
      <c r="N7552" s="211"/>
    </row>
    <row r="7553" spans="14:14" x14ac:dyDescent="0.4">
      <c r="N7553" s="211"/>
    </row>
    <row r="7554" spans="14:14" x14ac:dyDescent="0.4">
      <c r="N7554" s="211"/>
    </row>
    <row r="7555" spans="14:14" x14ac:dyDescent="0.4">
      <c r="N7555" s="211"/>
    </row>
    <row r="7556" spans="14:14" x14ac:dyDescent="0.4">
      <c r="N7556" s="211"/>
    </row>
    <row r="7557" spans="14:14" x14ac:dyDescent="0.4">
      <c r="N7557" s="211"/>
    </row>
    <row r="7558" spans="14:14" x14ac:dyDescent="0.4">
      <c r="N7558" s="211"/>
    </row>
    <row r="7559" spans="14:14" x14ac:dyDescent="0.4">
      <c r="N7559" s="211"/>
    </row>
    <row r="7560" spans="14:14" x14ac:dyDescent="0.4">
      <c r="N7560" s="211"/>
    </row>
    <row r="7561" spans="14:14" x14ac:dyDescent="0.4">
      <c r="N7561" s="211"/>
    </row>
    <row r="7562" spans="14:14" x14ac:dyDescent="0.4">
      <c r="N7562" s="211"/>
    </row>
    <row r="7563" spans="14:14" x14ac:dyDescent="0.4">
      <c r="N7563" s="211"/>
    </row>
    <row r="7564" spans="14:14" x14ac:dyDescent="0.4">
      <c r="N7564" s="211"/>
    </row>
    <row r="7565" spans="14:14" x14ac:dyDescent="0.4">
      <c r="N7565" s="211"/>
    </row>
    <row r="7566" spans="14:14" x14ac:dyDescent="0.4">
      <c r="N7566" s="211"/>
    </row>
    <row r="7567" spans="14:14" x14ac:dyDescent="0.4">
      <c r="N7567" s="211"/>
    </row>
    <row r="7568" spans="14:14" x14ac:dyDescent="0.4">
      <c r="N7568" s="211"/>
    </row>
    <row r="7569" spans="14:14" x14ac:dyDescent="0.4">
      <c r="N7569" s="211"/>
    </row>
    <row r="7570" spans="14:14" x14ac:dyDescent="0.4">
      <c r="N7570" s="211"/>
    </row>
    <row r="7571" spans="14:14" x14ac:dyDescent="0.4">
      <c r="N7571" s="211"/>
    </row>
    <row r="7572" spans="14:14" x14ac:dyDescent="0.4">
      <c r="N7572" s="211"/>
    </row>
    <row r="7573" spans="14:14" x14ac:dyDescent="0.4">
      <c r="N7573" s="211"/>
    </row>
    <row r="7574" spans="14:14" x14ac:dyDescent="0.4">
      <c r="N7574" s="211"/>
    </row>
    <row r="7575" spans="14:14" x14ac:dyDescent="0.4">
      <c r="N7575" s="211"/>
    </row>
    <row r="7576" spans="14:14" x14ac:dyDescent="0.4">
      <c r="N7576" s="211"/>
    </row>
    <row r="7577" spans="14:14" x14ac:dyDescent="0.4">
      <c r="N7577" s="211"/>
    </row>
    <row r="7578" spans="14:14" x14ac:dyDescent="0.4">
      <c r="N7578" s="211"/>
    </row>
    <row r="7579" spans="14:14" x14ac:dyDescent="0.4">
      <c r="N7579" s="211"/>
    </row>
    <row r="7580" spans="14:14" x14ac:dyDescent="0.4">
      <c r="N7580" s="211"/>
    </row>
    <row r="7581" spans="14:14" x14ac:dyDescent="0.4">
      <c r="N7581" s="211"/>
    </row>
    <row r="7582" spans="14:14" x14ac:dyDescent="0.4">
      <c r="N7582" s="211"/>
    </row>
    <row r="7583" spans="14:14" x14ac:dyDescent="0.4">
      <c r="N7583" s="211"/>
    </row>
    <row r="7584" spans="14:14" x14ac:dyDescent="0.4">
      <c r="N7584" s="211"/>
    </row>
    <row r="7585" spans="14:14" x14ac:dyDescent="0.4">
      <c r="N7585" s="211"/>
    </row>
    <row r="7586" spans="14:14" x14ac:dyDescent="0.4">
      <c r="N7586" s="211"/>
    </row>
    <row r="7587" spans="14:14" x14ac:dyDescent="0.4">
      <c r="N7587" s="211"/>
    </row>
    <row r="7588" spans="14:14" x14ac:dyDescent="0.4">
      <c r="N7588" s="211"/>
    </row>
    <row r="7589" spans="14:14" x14ac:dyDescent="0.4">
      <c r="N7589" s="211"/>
    </row>
    <row r="7590" spans="14:14" x14ac:dyDescent="0.4">
      <c r="N7590" s="211"/>
    </row>
    <row r="7591" spans="14:14" x14ac:dyDescent="0.4">
      <c r="N7591" s="211"/>
    </row>
    <row r="7592" spans="14:14" x14ac:dyDescent="0.4">
      <c r="N7592" s="211"/>
    </row>
    <row r="7593" spans="14:14" x14ac:dyDescent="0.4">
      <c r="N7593" s="211"/>
    </row>
    <row r="7594" spans="14:14" x14ac:dyDescent="0.4">
      <c r="N7594" s="211"/>
    </row>
    <row r="7595" spans="14:14" x14ac:dyDescent="0.4">
      <c r="N7595" s="211"/>
    </row>
    <row r="7596" spans="14:14" x14ac:dyDescent="0.4">
      <c r="N7596" s="211"/>
    </row>
    <row r="7597" spans="14:14" x14ac:dyDescent="0.4">
      <c r="N7597" s="211"/>
    </row>
    <row r="7598" spans="14:14" x14ac:dyDescent="0.4">
      <c r="N7598" s="211"/>
    </row>
    <row r="7599" spans="14:14" x14ac:dyDescent="0.4">
      <c r="N7599" s="211"/>
    </row>
    <row r="7600" spans="14:14" x14ac:dyDescent="0.4">
      <c r="N7600" s="211"/>
    </row>
    <row r="7601" spans="14:14" x14ac:dyDescent="0.4">
      <c r="N7601" s="211"/>
    </row>
    <row r="7602" spans="14:14" x14ac:dyDescent="0.4">
      <c r="N7602" s="211"/>
    </row>
    <row r="7603" spans="14:14" x14ac:dyDescent="0.4">
      <c r="N7603" s="211"/>
    </row>
    <row r="7604" spans="14:14" x14ac:dyDescent="0.4">
      <c r="N7604" s="211"/>
    </row>
    <row r="7605" spans="14:14" x14ac:dyDescent="0.4">
      <c r="N7605" s="211"/>
    </row>
    <row r="7606" spans="14:14" x14ac:dyDescent="0.4">
      <c r="N7606" s="211"/>
    </row>
    <row r="7607" spans="14:14" x14ac:dyDescent="0.4">
      <c r="N7607" s="211"/>
    </row>
    <row r="7608" spans="14:14" x14ac:dyDescent="0.4">
      <c r="N7608" s="211"/>
    </row>
    <row r="7609" spans="14:14" x14ac:dyDescent="0.4">
      <c r="N7609" s="211"/>
    </row>
    <row r="7610" spans="14:14" x14ac:dyDescent="0.4">
      <c r="N7610" s="211"/>
    </row>
    <row r="7611" spans="14:14" x14ac:dyDescent="0.4">
      <c r="N7611" s="211"/>
    </row>
    <row r="7612" spans="14:14" x14ac:dyDescent="0.4">
      <c r="N7612" s="211"/>
    </row>
    <row r="7613" spans="14:14" x14ac:dyDescent="0.4">
      <c r="N7613" s="211"/>
    </row>
    <row r="7614" spans="14:14" x14ac:dyDescent="0.4">
      <c r="N7614" s="211"/>
    </row>
    <row r="7615" spans="14:14" x14ac:dyDescent="0.4">
      <c r="N7615" s="211"/>
    </row>
    <row r="7616" spans="14:14" x14ac:dyDescent="0.4">
      <c r="N7616" s="211"/>
    </row>
    <row r="7617" spans="14:14" x14ac:dyDescent="0.4">
      <c r="N7617" s="211"/>
    </row>
    <row r="7618" spans="14:14" x14ac:dyDescent="0.4">
      <c r="N7618" s="211"/>
    </row>
    <row r="7619" spans="14:14" x14ac:dyDescent="0.4">
      <c r="N7619" s="211"/>
    </row>
    <row r="7620" spans="14:14" x14ac:dyDescent="0.4">
      <c r="N7620" s="211"/>
    </row>
    <row r="7621" spans="14:14" x14ac:dyDescent="0.4">
      <c r="N7621" s="211"/>
    </row>
    <row r="7622" spans="14:14" x14ac:dyDescent="0.4">
      <c r="N7622" s="211"/>
    </row>
    <row r="7623" spans="14:14" x14ac:dyDescent="0.4">
      <c r="N7623" s="211"/>
    </row>
    <row r="7624" spans="14:14" x14ac:dyDescent="0.4">
      <c r="N7624" s="211"/>
    </row>
    <row r="7625" spans="14:14" x14ac:dyDescent="0.4">
      <c r="N7625" s="211"/>
    </row>
    <row r="7626" spans="14:14" x14ac:dyDescent="0.4">
      <c r="N7626" s="211"/>
    </row>
    <row r="7627" spans="14:14" x14ac:dyDescent="0.4">
      <c r="N7627" s="211"/>
    </row>
    <row r="7628" spans="14:14" x14ac:dyDescent="0.4">
      <c r="N7628" s="211"/>
    </row>
    <row r="7629" spans="14:14" x14ac:dyDescent="0.4">
      <c r="N7629" s="211"/>
    </row>
    <row r="7630" spans="14:14" x14ac:dyDescent="0.4">
      <c r="N7630" s="211"/>
    </row>
    <row r="7631" spans="14:14" x14ac:dyDescent="0.4">
      <c r="N7631" s="211"/>
    </row>
    <row r="7632" spans="14:14" x14ac:dyDescent="0.4">
      <c r="N7632" s="211"/>
    </row>
    <row r="7633" spans="14:14" x14ac:dyDescent="0.4">
      <c r="N7633" s="211"/>
    </row>
    <row r="7634" spans="14:14" x14ac:dyDescent="0.4">
      <c r="N7634" s="211"/>
    </row>
    <row r="7635" spans="14:14" x14ac:dyDescent="0.4">
      <c r="N7635" s="211"/>
    </row>
    <row r="7636" spans="14:14" x14ac:dyDescent="0.4">
      <c r="N7636" s="211"/>
    </row>
    <row r="7637" spans="14:14" x14ac:dyDescent="0.4">
      <c r="N7637" s="211"/>
    </row>
    <row r="7638" spans="14:14" x14ac:dyDescent="0.4">
      <c r="N7638" s="211"/>
    </row>
    <row r="7639" spans="14:14" x14ac:dyDescent="0.4">
      <c r="N7639" s="211"/>
    </row>
    <row r="7640" spans="14:14" x14ac:dyDescent="0.4">
      <c r="N7640" s="211"/>
    </row>
    <row r="7641" spans="14:14" x14ac:dyDescent="0.4">
      <c r="N7641" s="211"/>
    </row>
    <row r="7642" spans="14:14" x14ac:dyDescent="0.4">
      <c r="N7642" s="211"/>
    </row>
    <row r="7643" spans="14:14" x14ac:dyDescent="0.4">
      <c r="N7643" s="211"/>
    </row>
    <row r="7644" spans="14:14" x14ac:dyDescent="0.4">
      <c r="N7644" s="211"/>
    </row>
    <row r="7645" spans="14:14" x14ac:dyDescent="0.4">
      <c r="N7645" s="211"/>
    </row>
    <row r="7646" spans="14:14" x14ac:dyDescent="0.4">
      <c r="N7646" s="211"/>
    </row>
    <row r="7647" spans="14:14" x14ac:dyDescent="0.4">
      <c r="N7647" s="211"/>
    </row>
    <row r="7648" spans="14:14" x14ac:dyDescent="0.4">
      <c r="N7648" s="211"/>
    </row>
    <row r="7649" spans="14:14" x14ac:dyDescent="0.4">
      <c r="N7649" s="211"/>
    </row>
    <row r="7650" spans="14:14" x14ac:dyDescent="0.4">
      <c r="N7650" s="211"/>
    </row>
    <row r="7651" spans="14:14" x14ac:dyDescent="0.4">
      <c r="N7651" s="211"/>
    </row>
    <row r="7652" spans="14:14" x14ac:dyDescent="0.4">
      <c r="N7652" s="211"/>
    </row>
    <row r="7653" spans="14:14" x14ac:dyDescent="0.4">
      <c r="N7653" s="211"/>
    </row>
    <row r="7654" spans="14:14" x14ac:dyDescent="0.4">
      <c r="N7654" s="211"/>
    </row>
    <row r="7655" spans="14:14" x14ac:dyDescent="0.4">
      <c r="N7655" s="211"/>
    </row>
    <row r="7656" spans="14:14" x14ac:dyDescent="0.4">
      <c r="N7656" s="211"/>
    </row>
    <row r="7657" spans="14:14" x14ac:dyDescent="0.4">
      <c r="N7657" s="211"/>
    </row>
    <row r="7658" spans="14:14" x14ac:dyDescent="0.4">
      <c r="N7658" s="211"/>
    </row>
    <row r="7659" spans="14:14" x14ac:dyDescent="0.4">
      <c r="N7659" s="211"/>
    </row>
    <row r="7660" spans="14:14" x14ac:dyDescent="0.4">
      <c r="N7660" s="211"/>
    </row>
    <row r="7661" spans="14:14" x14ac:dyDescent="0.4">
      <c r="N7661" s="211"/>
    </row>
    <row r="7662" spans="14:14" x14ac:dyDescent="0.4">
      <c r="N7662" s="211"/>
    </row>
    <row r="7663" spans="14:14" x14ac:dyDescent="0.4">
      <c r="N7663" s="211"/>
    </row>
    <row r="7664" spans="14:14" x14ac:dyDescent="0.4">
      <c r="N7664" s="211"/>
    </row>
    <row r="7665" spans="14:14" x14ac:dyDescent="0.4">
      <c r="N7665" s="211"/>
    </row>
    <row r="7666" spans="14:14" x14ac:dyDescent="0.4">
      <c r="N7666" s="211"/>
    </row>
    <row r="7667" spans="14:14" x14ac:dyDescent="0.4">
      <c r="N7667" s="211"/>
    </row>
    <row r="7668" spans="14:14" x14ac:dyDescent="0.4">
      <c r="N7668" s="211"/>
    </row>
    <row r="7669" spans="14:14" x14ac:dyDescent="0.4">
      <c r="N7669" s="211"/>
    </row>
    <row r="7670" spans="14:14" x14ac:dyDescent="0.4">
      <c r="N7670" s="211"/>
    </row>
    <row r="7671" spans="14:14" x14ac:dyDescent="0.4">
      <c r="N7671" s="211"/>
    </row>
    <row r="7672" spans="14:14" x14ac:dyDescent="0.4">
      <c r="N7672" s="211"/>
    </row>
    <row r="7673" spans="14:14" x14ac:dyDescent="0.4">
      <c r="N7673" s="211"/>
    </row>
    <row r="7674" spans="14:14" x14ac:dyDescent="0.4">
      <c r="N7674" s="211"/>
    </row>
    <row r="7675" spans="14:14" x14ac:dyDescent="0.4">
      <c r="N7675" s="211"/>
    </row>
    <row r="7676" spans="14:14" x14ac:dyDescent="0.4">
      <c r="N7676" s="211"/>
    </row>
    <row r="7677" spans="14:14" x14ac:dyDescent="0.4">
      <c r="N7677" s="211"/>
    </row>
    <row r="7678" spans="14:14" x14ac:dyDescent="0.4">
      <c r="N7678" s="211"/>
    </row>
    <row r="7679" spans="14:14" x14ac:dyDescent="0.4">
      <c r="N7679" s="211"/>
    </row>
    <row r="7680" spans="14:14" x14ac:dyDescent="0.4">
      <c r="N7680" s="211"/>
    </row>
    <row r="7681" spans="14:14" x14ac:dyDescent="0.4">
      <c r="N7681" s="211"/>
    </row>
    <row r="7682" spans="14:14" x14ac:dyDescent="0.4">
      <c r="N7682" s="211"/>
    </row>
    <row r="7683" spans="14:14" x14ac:dyDescent="0.4">
      <c r="N7683" s="211"/>
    </row>
    <row r="7684" spans="14:14" x14ac:dyDescent="0.4">
      <c r="N7684" s="211"/>
    </row>
    <row r="7685" spans="14:14" x14ac:dyDescent="0.4">
      <c r="N7685" s="211"/>
    </row>
    <row r="7686" spans="14:14" x14ac:dyDescent="0.4">
      <c r="N7686" s="211"/>
    </row>
    <row r="7687" spans="14:14" x14ac:dyDescent="0.4">
      <c r="N7687" s="211"/>
    </row>
    <row r="7688" spans="14:14" x14ac:dyDescent="0.4">
      <c r="N7688" s="211"/>
    </row>
    <row r="7689" spans="14:14" x14ac:dyDescent="0.4">
      <c r="N7689" s="211"/>
    </row>
    <row r="7690" spans="14:14" x14ac:dyDescent="0.4">
      <c r="N7690" s="211"/>
    </row>
    <row r="7691" spans="14:14" x14ac:dyDescent="0.4">
      <c r="N7691" s="211"/>
    </row>
    <row r="7692" spans="14:14" x14ac:dyDescent="0.4">
      <c r="N7692" s="211"/>
    </row>
    <row r="7693" spans="14:14" x14ac:dyDescent="0.4">
      <c r="N7693" s="211"/>
    </row>
    <row r="7694" spans="14:14" x14ac:dyDescent="0.4">
      <c r="N7694" s="211"/>
    </row>
    <row r="7695" spans="14:14" x14ac:dyDescent="0.4">
      <c r="N7695" s="211"/>
    </row>
    <row r="7696" spans="14:14" x14ac:dyDescent="0.4">
      <c r="N7696" s="211"/>
    </row>
    <row r="7697" spans="14:14" x14ac:dyDescent="0.4">
      <c r="N7697" s="211"/>
    </row>
    <row r="7698" spans="14:14" x14ac:dyDescent="0.4">
      <c r="N7698" s="211"/>
    </row>
    <row r="7699" spans="14:14" x14ac:dyDescent="0.4">
      <c r="N7699" s="211"/>
    </row>
    <row r="7700" spans="14:14" x14ac:dyDescent="0.4">
      <c r="N7700" s="211"/>
    </row>
    <row r="7701" spans="14:14" x14ac:dyDescent="0.4">
      <c r="N7701" s="211"/>
    </row>
    <row r="7702" spans="14:14" x14ac:dyDescent="0.4">
      <c r="N7702" s="211"/>
    </row>
    <row r="7703" spans="14:14" x14ac:dyDescent="0.4">
      <c r="N7703" s="211"/>
    </row>
    <row r="7704" spans="14:14" x14ac:dyDescent="0.4">
      <c r="N7704" s="211"/>
    </row>
    <row r="7705" spans="14:14" x14ac:dyDescent="0.4">
      <c r="N7705" s="211"/>
    </row>
    <row r="7706" spans="14:14" x14ac:dyDescent="0.4">
      <c r="N7706" s="211"/>
    </row>
    <row r="7707" spans="14:14" x14ac:dyDescent="0.4">
      <c r="N7707" s="211"/>
    </row>
    <row r="7708" spans="14:14" x14ac:dyDescent="0.4">
      <c r="N7708" s="211"/>
    </row>
    <row r="7709" spans="14:14" x14ac:dyDescent="0.4">
      <c r="N7709" s="211"/>
    </row>
    <row r="7710" spans="14:14" x14ac:dyDescent="0.4">
      <c r="N7710" s="211"/>
    </row>
    <row r="7711" spans="14:14" x14ac:dyDescent="0.4">
      <c r="N7711" s="211"/>
    </row>
    <row r="7712" spans="14:14" x14ac:dyDescent="0.4">
      <c r="N7712" s="211"/>
    </row>
    <row r="7713" spans="14:14" x14ac:dyDescent="0.4">
      <c r="N7713" s="211"/>
    </row>
    <row r="7714" spans="14:14" x14ac:dyDescent="0.4">
      <c r="N7714" s="211"/>
    </row>
    <row r="7715" spans="14:14" x14ac:dyDescent="0.4">
      <c r="N7715" s="211"/>
    </row>
    <row r="7716" spans="14:14" x14ac:dyDescent="0.4">
      <c r="N7716" s="211"/>
    </row>
    <row r="7717" spans="14:14" x14ac:dyDescent="0.4">
      <c r="N7717" s="211"/>
    </row>
    <row r="7718" spans="14:14" x14ac:dyDescent="0.4">
      <c r="N7718" s="211"/>
    </row>
    <row r="7719" spans="14:14" x14ac:dyDescent="0.4">
      <c r="N7719" s="211"/>
    </row>
    <row r="7720" spans="14:14" x14ac:dyDescent="0.4">
      <c r="N7720" s="211"/>
    </row>
    <row r="7721" spans="14:14" x14ac:dyDescent="0.4">
      <c r="N7721" s="211"/>
    </row>
    <row r="7722" spans="14:14" x14ac:dyDescent="0.4">
      <c r="N7722" s="211"/>
    </row>
    <row r="7723" spans="14:14" x14ac:dyDescent="0.4">
      <c r="N7723" s="211"/>
    </row>
    <row r="7724" spans="14:14" x14ac:dyDescent="0.4">
      <c r="N7724" s="211"/>
    </row>
    <row r="7725" spans="14:14" x14ac:dyDescent="0.4">
      <c r="N7725" s="211"/>
    </row>
    <row r="7726" spans="14:14" x14ac:dyDescent="0.4">
      <c r="N7726" s="211"/>
    </row>
    <row r="7727" spans="14:14" x14ac:dyDescent="0.4">
      <c r="N7727" s="211"/>
    </row>
    <row r="7728" spans="14:14" x14ac:dyDescent="0.4">
      <c r="N7728" s="211"/>
    </row>
    <row r="7729" spans="14:14" x14ac:dyDescent="0.4">
      <c r="N7729" s="211"/>
    </row>
    <row r="7730" spans="14:14" x14ac:dyDescent="0.4">
      <c r="N7730" s="211"/>
    </row>
    <row r="7731" spans="14:14" x14ac:dyDescent="0.4">
      <c r="N7731" s="211"/>
    </row>
    <row r="7732" spans="14:14" x14ac:dyDescent="0.4">
      <c r="N7732" s="211"/>
    </row>
    <row r="7733" spans="14:14" x14ac:dyDescent="0.4">
      <c r="N7733" s="211"/>
    </row>
    <row r="7734" spans="14:14" x14ac:dyDescent="0.4">
      <c r="N7734" s="211"/>
    </row>
    <row r="7735" spans="14:14" x14ac:dyDescent="0.4">
      <c r="N7735" s="211"/>
    </row>
    <row r="7736" spans="14:14" x14ac:dyDescent="0.4">
      <c r="N7736" s="211"/>
    </row>
    <row r="7737" spans="14:14" x14ac:dyDescent="0.4">
      <c r="N7737" s="211"/>
    </row>
    <row r="7738" spans="14:14" x14ac:dyDescent="0.4">
      <c r="N7738" s="211"/>
    </row>
    <row r="7739" spans="14:14" x14ac:dyDescent="0.4">
      <c r="N7739" s="211"/>
    </row>
    <row r="7740" spans="14:14" x14ac:dyDescent="0.4">
      <c r="N7740" s="211"/>
    </row>
    <row r="7741" spans="14:14" x14ac:dyDescent="0.4">
      <c r="N7741" s="211"/>
    </row>
    <row r="7742" spans="14:14" x14ac:dyDescent="0.4">
      <c r="N7742" s="211"/>
    </row>
    <row r="7743" spans="14:14" x14ac:dyDescent="0.4">
      <c r="N7743" s="211"/>
    </row>
    <row r="7744" spans="14:14" x14ac:dyDescent="0.4">
      <c r="N7744" s="211"/>
    </row>
    <row r="7745" spans="14:14" x14ac:dyDescent="0.4">
      <c r="N7745" s="211"/>
    </row>
    <row r="7746" spans="14:14" x14ac:dyDescent="0.4">
      <c r="N7746" s="211"/>
    </row>
    <row r="7747" spans="14:14" x14ac:dyDescent="0.4">
      <c r="N7747" s="211"/>
    </row>
    <row r="7748" spans="14:14" x14ac:dyDescent="0.4">
      <c r="N7748" s="211"/>
    </row>
    <row r="7749" spans="14:14" x14ac:dyDescent="0.4">
      <c r="N7749" s="211"/>
    </row>
    <row r="7750" spans="14:14" x14ac:dyDescent="0.4">
      <c r="N7750" s="211"/>
    </row>
    <row r="7751" spans="14:14" x14ac:dyDescent="0.4">
      <c r="N7751" s="211"/>
    </row>
    <row r="7752" spans="14:14" x14ac:dyDescent="0.4">
      <c r="N7752" s="211"/>
    </row>
    <row r="7753" spans="14:14" x14ac:dyDescent="0.4">
      <c r="N7753" s="211"/>
    </row>
    <row r="7754" spans="14:14" x14ac:dyDescent="0.4">
      <c r="N7754" s="211"/>
    </row>
    <row r="7755" spans="14:14" x14ac:dyDescent="0.4">
      <c r="N7755" s="211"/>
    </row>
    <row r="7756" spans="14:14" x14ac:dyDescent="0.4">
      <c r="N7756" s="211"/>
    </row>
    <row r="7757" spans="14:14" x14ac:dyDescent="0.4">
      <c r="N7757" s="211"/>
    </row>
    <row r="7758" spans="14:14" x14ac:dyDescent="0.4">
      <c r="N7758" s="211"/>
    </row>
    <row r="7759" spans="14:14" x14ac:dyDescent="0.4">
      <c r="N7759" s="211"/>
    </row>
    <row r="7760" spans="14:14" x14ac:dyDescent="0.4">
      <c r="N7760" s="211"/>
    </row>
    <row r="7761" spans="14:14" x14ac:dyDescent="0.4">
      <c r="N7761" s="211"/>
    </row>
    <row r="7762" spans="14:14" x14ac:dyDescent="0.4">
      <c r="N7762" s="211"/>
    </row>
    <row r="7763" spans="14:14" x14ac:dyDescent="0.4">
      <c r="N7763" s="211"/>
    </row>
    <row r="7764" spans="14:14" x14ac:dyDescent="0.4">
      <c r="N7764" s="211"/>
    </row>
    <row r="7765" spans="14:14" x14ac:dyDescent="0.4">
      <c r="N7765" s="211"/>
    </row>
    <row r="7766" spans="14:14" x14ac:dyDescent="0.4">
      <c r="N7766" s="211"/>
    </row>
    <row r="7767" spans="14:14" x14ac:dyDescent="0.4">
      <c r="N7767" s="211"/>
    </row>
    <row r="7768" spans="14:14" x14ac:dyDescent="0.4">
      <c r="N7768" s="211"/>
    </row>
    <row r="7769" spans="14:14" x14ac:dyDescent="0.4">
      <c r="N7769" s="211"/>
    </row>
    <row r="7770" spans="14:14" x14ac:dyDescent="0.4">
      <c r="N7770" s="211"/>
    </row>
    <row r="7771" spans="14:14" x14ac:dyDescent="0.4">
      <c r="N7771" s="211"/>
    </row>
    <row r="7772" spans="14:14" x14ac:dyDescent="0.4">
      <c r="N7772" s="211"/>
    </row>
    <row r="7773" spans="14:14" x14ac:dyDescent="0.4">
      <c r="N7773" s="211"/>
    </row>
    <row r="7774" spans="14:14" x14ac:dyDescent="0.4">
      <c r="N7774" s="211"/>
    </row>
    <row r="7775" spans="14:14" x14ac:dyDescent="0.4">
      <c r="N7775" s="211"/>
    </row>
    <row r="7776" spans="14:14" x14ac:dyDescent="0.4">
      <c r="N7776" s="211"/>
    </row>
    <row r="7777" spans="14:14" x14ac:dyDescent="0.4">
      <c r="N7777" s="211"/>
    </row>
    <row r="7778" spans="14:14" x14ac:dyDescent="0.4">
      <c r="N7778" s="211"/>
    </row>
    <row r="7779" spans="14:14" x14ac:dyDescent="0.4">
      <c r="N7779" s="211"/>
    </row>
    <row r="7780" spans="14:14" x14ac:dyDescent="0.4">
      <c r="N7780" s="211"/>
    </row>
    <row r="7781" spans="14:14" x14ac:dyDescent="0.4">
      <c r="N7781" s="211"/>
    </row>
    <row r="7782" spans="14:14" x14ac:dyDescent="0.4">
      <c r="N7782" s="211"/>
    </row>
    <row r="7783" spans="14:14" x14ac:dyDescent="0.4">
      <c r="N7783" s="211"/>
    </row>
    <row r="7784" spans="14:14" x14ac:dyDescent="0.4">
      <c r="N7784" s="211"/>
    </row>
    <row r="7785" spans="14:14" x14ac:dyDescent="0.4">
      <c r="N7785" s="211"/>
    </row>
    <row r="7786" spans="14:14" x14ac:dyDescent="0.4">
      <c r="N7786" s="211"/>
    </row>
    <row r="7787" spans="14:14" x14ac:dyDescent="0.4">
      <c r="N7787" s="211"/>
    </row>
    <row r="7788" spans="14:14" x14ac:dyDescent="0.4">
      <c r="N7788" s="211"/>
    </row>
    <row r="7789" spans="14:14" x14ac:dyDescent="0.4">
      <c r="N7789" s="211"/>
    </row>
    <row r="7790" spans="14:14" x14ac:dyDescent="0.4">
      <c r="N7790" s="211"/>
    </row>
    <row r="7791" spans="14:14" x14ac:dyDescent="0.4">
      <c r="N7791" s="211"/>
    </row>
    <row r="7792" spans="14:14" x14ac:dyDescent="0.4">
      <c r="N7792" s="211"/>
    </row>
    <row r="7793" spans="14:14" x14ac:dyDescent="0.4">
      <c r="N7793" s="211"/>
    </row>
    <row r="7794" spans="14:14" x14ac:dyDescent="0.4">
      <c r="N7794" s="211"/>
    </row>
    <row r="7795" spans="14:14" x14ac:dyDescent="0.4">
      <c r="N7795" s="211"/>
    </row>
    <row r="7796" spans="14:14" x14ac:dyDescent="0.4">
      <c r="N7796" s="211"/>
    </row>
    <row r="7797" spans="14:14" x14ac:dyDescent="0.4">
      <c r="N7797" s="211"/>
    </row>
    <row r="7798" spans="14:14" x14ac:dyDescent="0.4">
      <c r="N7798" s="211"/>
    </row>
    <row r="7799" spans="14:14" x14ac:dyDescent="0.4">
      <c r="N7799" s="211"/>
    </row>
    <row r="7800" spans="14:14" x14ac:dyDescent="0.4">
      <c r="N7800" s="211"/>
    </row>
    <row r="7801" spans="14:14" x14ac:dyDescent="0.4">
      <c r="N7801" s="211"/>
    </row>
    <row r="7802" spans="14:14" x14ac:dyDescent="0.4">
      <c r="N7802" s="211"/>
    </row>
    <row r="7803" spans="14:14" x14ac:dyDescent="0.4">
      <c r="N7803" s="211"/>
    </row>
    <row r="7804" spans="14:14" x14ac:dyDescent="0.4">
      <c r="N7804" s="211"/>
    </row>
    <row r="7805" spans="14:14" x14ac:dyDescent="0.4">
      <c r="N7805" s="211"/>
    </row>
    <row r="7806" spans="14:14" x14ac:dyDescent="0.4">
      <c r="N7806" s="211"/>
    </row>
    <row r="7807" spans="14:14" x14ac:dyDescent="0.4">
      <c r="N7807" s="211"/>
    </row>
    <row r="7808" spans="14:14" x14ac:dyDescent="0.4">
      <c r="N7808" s="211"/>
    </row>
    <row r="7809" spans="14:14" x14ac:dyDescent="0.4">
      <c r="N7809" s="211"/>
    </row>
    <row r="7810" spans="14:14" x14ac:dyDescent="0.4">
      <c r="N7810" s="211"/>
    </row>
    <row r="7811" spans="14:14" x14ac:dyDescent="0.4">
      <c r="N7811" s="211"/>
    </row>
    <row r="7812" spans="14:14" x14ac:dyDescent="0.4">
      <c r="N7812" s="211"/>
    </row>
    <row r="7813" spans="14:14" x14ac:dyDescent="0.4">
      <c r="N7813" s="211"/>
    </row>
    <row r="7814" spans="14:14" x14ac:dyDescent="0.4">
      <c r="N7814" s="211"/>
    </row>
    <row r="7815" spans="14:14" x14ac:dyDescent="0.4">
      <c r="N7815" s="211"/>
    </row>
    <row r="7816" spans="14:14" x14ac:dyDescent="0.4">
      <c r="N7816" s="211"/>
    </row>
    <row r="7817" spans="14:14" x14ac:dyDescent="0.4">
      <c r="N7817" s="211"/>
    </row>
    <row r="7818" spans="14:14" x14ac:dyDescent="0.4">
      <c r="N7818" s="211"/>
    </row>
    <row r="7819" spans="14:14" x14ac:dyDescent="0.4">
      <c r="N7819" s="211"/>
    </row>
    <row r="7820" spans="14:14" x14ac:dyDescent="0.4">
      <c r="N7820" s="211"/>
    </row>
    <row r="7821" spans="14:14" x14ac:dyDescent="0.4">
      <c r="N7821" s="211"/>
    </row>
    <row r="7822" spans="14:14" x14ac:dyDescent="0.4">
      <c r="N7822" s="211"/>
    </row>
    <row r="7823" spans="14:14" x14ac:dyDescent="0.4">
      <c r="N7823" s="211"/>
    </row>
    <row r="7824" spans="14:14" x14ac:dyDescent="0.4">
      <c r="N7824" s="211"/>
    </row>
    <row r="7825" spans="14:14" x14ac:dyDescent="0.4">
      <c r="N7825" s="211"/>
    </row>
    <row r="7826" spans="14:14" x14ac:dyDescent="0.4">
      <c r="N7826" s="211"/>
    </row>
    <row r="7827" spans="14:14" x14ac:dyDescent="0.4">
      <c r="N7827" s="211"/>
    </row>
    <row r="7828" spans="14:14" x14ac:dyDescent="0.4">
      <c r="N7828" s="211"/>
    </row>
    <row r="7829" spans="14:14" x14ac:dyDescent="0.4">
      <c r="N7829" s="211"/>
    </row>
    <row r="7830" spans="14:14" x14ac:dyDescent="0.4">
      <c r="N7830" s="211"/>
    </row>
    <row r="7831" spans="14:14" x14ac:dyDescent="0.4">
      <c r="N7831" s="211"/>
    </row>
    <row r="7832" spans="14:14" x14ac:dyDescent="0.4">
      <c r="N7832" s="211"/>
    </row>
    <row r="7833" spans="14:14" x14ac:dyDescent="0.4">
      <c r="N7833" s="211"/>
    </row>
    <row r="7834" spans="14:14" x14ac:dyDescent="0.4">
      <c r="N7834" s="211"/>
    </row>
    <row r="7835" spans="14:14" x14ac:dyDescent="0.4">
      <c r="N7835" s="211"/>
    </row>
    <row r="7836" spans="14:14" x14ac:dyDescent="0.4">
      <c r="N7836" s="211"/>
    </row>
    <row r="7837" spans="14:14" x14ac:dyDescent="0.4">
      <c r="N7837" s="211"/>
    </row>
    <row r="7838" spans="14:14" x14ac:dyDescent="0.4">
      <c r="N7838" s="211"/>
    </row>
    <row r="7839" spans="14:14" x14ac:dyDescent="0.4">
      <c r="N7839" s="211"/>
    </row>
    <row r="7840" spans="14:14" x14ac:dyDescent="0.4">
      <c r="N7840" s="211"/>
    </row>
    <row r="7841" spans="14:14" x14ac:dyDescent="0.4">
      <c r="N7841" s="211"/>
    </row>
    <row r="7842" spans="14:14" x14ac:dyDescent="0.4">
      <c r="N7842" s="211"/>
    </row>
    <row r="7843" spans="14:14" x14ac:dyDescent="0.4">
      <c r="N7843" s="211"/>
    </row>
    <row r="7844" spans="14:14" x14ac:dyDescent="0.4">
      <c r="N7844" s="211"/>
    </row>
    <row r="7845" spans="14:14" x14ac:dyDescent="0.4">
      <c r="N7845" s="211"/>
    </row>
    <row r="7846" spans="14:14" x14ac:dyDescent="0.4">
      <c r="N7846" s="211"/>
    </row>
    <row r="7847" spans="14:14" x14ac:dyDescent="0.4">
      <c r="N7847" s="211"/>
    </row>
    <row r="7848" spans="14:14" x14ac:dyDescent="0.4">
      <c r="N7848" s="211"/>
    </row>
    <row r="7849" spans="14:14" x14ac:dyDescent="0.4">
      <c r="N7849" s="211"/>
    </row>
    <row r="7850" spans="14:14" x14ac:dyDescent="0.4">
      <c r="N7850" s="211"/>
    </row>
    <row r="7851" spans="14:14" x14ac:dyDescent="0.4">
      <c r="N7851" s="211"/>
    </row>
    <row r="7852" spans="14:14" x14ac:dyDescent="0.4">
      <c r="N7852" s="211"/>
    </row>
    <row r="7853" spans="14:14" x14ac:dyDescent="0.4">
      <c r="N7853" s="211"/>
    </row>
    <row r="7854" spans="14:14" x14ac:dyDescent="0.4">
      <c r="N7854" s="211"/>
    </row>
    <row r="7855" spans="14:14" x14ac:dyDescent="0.4">
      <c r="N7855" s="211"/>
    </row>
    <row r="7856" spans="14:14" x14ac:dyDescent="0.4">
      <c r="N7856" s="211"/>
    </row>
    <row r="7857" spans="14:14" x14ac:dyDescent="0.4">
      <c r="N7857" s="211"/>
    </row>
    <row r="7858" spans="14:14" x14ac:dyDescent="0.4">
      <c r="N7858" s="211"/>
    </row>
    <row r="7859" spans="14:14" x14ac:dyDescent="0.4">
      <c r="N7859" s="211"/>
    </row>
    <row r="7860" spans="14:14" x14ac:dyDescent="0.4">
      <c r="N7860" s="211"/>
    </row>
    <row r="7861" spans="14:14" x14ac:dyDescent="0.4">
      <c r="N7861" s="211"/>
    </row>
    <row r="7862" spans="14:14" x14ac:dyDescent="0.4">
      <c r="N7862" s="211"/>
    </row>
    <row r="7863" spans="14:14" x14ac:dyDescent="0.4">
      <c r="N7863" s="211"/>
    </row>
    <row r="7864" spans="14:14" x14ac:dyDescent="0.4">
      <c r="N7864" s="211"/>
    </row>
    <row r="7865" spans="14:14" x14ac:dyDescent="0.4">
      <c r="N7865" s="211"/>
    </row>
    <row r="7866" spans="14:14" x14ac:dyDescent="0.4">
      <c r="N7866" s="211"/>
    </row>
    <row r="7867" spans="14:14" x14ac:dyDescent="0.4">
      <c r="N7867" s="211"/>
    </row>
    <row r="7868" spans="14:14" x14ac:dyDescent="0.4">
      <c r="N7868" s="211"/>
    </row>
    <row r="7869" spans="14:14" x14ac:dyDescent="0.4">
      <c r="N7869" s="211"/>
    </row>
    <row r="7870" spans="14:14" x14ac:dyDescent="0.4">
      <c r="N7870" s="211"/>
    </row>
    <row r="7871" spans="14:14" x14ac:dyDescent="0.4">
      <c r="N7871" s="211"/>
    </row>
    <row r="7872" spans="14:14" x14ac:dyDescent="0.4">
      <c r="N7872" s="211"/>
    </row>
    <row r="7873" spans="14:14" x14ac:dyDescent="0.4">
      <c r="N7873" s="211"/>
    </row>
    <row r="7874" spans="14:14" x14ac:dyDescent="0.4">
      <c r="N7874" s="211"/>
    </row>
    <row r="7875" spans="14:14" x14ac:dyDescent="0.4">
      <c r="N7875" s="211"/>
    </row>
    <row r="7876" spans="14:14" x14ac:dyDescent="0.4">
      <c r="N7876" s="211"/>
    </row>
    <row r="7877" spans="14:14" x14ac:dyDescent="0.4">
      <c r="N7877" s="211"/>
    </row>
    <row r="7878" spans="14:14" x14ac:dyDescent="0.4">
      <c r="N7878" s="211"/>
    </row>
    <row r="7879" spans="14:14" x14ac:dyDescent="0.4">
      <c r="N7879" s="211"/>
    </row>
    <row r="7880" spans="14:14" x14ac:dyDescent="0.4">
      <c r="N7880" s="211"/>
    </row>
    <row r="7881" spans="14:14" x14ac:dyDescent="0.4">
      <c r="N7881" s="211"/>
    </row>
    <row r="7882" spans="14:14" x14ac:dyDescent="0.4">
      <c r="N7882" s="211"/>
    </row>
    <row r="7883" spans="14:14" x14ac:dyDescent="0.4">
      <c r="N7883" s="211"/>
    </row>
    <row r="7884" spans="14:14" x14ac:dyDescent="0.4">
      <c r="N7884" s="211"/>
    </row>
    <row r="7885" spans="14:14" x14ac:dyDescent="0.4">
      <c r="N7885" s="211"/>
    </row>
    <row r="7886" spans="14:14" x14ac:dyDescent="0.4">
      <c r="N7886" s="211"/>
    </row>
    <row r="7887" spans="14:14" x14ac:dyDescent="0.4">
      <c r="N7887" s="211"/>
    </row>
    <row r="7888" spans="14:14" x14ac:dyDescent="0.4">
      <c r="N7888" s="211"/>
    </row>
    <row r="7889" spans="14:14" x14ac:dyDescent="0.4">
      <c r="N7889" s="211"/>
    </row>
    <row r="7890" spans="14:14" x14ac:dyDescent="0.4">
      <c r="N7890" s="211"/>
    </row>
    <row r="7891" spans="14:14" x14ac:dyDescent="0.4">
      <c r="N7891" s="211"/>
    </row>
    <row r="7892" spans="14:14" x14ac:dyDescent="0.4">
      <c r="N7892" s="211"/>
    </row>
    <row r="7893" spans="14:14" x14ac:dyDescent="0.4">
      <c r="N7893" s="211"/>
    </row>
    <row r="7894" spans="14:14" x14ac:dyDescent="0.4">
      <c r="N7894" s="211"/>
    </row>
    <row r="7895" spans="14:14" x14ac:dyDescent="0.4">
      <c r="N7895" s="211"/>
    </row>
    <row r="7896" spans="14:14" x14ac:dyDescent="0.4">
      <c r="N7896" s="211"/>
    </row>
    <row r="7897" spans="14:14" x14ac:dyDescent="0.4">
      <c r="N7897" s="211"/>
    </row>
    <row r="7898" spans="14:14" x14ac:dyDescent="0.4">
      <c r="N7898" s="211"/>
    </row>
    <row r="7899" spans="14:14" x14ac:dyDescent="0.4">
      <c r="N7899" s="211"/>
    </row>
    <row r="7900" spans="14:14" x14ac:dyDescent="0.4">
      <c r="N7900" s="211"/>
    </row>
    <row r="7901" spans="14:14" x14ac:dyDescent="0.4">
      <c r="N7901" s="211"/>
    </row>
    <row r="7902" spans="14:14" x14ac:dyDescent="0.4">
      <c r="N7902" s="211"/>
    </row>
    <row r="7903" spans="14:14" x14ac:dyDescent="0.4">
      <c r="N7903" s="211"/>
    </row>
    <row r="7904" spans="14:14" x14ac:dyDescent="0.4">
      <c r="N7904" s="211"/>
    </row>
    <row r="7905" spans="14:14" x14ac:dyDescent="0.4">
      <c r="N7905" s="211"/>
    </row>
    <row r="7906" spans="14:14" x14ac:dyDescent="0.4">
      <c r="N7906" s="211"/>
    </row>
    <row r="7907" spans="14:14" x14ac:dyDescent="0.4">
      <c r="N7907" s="211"/>
    </row>
    <row r="7908" spans="14:14" x14ac:dyDescent="0.4">
      <c r="N7908" s="211"/>
    </row>
    <row r="7909" spans="14:14" x14ac:dyDescent="0.4">
      <c r="N7909" s="211"/>
    </row>
    <row r="7910" spans="14:14" x14ac:dyDescent="0.4">
      <c r="N7910" s="211"/>
    </row>
    <row r="7911" spans="14:14" x14ac:dyDescent="0.4">
      <c r="N7911" s="211"/>
    </row>
    <row r="7912" spans="14:14" x14ac:dyDescent="0.4">
      <c r="N7912" s="211"/>
    </row>
    <row r="7913" spans="14:14" x14ac:dyDescent="0.4">
      <c r="N7913" s="211"/>
    </row>
    <row r="7914" spans="14:14" x14ac:dyDescent="0.4">
      <c r="N7914" s="211"/>
    </row>
    <row r="7915" spans="14:14" x14ac:dyDescent="0.4">
      <c r="N7915" s="211"/>
    </row>
    <row r="7916" spans="14:14" x14ac:dyDescent="0.4">
      <c r="N7916" s="211"/>
    </row>
    <row r="7917" spans="14:14" x14ac:dyDescent="0.4">
      <c r="N7917" s="211"/>
    </row>
    <row r="7918" spans="14:14" x14ac:dyDescent="0.4">
      <c r="N7918" s="211"/>
    </row>
    <row r="7919" spans="14:14" x14ac:dyDescent="0.4">
      <c r="N7919" s="211"/>
    </row>
    <row r="7920" spans="14:14" x14ac:dyDescent="0.4">
      <c r="N7920" s="211"/>
    </row>
    <row r="7921" spans="14:14" x14ac:dyDescent="0.4">
      <c r="N7921" s="211"/>
    </row>
    <row r="7922" spans="14:14" x14ac:dyDescent="0.4">
      <c r="N7922" s="211"/>
    </row>
    <row r="7923" spans="14:14" x14ac:dyDescent="0.4">
      <c r="N7923" s="211"/>
    </row>
    <row r="7924" spans="14:14" x14ac:dyDescent="0.4">
      <c r="N7924" s="211"/>
    </row>
    <row r="7925" spans="14:14" x14ac:dyDescent="0.4">
      <c r="N7925" s="211"/>
    </row>
    <row r="7926" spans="14:14" x14ac:dyDescent="0.4">
      <c r="N7926" s="211"/>
    </row>
    <row r="7927" spans="14:14" x14ac:dyDescent="0.4">
      <c r="N7927" s="211"/>
    </row>
    <row r="7928" spans="14:14" x14ac:dyDescent="0.4">
      <c r="N7928" s="211"/>
    </row>
    <row r="7929" spans="14:14" x14ac:dyDescent="0.4">
      <c r="N7929" s="211"/>
    </row>
    <row r="7930" spans="14:14" x14ac:dyDescent="0.4">
      <c r="N7930" s="211"/>
    </row>
    <row r="7931" spans="14:14" x14ac:dyDescent="0.4">
      <c r="N7931" s="211"/>
    </row>
    <row r="7932" spans="14:14" x14ac:dyDescent="0.4">
      <c r="N7932" s="211"/>
    </row>
    <row r="7933" spans="14:14" x14ac:dyDescent="0.4">
      <c r="N7933" s="211"/>
    </row>
    <row r="7934" spans="14:14" x14ac:dyDescent="0.4">
      <c r="N7934" s="211"/>
    </row>
    <row r="7935" spans="14:14" x14ac:dyDescent="0.4">
      <c r="N7935" s="211"/>
    </row>
    <row r="7936" spans="14:14" x14ac:dyDescent="0.4">
      <c r="N7936" s="211"/>
    </row>
    <row r="7937" spans="14:14" x14ac:dyDescent="0.4">
      <c r="N7937" s="211"/>
    </row>
    <row r="7938" spans="14:14" x14ac:dyDescent="0.4">
      <c r="N7938" s="211"/>
    </row>
    <row r="7939" spans="14:14" x14ac:dyDescent="0.4">
      <c r="N7939" s="211"/>
    </row>
    <row r="7940" spans="14:14" x14ac:dyDescent="0.4">
      <c r="N7940" s="211"/>
    </row>
    <row r="7941" spans="14:14" x14ac:dyDescent="0.4">
      <c r="N7941" s="211"/>
    </row>
    <row r="7942" spans="14:14" x14ac:dyDescent="0.4">
      <c r="N7942" s="211"/>
    </row>
    <row r="7943" spans="14:14" x14ac:dyDescent="0.4">
      <c r="N7943" s="211"/>
    </row>
    <row r="7944" spans="14:14" x14ac:dyDescent="0.4">
      <c r="N7944" s="211"/>
    </row>
    <row r="7945" spans="14:14" x14ac:dyDescent="0.4">
      <c r="N7945" s="211"/>
    </row>
    <row r="7946" spans="14:14" x14ac:dyDescent="0.4">
      <c r="N7946" s="211"/>
    </row>
    <row r="7947" spans="14:14" x14ac:dyDescent="0.4">
      <c r="N7947" s="211"/>
    </row>
    <row r="7948" spans="14:14" x14ac:dyDescent="0.4">
      <c r="N7948" s="211"/>
    </row>
    <row r="7949" spans="14:14" x14ac:dyDescent="0.4">
      <c r="N7949" s="211"/>
    </row>
    <row r="7950" spans="14:14" x14ac:dyDescent="0.4">
      <c r="N7950" s="211"/>
    </row>
    <row r="7951" spans="14:14" x14ac:dyDescent="0.4">
      <c r="N7951" s="211"/>
    </row>
    <row r="7952" spans="14:14" x14ac:dyDescent="0.4">
      <c r="N7952" s="211"/>
    </row>
    <row r="7953" spans="14:14" x14ac:dyDescent="0.4">
      <c r="N7953" s="211"/>
    </row>
    <row r="7954" spans="14:14" x14ac:dyDescent="0.4">
      <c r="N7954" s="211"/>
    </row>
    <row r="7955" spans="14:14" x14ac:dyDescent="0.4">
      <c r="N7955" s="211"/>
    </row>
    <row r="7956" spans="14:14" x14ac:dyDescent="0.4">
      <c r="N7956" s="211"/>
    </row>
    <row r="7957" spans="14:14" x14ac:dyDescent="0.4">
      <c r="N7957" s="211"/>
    </row>
    <row r="7958" spans="14:14" x14ac:dyDescent="0.4">
      <c r="N7958" s="211"/>
    </row>
    <row r="7959" spans="14:14" x14ac:dyDescent="0.4">
      <c r="N7959" s="211"/>
    </row>
    <row r="7960" spans="14:14" x14ac:dyDescent="0.4">
      <c r="N7960" s="211"/>
    </row>
    <row r="7961" spans="14:14" x14ac:dyDescent="0.4">
      <c r="N7961" s="211"/>
    </row>
    <row r="7962" spans="14:14" x14ac:dyDescent="0.4">
      <c r="N7962" s="211"/>
    </row>
    <row r="7963" spans="14:14" x14ac:dyDescent="0.4">
      <c r="N7963" s="211"/>
    </row>
    <row r="7964" spans="14:14" x14ac:dyDescent="0.4">
      <c r="N7964" s="211"/>
    </row>
    <row r="7965" spans="14:14" x14ac:dyDescent="0.4">
      <c r="N7965" s="211"/>
    </row>
    <row r="7966" spans="14:14" x14ac:dyDescent="0.4">
      <c r="N7966" s="211"/>
    </row>
    <row r="7967" spans="14:14" x14ac:dyDescent="0.4">
      <c r="N7967" s="211"/>
    </row>
    <row r="7968" spans="14:14" x14ac:dyDescent="0.4">
      <c r="N7968" s="211"/>
    </row>
    <row r="7969" spans="14:14" x14ac:dyDescent="0.4">
      <c r="N7969" s="211"/>
    </row>
    <row r="7970" spans="14:14" x14ac:dyDescent="0.4">
      <c r="N7970" s="211"/>
    </row>
    <row r="7971" spans="14:14" x14ac:dyDescent="0.4">
      <c r="N7971" s="211"/>
    </row>
    <row r="7972" spans="14:14" x14ac:dyDescent="0.4">
      <c r="N7972" s="211"/>
    </row>
    <row r="7973" spans="14:14" x14ac:dyDescent="0.4">
      <c r="N7973" s="211"/>
    </row>
    <row r="7974" spans="14:14" x14ac:dyDescent="0.4">
      <c r="N7974" s="211"/>
    </row>
    <row r="7975" spans="14:14" x14ac:dyDescent="0.4">
      <c r="N7975" s="211"/>
    </row>
    <row r="7976" spans="14:14" x14ac:dyDescent="0.4">
      <c r="N7976" s="211"/>
    </row>
    <row r="7977" spans="14:14" x14ac:dyDescent="0.4">
      <c r="N7977" s="211"/>
    </row>
    <row r="7978" spans="14:14" x14ac:dyDescent="0.4">
      <c r="N7978" s="211"/>
    </row>
    <row r="7979" spans="14:14" x14ac:dyDescent="0.4">
      <c r="N7979" s="211"/>
    </row>
    <row r="7980" spans="14:14" x14ac:dyDescent="0.4">
      <c r="N7980" s="211"/>
    </row>
    <row r="7981" spans="14:14" x14ac:dyDescent="0.4">
      <c r="N7981" s="211"/>
    </row>
    <row r="7982" spans="14:14" x14ac:dyDescent="0.4">
      <c r="N7982" s="211"/>
    </row>
    <row r="7983" spans="14:14" x14ac:dyDescent="0.4">
      <c r="N7983" s="211"/>
    </row>
    <row r="7984" spans="14:14" x14ac:dyDescent="0.4">
      <c r="N7984" s="211"/>
    </row>
    <row r="7985" spans="14:14" x14ac:dyDescent="0.4">
      <c r="N7985" s="211"/>
    </row>
    <row r="7986" spans="14:14" x14ac:dyDescent="0.4">
      <c r="N7986" s="211"/>
    </row>
    <row r="7987" spans="14:14" x14ac:dyDescent="0.4">
      <c r="N7987" s="211"/>
    </row>
    <row r="7988" spans="14:14" x14ac:dyDescent="0.4">
      <c r="N7988" s="211"/>
    </row>
    <row r="7989" spans="14:14" x14ac:dyDescent="0.4">
      <c r="N7989" s="211"/>
    </row>
    <row r="7990" spans="14:14" x14ac:dyDescent="0.4">
      <c r="N7990" s="211"/>
    </row>
    <row r="7991" spans="14:14" x14ac:dyDescent="0.4">
      <c r="N7991" s="211"/>
    </row>
    <row r="7992" spans="14:14" x14ac:dyDescent="0.4">
      <c r="N7992" s="211"/>
    </row>
    <row r="7993" spans="14:14" x14ac:dyDescent="0.4">
      <c r="N7993" s="211"/>
    </row>
    <row r="7994" spans="14:14" x14ac:dyDescent="0.4">
      <c r="N7994" s="211"/>
    </row>
    <row r="7995" spans="14:14" x14ac:dyDescent="0.4">
      <c r="N7995" s="211"/>
    </row>
    <row r="7996" spans="14:14" x14ac:dyDescent="0.4">
      <c r="N7996" s="211"/>
    </row>
    <row r="7997" spans="14:14" x14ac:dyDescent="0.4">
      <c r="N7997" s="211"/>
    </row>
    <row r="7998" spans="14:14" x14ac:dyDescent="0.4">
      <c r="N7998" s="211"/>
    </row>
    <row r="7999" spans="14:14" x14ac:dyDescent="0.4">
      <c r="N7999" s="211"/>
    </row>
    <row r="8000" spans="14:14" x14ac:dyDescent="0.4">
      <c r="N8000" s="211"/>
    </row>
    <row r="8001" spans="14:14" x14ac:dyDescent="0.4">
      <c r="N8001" s="211"/>
    </row>
    <row r="8002" spans="14:14" x14ac:dyDescent="0.4">
      <c r="N8002" s="211"/>
    </row>
    <row r="8003" spans="14:14" x14ac:dyDescent="0.4">
      <c r="N8003" s="211"/>
    </row>
    <row r="8004" spans="14:14" x14ac:dyDescent="0.4">
      <c r="N8004" s="211"/>
    </row>
    <row r="8005" spans="14:14" x14ac:dyDescent="0.4">
      <c r="N8005" s="211"/>
    </row>
    <row r="8006" spans="14:14" x14ac:dyDescent="0.4">
      <c r="N8006" s="211"/>
    </row>
    <row r="8007" spans="14:14" x14ac:dyDescent="0.4">
      <c r="N8007" s="211"/>
    </row>
    <row r="8008" spans="14:14" x14ac:dyDescent="0.4">
      <c r="N8008" s="211"/>
    </row>
    <row r="8009" spans="14:14" x14ac:dyDescent="0.4">
      <c r="N8009" s="211"/>
    </row>
    <row r="8010" spans="14:14" x14ac:dyDescent="0.4">
      <c r="N8010" s="211"/>
    </row>
    <row r="8011" spans="14:14" x14ac:dyDescent="0.4">
      <c r="N8011" s="211"/>
    </row>
    <row r="8012" spans="14:14" x14ac:dyDescent="0.4">
      <c r="N8012" s="211"/>
    </row>
    <row r="8013" spans="14:14" x14ac:dyDescent="0.4">
      <c r="N8013" s="211"/>
    </row>
    <row r="8014" spans="14:14" x14ac:dyDescent="0.4">
      <c r="N8014" s="211"/>
    </row>
    <row r="8015" spans="14:14" x14ac:dyDescent="0.4">
      <c r="N8015" s="211"/>
    </row>
    <row r="8016" spans="14:14" x14ac:dyDescent="0.4">
      <c r="N8016" s="211"/>
    </row>
    <row r="8017" spans="14:14" x14ac:dyDescent="0.4">
      <c r="N8017" s="211"/>
    </row>
    <row r="8018" spans="14:14" x14ac:dyDescent="0.4">
      <c r="N8018" s="211"/>
    </row>
    <row r="8019" spans="14:14" x14ac:dyDescent="0.4">
      <c r="N8019" s="211"/>
    </row>
    <row r="8020" spans="14:14" x14ac:dyDescent="0.4">
      <c r="N8020" s="211"/>
    </row>
    <row r="8021" spans="14:14" x14ac:dyDescent="0.4">
      <c r="N8021" s="211"/>
    </row>
    <row r="8022" spans="14:14" x14ac:dyDescent="0.4">
      <c r="N8022" s="211"/>
    </row>
    <row r="8023" spans="14:14" x14ac:dyDescent="0.4">
      <c r="N8023" s="211"/>
    </row>
    <row r="8024" spans="14:14" x14ac:dyDescent="0.4">
      <c r="N8024" s="211"/>
    </row>
    <row r="8025" spans="14:14" x14ac:dyDescent="0.4">
      <c r="N8025" s="211"/>
    </row>
    <row r="8026" spans="14:14" x14ac:dyDescent="0.4">
      <c r="N8026" s="211"/>
    </row>
    <row r="8027" spans="14:14" x14ac:dyDescent="0.4">
      <c r="N8027" s="211"/>
    </row>
    <row r="8028" spans="14:14" x14ac:dyDescent="0.4">
      <c r="N8028" s="211"/>
    </row>
    <row r="8029" spans="14:14" x14ac:dyDescent="0.4">
      <c r="N8029" s="211"/>
    </row>
    <row r="8030" spans="14:14" x14ac:dyDescent="0.4">
      <c r="N8030" s="211"/>
    </row>
    <row r="8031" spans="14:14" x14ac:dyDescent="0.4">
      <c r="N8031" s="211"/>
    </row>
    <row r="8032" spans="14:14" x14ac:dyDescent="0.4">
      <c r="N8032" s="211"/>
    </row>
    <row r="8033" spans="14:14" x14ac:dyDescent="0.4">
      <c r="N8033" s="211"/>
    </row>
    <row r="8034" spans="14:14" x14ac:dyDescent="0.4">
      <c r="N8034" s="211"/>
    </row>
    <row r="8035" spans="14:14" x14ac:dyDescent="0.4">
      <c r="N8035" s="211"/>
    </row>
    <row r="8036" spans="14:14" x14ac:dyDescent="0.4">
      <c r="N8036" s="211"/>
    </row>
    <row r="8037" spans="14:14" x14ac:dyDescent="0.4">
      <c r="N8037" s="211"/>
    </row>
    <row r="8038" spans="14:14" x14ac:dyDescent="0.4">
      <c r="N8038" s="211"/>
    </row>
    <row r="8039" spans="14:14" x14ac:dyDescent="0.4">
      <c r="N8039" s="211"/>
    </row>
    <row r="8040" spans="14:14" x14ac:dyDescent="0.4">
      <c r="N8040" s="211"/>
    </row>
    <row r="8041" spans="14:14" x14ac:dyDescent="0.4">
      <c r="N8041" s="211"/>
    </row>
    <row r="8042" spans="14:14" x14ac:dyDescent="0.4">
      <c r="N8042" s="211"/>
    </row>
    <row r="8043" spans="14:14" x14ac:dyDescent="0.4">
      <c r="N8043" s="211"/>
    </row>
    <row r="8044" spans="14:14" x14ac:dyDescent="0.4">
      <c r="N8044" s="211"/>
    </row>
    <row r="8045" spans="14:14" x14ac:dyDescent="0.4">
      <c r="N8045" s="211"/>
    </row>
    <row r="8046" spans="14:14" x14ac:dyDescent="0.4">
      <c r="N8046" s="211"/>
    </row>
    <row r="8047" spans="14:14" x14ac:dyDescent="0.4">
      <c r="N8047" s="211"/>
    </row>
    <row r="8048" spans="14:14" x14ac:dyDescent="0.4">
      <c r="N8048" s="211"/>
    </row>
    <row r="8049" spans="14:14" x14ac:dyDescent="0.4">
      <c r="N8049" s="211"/>
    </row>
    <row r="8050" spans="14:14" x14ac:dyDescent="0.4">
      <c r="N8050" s="211"/>
    </row>
    <row r="8051" spans="14:14" x14ac:dyDescent="0.4">
      <c r="N8051" s="211"/>
    </row>
    <row r="8052" spans="14:14" x14ac:dyDescent="0.4">
      <c r="N8052" s="211"/>
    </row>
    <row r="8053" spans="14:14" x14ac:dyDescent="0.4">
      <c r="N8053" s="211"/>
    </row>
    <row r="8054" spans="14:14" x14ac:dyDescent="0.4">
      <c r="N8054" s="211"/>
    </row>
    <row r="8055" spans="14:14" x14ac:dyDescent="0.4">
      <c r="N8055" s="211"/>
    </row>
    <row r="8056" spans="14:14" x14ac:dyDescent="0.4">
      <c r="N8056" s="211"/>
    </row>
    <row r="8057" spans="14:14" x14ac:dyDescent="0.4">
      <c r="N8057" s="211"/>
    </row>
    <row r="8058" spans="14:14" x14ac:dyDescent="0.4">
      <c r="N8058" s="211"/>
    </row>
    <row r="8059" spans="14:14" x14ac:dyDescent="0.4">
      <c r="N8059" s="211"/>
    </row>
    <row r="8060" spans="14:14" x14ac:dyDescent="0.4">
      <c r="N8060" s="211"/>
    </row>
    <row r="8061" spans="14:14" x14ac:dyDescent="0.4">
      <c r="N8061" s="211"/>
    </row>
    <row r="8062" spans="14:14" x14ac:dyDescent="0.4">
      <c r="N8062" s="211"/>
    </row>
    <row r="8063" spans="14:14" x14ac:dyDescent="0.4">
      <c r="N8063" s="211"/>
    </row>
    <row r="8064" spans="14:14" x14ac:dyDescent="0.4">
      <c r="N8064" s="211"/>
    </row>
    <row r="8065" spans="14:14" x14ac:dyDescent="0.4">
      <c r="N8065" s="211"/>
    </row>
    <row r="8066" spans="14:14" x14ac:dyDescent="0.4">
      <c r="N8066" s="211"/>
    </row>
    <row r="8067" spans="14:14" x14ac:dyDescent="0.4">
      <c r="N8067" s="211"/>
    </row>
    <row r="8068" spans="14:14" x14ac:dyDescent="0.4">
      <c r="N8068" s="211"/>
    </row>
    <row r="8069" spans="14:14" x14ac:dyDescent="0.4">
      <c r="N8069" s="211"/>
    </row>
    <row r="8070" spans="14:14" x14ac:dyDescent="0.4">
      <c r="N8070" s="211"/>
    </row>
    <row r="8071" spans="14:14" x14ac:dyDescent="0.4">
      <c r="N8071" s="211"/>
    </row>
    <row r="8072" spans="14:14" x14ac:dyDescent="0.4">
      <c r="N8072" s="211"/>
    </row>
    <row r="8073" spans="14:14" x14ac:dyDescent="0.4">
      <c r="N8073" s="211"/>
    </row>
    <row r="8074" spans="14:14" x14ac:dyDescent="0.4">
      <c r="N8074" s="211"/>
    </row>
    <row r="8075" spans="14:14" x14ac:dyDescent="0.4">
      <c r="N8075" s="211"/>
    </row>
    <row r="8076" spans="14:14" x14ac:dyDescent="0.4">
      <c r="N8076" s="211"/>
    </row>
    <row r="8077" spans="14:14" x14ac:dyDescent="0.4">
      <c r="N8077" s="211"/>
    </row>
    <row r="8078" spans="14:14" x14ac:dyDescent="0.4">
      <c r="N8078" s="211"/>
    </row>
    <row r="8079" spans="14:14" x14ac:dyDescent="0.4">
      <c r="N8079" s="211"/>
    </row>
    <row r="8080" spans="14:14" x14ac:dyDescent="0.4">
      <c r="N8080" s="211"/>
    </row>
    <row r="8081" spans="14:14" x14ac:dyDescent="0.4">
      <c r="N8081" s="211"/>
    </row>
    <row r="8082" spans="14:14" x14ac:dyDescent="0.4">
      <c r="N8082" s="211"/>
    </row>
    <row r="8083" spans="14:14" x14ac:dyDescent="0.4">
      <c r="N8083" s="211"/>
    </row>
    <row r="8084" spans="14:14" x14ac:dyDescent="0.4">
      <c r="N8084" s="211"/>
    </row>
    <row r="8085" spans="14:14" x14ac:dyDescent="0.4">
      <c r="N8085" s="211"/>
    </row>
    <row r="8086" spans="14:14" x14ac:dyDescent="0.4">
      <c r="N8086" s="211"/>
    </row>
    <row r="8087" spans="14:14" x14ac:dyDescent="0.4">
      <c r="N8087" s="211"/>
    </row>
    <row r="8088" spans="14:14" x14ac:dyDescent="0.4">
      <c r="N8088" s="211"/>
    </row>
    <row r="8089" spans="14:14" x14ac:dyDescent="0.4">
      <c r="N8089" s="211"/>
    </row>
    <row r="8090" spans="14:14" x14ac:dyDescent="0.4">
      <c r="N8090" s="211"/>
    </row>
    <row r="8091" spans="14:14" x14ac:dyDescent="0.4">
      <c r="N8091" s="211"/>
    </row>
    <row r="8092" spans="14:14" x14ac:dyDescent="0.4">
      <c r="N8092" s="211"/>
    </row>
    <row r="8093" spans="14:14" x14ac:dyDescent="0.4">
      <c r="N8093" s="211"/>
    </row>
    <row r="8094" spans="14:14" x14ac:dyDescent="0.4">
      <c r="N8094" s="211"/>
    </row>
    <row r="8095" spans="14:14" x14ac:dyDescent="0.4">
      <c r="N8095" s="211"/>
    </row>
    <row r="8096" spans="14:14" x14ac:dyDescent="0.4">
      <c r="N8096" s="211"/>
    </row>
    <row r="8097" spans="14:14" x14ac:dyDescent="0.4">
      <c r="N8097" s="211"/>
    </row>
    <row r="8098" spans="14:14" x14ac:dyDescent="0.4">
      <c r="N8098" s="211"/>
    </row>
    <row r="8099" spans="14:14" x14ac:dyDescent="0.4">
      <c r="N8099" s="211"/>
    </row>
    <row r="8100" spans="14:14" x14ac:dyDescent="0.4">
      <c r="N8100" s="211"/>
    </row>
    <row r="8101" spans="14:14" x14ac:dyDescent="0.4">
      <c r="N8101" s="211"/>
    </row>
    <row r="8102" spans="14:14" x14ac:dyDescent="0.4">
      <c r="N8102" s="211"/>
    </row>
    <row r="8103" spans="14:14" x14ac:dyDescent="0.4">
      <c r="N8103" s="211"/>
    </row>
    <row r="8104" spans="14:14" x14ac:dyDescent="0.4">
      <c r="N8104" s="211"/>
    </row>
    <row r="8105" spans="14:14" x14ac:dyDescent="0.4">
      <c r="N8105" s="211"/>
    </row>
    <row r="8106" spans="14:14" x14ac:dyDescent="0.4">
      <c r="N8106" s="211"/>
    </row>
    <row r="8107" spans="14:14" x14ac:dyDescent="0.4">
      <c r="N8107" s="211"/>
    </row>
    <row r="8108" spans="14:14" x14ac:dyDescent="0.4">
      <c r="N8108" s="211"/>
    </row>
    <row r="8109" spans="14:14" x14ac:dyDescent="0.4">
      <c r="N8109" s="211"/>
    </row>
    <row r="8110" spans="14:14" x14ac:dyDescent="0.4">
      <c r="N8110" s="211"/>
    </row>
    <row r="8111" spans="14:14" x14ac:dyDescent="0.4">
      <c r="N8111" s="211"/>
    </row>
    <row r="8112" spans="14:14" x14ac:dyDescent="0.4">
      <c r="N8112" s="211"/>
    </row>
    <row r="8113" spans="14:14" x14ac:dyDescent="0.4">
      <c r="N8113" s="211"/>
    </row>
    <row r="8114" spans="14:14" x14ac:dyDescent="0.4">
      <c r="N8114" s="211"/>
    </row>
    <row r="8115" spans="14:14" x14ac:dyDescent="0.4">
      <c r="N8115" s="211"/>
    </row>
    <row r="8116" spans="14:14" x14ac:dyDescent="0.4">
      <c r="N8116" s="211"/>
    </row>
    <row r="8117" spans="14:14" x14ac:dyDescent="0.4">
      <c r="N8117" s="211"/>
    </row>
    <row r="8118" spans="14:14" x14ac:dyDescent="0.4">
      <c r="N8118" s="211"/>
    </row>
    <row r="8119" spans="14:14" x14ac:dyDescent="0.4">
      <c r="N8119" s="211"/>
    </row>
    <row r="8120" spans="14:14" x14ac:dyDescent="0.4">
      <c r="N8120" s="211"/>
    </row>
    <row r="8121" spans="14:14" x14ac:dyDescent="0.4">
      <c r="N8121" s="211"/>
    </row>
    <row r="8122" spans="14:14" x14ac:dyDescent="0.4">
      <c r="N8122" s="211"/>
    </row>
    <row r="8123" spans="14:14" x14ac:dyDescent="0.4">
      <c r="N8123" s="211"/>
    </row>
    <row r="8124" spans="14:14" x14ac:dyDescent="0.4">
      <c r="N8124" s="211"/>
    </row>
    <row r="8125" spans="14:14" x14ac:dyDescent="0.4">
      <c r="N8125" s="211"/>
    </row>
    <row r="8126" spans="14:14" x14ac:dyDescent="0.4">
      <c r="N8126" s="211"/>
    </row>
    <row r="8127" spans="14:14" x14ac:dyDescent="0.4">
      <c r="N8127" s="211"/>
    </row>
    <row r="8128" spans="14:14" x14ac:dyDescent="0.4">
      <c r="N8128" s="211"/>
    </row>
    <row r="8129" spans="14:14" x14ac:dyDescent="0.4">
      <c r="N8129" s="211"/>
    </row>
    <row r="8130" spans="14:14" x14ac:dyDescent="0.4">
      <c r="N8130" s="211"/>
    </row>
    <row r="8131" spans="14:14" x14ac:dyDescent="0.4">
      <c r="N8131" s="211"/>
    </row>
    <row r="8132" spans="14:14" x14ac:dyDescent="0.4">
      <c r="N8132" s="211"/>
    </row>
    <row r="8133" spans="14:14" x14ac:dyDescent="0.4">
      <c r="N8133" s="211"/>
    </row>
    <row r="8134" spans="14:14" x14ac:dyDescent="0.4">
      <c r="N8134" s="211"/>
    </row>
    <row r="8135" spans="14:14" x14ac:dyDescent="0.4">
      <c r="N8135" s="211"/>
    </row>
    <row r="8136" spans="14:14" x14ac:dyDescent="0.4">
      <c r="N8136" s="211"/>
    </row>
    <row r="8137" spans="14:14" x14ac:dyDescent="0.4">
      <c r="N8137" s="211"/>
    </row>
    <row r="8138" spans="14:14" x14ac:dyDescent="0.4">
      <c r="N8138" s="211"/>
    </row>
    <row r="8139" spans="14:14" x14ac:dyDescent="0.4">
      <c r="N8139" s="211"/>
    </row>
    <row r="8140" spans="14:14" x14ac:dyDescent="0.4">
      <c r="N8140" s="211"/>
    </row>
    <row r="8141" spans="14:14" x14ac:dyDescent="0.4">
      <c r="N8141" s="211"/>
    </row>
    <row r="8142" spans="14:14" x14ac:dyDescent="0.4">
      <c r="N8142" s="211"/>
    </row>
    <row r="8143" spans="14:14" x14ac:dyDescent="0.4">
      <c r="N8143" s="211"/>
    </row>
    <row r="8144" spans="14:14" x14ac:dyDescent="0.4">
      <c r="N8144" s="211"/>
    </row>
    <row r="8145" spans="14:14" x14ac:dyDescent="0.4">
      <c r="N8145" s="211"/>
    </row>
    <row r="8146" spans="14:14" x14ac:dyDescent="0.4">
      <c r="N8146" s="211"/>
    </row>
    <row r="8147" spans="14:14" x14ac:dyDescent="0.4">
      <c r="N8147" s="211"/>
    </row>
    <row r="8148" spans="14:14" x14ac:dyDescent="0.4">
      <c r="N8148" s="211"/>
    </row>
    <row r="8149" spans="14:14" x14ac:dyDescent="0.4">
      <c r="N8149" s="211"/>
    </row>
    <row r="8150" spans="14:14" x14ac:dyDescent="0.4">
      <c r="N8150" s="211"/>
    </row>
    <row r="8151" spans="14:14" x14ac:dyDescent="0.4">
      <c r="N8151" s="211"/>
    </row>
    <row r="8152" spans="14:14" x14ac:dyDescent="0.4">
      <c r="N8152" s="211"/>
    </row>
    <row r="8153" spans="14:14" x14ac:dyDescent="0.4">
      <c r="N8153" s="211"/>
    </row>
    <row r="8154" spans="14:14" x14ac:dyDescent="0.4">
      <c r="N8154" s="211"/>
    </row>
    <row r="8155" spans="14:14" x14ac:dyDescent="0.4">
      <c r="N8155" s="211"/>
    </row>
    <row r="8156" spans="14:14" x14ac:dyDescent="0.4">
      <c r="N8156" s="211"/>
    </row>
    <row r="8157" spans="14:14" x14ac:dyDescent="0.4">
      <c r="N8157" s="211"/>
    </row>
    <row r="8158" spans="14:14" x14ac:dyDescent="0.4">
      <c r="N8158" s="211"/>
    </row>
    <row r="8159" spans="14:14" x14ac:dyDescent="0.4">
      <c r="N8159" s="211"/>
    </row>
    <row r="8160" spans="14:14" x14ac:dyDescent="0.4">
      <c r="N8160" s="211"/>
    </row>
    <row r="8161" spans="14:14" x14ac:dyDescent="0.4">
      <c r="N8161" s="211"/>
    </row>
    <row r="8162" spans="14:14" x14ac:dyDescent="0.4">
      <c r="N8162" s="211"/>
    </row>
    <row r="8163" spans="14:14" x14ac:dyDescent="0.4">
      <c r="N8163" s="211"/>
    </row>
    <row r="8164" spans="14:14" x14ac:dyDescent="0.4">
      <c r="N8164" s="211"/>
    </row>
    <row r="8165" spans="14:14" x14ac:dyDescent="0.4">
      <c r="N8165" s="211"/>
    </row>
    <row r="8166" spans="14:14" x14ac:dyDescent="0.4">
      <c r="N8166" s="211"/>
    </row>
    <row r="8167" spans="14:14" x14ac:dyDescent="0.4">
      <c r="N8167" s="211"/>
    </row>
    <row r="8168" spans="14:14" x14ac:dyDescent="0.4">
      <c r="N8168" s="211"/>
    </row>
    <row r="8169" spans="14:14" x14ac:dyDescent="0.4">
      <c r="N8169" s="211"/>
    </row>
    <row r="8170" spans="14:14" x14ac:dyDescent="0.4">
      <c r="N8170" s="211"/>
    </row>
    <row r="8171" spans="14:14" x14ac:dyDescent="0.4">
      <c r="N8171" s="211"/>
    </row>
    <row r="8172" spans="14:14" x14ac:dyDescent="0.4">
      <c r="N8172" s="211"/>
    </row>
    <row r="8173" spans="14:14" x14ac:dyDescent="0.4">
      <c r="N8173" s="211"/>
    </row>
    <row r="8174" spans="14:14" x14ac:dyDescent="0.4">
      <c r="N8174" s="211"/>
    </row>
    <row r="8175" spans="14:14" x14ac:dyDescent="0.4">
      <c r="N8175" s="211"/>
    </row>
    <row r="8176" spans="14:14" x14ac:dyDescent="0.4">
      <c r="N8176" s="211"/>
    </row>
    <row r="8177" spans="14:14" x14ac:dyDescent="0.4">
      <c r="N8177" s="211"/>
    </row>
    <row r="8178" spans="14:14" x14ac:dyDescent="0.4">
      <c r="N8178" s="211"/>
    </row>
    <row r="8179" spans="14:14" x14ac:dyDescent="0.4">
      <c r="N8179" s="211"/>
    </row>
    <row r="8180" spans="14:14" x14ac:dyDescent="0.4">
      <c r="N8180" s="211"/>
    </row>
    <row r="8181" spans="14:14" x14ac:dyDescent="0.4">
      <c r="N8181" s="211"/>
    </row>
    <row r="8182" spans="14:14" x14ac:dyDescent="0.4">
      <c r="N8182" s="211"/>
    </row>
    <row r="8183" spans="14:14" x14ac:dyDescent="0.4">
      <c r="N8183" s="211"/>
    </row>
    <row r="8184" spans="14:14" x14ac:dyDescent="0.4">
      <c r="N8184" s="211"/>
    </row>
    <row r="8185" spans="14:14" x14ac:dyDescent="0.4">
      <c r="N8185" s="211"/>
    </row>
    <row r="8186" spans="14:14" x14ac:dyDescent="0.4">
      <c r="N8186" s="211"/>
    </row>
    <row r="8187" spans="14:14" x14ac:dyDescent="0.4">
      <c r="N8187" s="211"/>
    </row>
    <row r="8188" spans="14:14" x14ac:dyDescent="0.4">
      <c r="N8188" s="211"/>
    </row>
    <row r="8189" spans="14:14" x14ac:dyDescent="0.4">
      <c r="N8189" s="211"/>
    </row>
    <row r="8190" spans="14:14" x14ac:dyDescent="0.4">
      <c r="N8190" s="211"/>
    </row>
    <row r="8191" spans="14:14" x14ac:dyDescent="0.4">
      <c r="N8191" s="211"/>
    </row>
    <row r="8192" spans="14:14" x14ac:dyDescent="0.4">
      <c r="N8192" s="211"/>
    </row>
    <row r="8193" spans="14:14" x14ac:dyDescent="0.4">
      <c r="N8193" s="211"/>
    </row>
    <row r="8194" spans="14:14" x14ac:dyDescent="0.4">
      <c r="N8194" s="211"/>
    </row>
    <row r="8195" spans="14:14" x14ac:dyDescent="0.4">
      <c r="N8195" s="211"/>
    </row>
    <row r="8196" spans="14:14" x14ac:dyDescent="0.4">
      <c r="N8196" s="211"/>
    </row>
    <row r="8197" spans="14:14" x14ac:dyDescent="0.4">
      <c r="N8197" s="211"/>
    </row>
    <row r="8198" spans="14:14" x14ac:dyDescent="0.4">
      <c r="N8198" s="211"/>
    </row>
    <row r="8199" spans="14:14" x14ac:dyDescent="0.4">
      <c r="N8199" s="211"/>
    </row>
    <row r="8200" spans="14:14" x14ac:dyDescent="0.4">
      <c r="N8200" s="211"/>
    </row>
    <row r="8201" spans="14:14" x14ac:dyDescent="0.4">
      <c r="N8201" s="211"/>
    </row>
    <row r="8202" spans="14:14" x14ac:dyDescent="0.4">
      <c r="N8202" s="211"/>
    </row>
    <row r="8203" spans="14:14" x14ac:dyDescent="0.4">
      <c r="N8203" s="211"/>
    </row>
    <row r="8204" spans="14:14" x14ac:dyDescent="0.4">
      <c r="N8204" s="211"/>
    </row>
    <row r="8205" spans="14:14" x14ac:dyDescent="0.4">
      <c r="N8205" s="211"/>
    </row>
    <row r="8206" spans="14:14" x14ac:dyDescent="0.4">
      <c r="N8206" s="211"/>
    </row>
    <row r="8207" spans="14:14" x14ac:dyDescent="0.4">
      <c r="N8207" s="211"/>
    </row>
    <row r="8208" spans="14:14" x14ac:dyDescent="0.4">
      <c r="N8208" s="211"/>
    </row>
    <row r="8209" spans="14:14" x14ac:dyDescent="0.4">
      <c r="N8209" s="211"/>
    </row>
    <row r="8210" spans="14:14" x14ac:dyDescent="0.4">
      <c r="N8210" s="211"/>
    </row>
    <row r="8211" spans="14:14" x14ac:dyDescent="0.4">
      <c r="N8211" s="211"/>
    </row>
    <row r="8212" spans="14:14" x14ac:dyDescent="0.4">
      <c r="N8212" s="211"/>
    </row>
    <row r="8213" spans="14:14" x14ac:dyDescent="0.4">
      <c r="N8213" s="211"/>
    </row>
    <row r="8214" spans="14:14" x14ac:dyDescent="0.4">
      <c r="N8214" s="211"/>
    </row>
    <row r="8215" spans="14:14" x14ac:dyDescent="0.4">
      <c r="N8215" s="211"/>
    </row>
    <row r="8216" spans="14:14" x14ac:dyDescent="0.4">
      <c r="N8216" s="211"/>
    </row>
    <row r="8217" spans="14:14" x14ac:dyDescent="0.4">
      <c r="N8217" s="211"/>
    </row>
    <row r="8218" spans="14:14" x14ac:dyDescent="0.4">
      <c r="N8218" s="211"/>
    </row>
    <row r="8219" spans="14:14" x14ac:dyDescent="0.4">
      <c r="N8219" s="211"/>
    </row>
    <row r="8220" spans="14:14" x14ac:dyDescent="0.4">
      <c r="N8220" s="211"/>
    </row>
    <row r="8221" spans="14:14" x14ac:dyDescent="0.4">
      <c r="N8221" s="211"/>
    </row>
    <row r="8222" spans="14:14" x14ac:dyDescent="0.4">
      <c r="N8222" s="211"/>
    </row>
    <row r="8223" spans="14:14" x14ac:dyDescent="0.4">
      <c r="N8223" s="211"/>
    </row>
    <row r="8224" spans="14:14" x14ac:dyDescent="0.4">
      <c r="N8224" s="211"/>
    </row>
    <row r="8225" spans="14:14" x14ac:dyDescent="0.4">
      <c r="N8225" s="211"/>
    </row>
    <row r="8226" spans="14:14" x14ac:dyDescent="0.4">
      <c r="N8226" s="211"/>
    </row>
    <row r="8227" spans="14:14" x14ac:dyDescent="0.4">
      <c r="N8227" s="211"/>
    </row>
    <row r="8228" spans="14:14" x14ac:dyDescent="0.4">
      <c r="N8228" s="211"/>
    </row>
    <row r="8229" spans="14:14" x14ac:dyDescent="0.4">
      <c r="N8229" s="211"/>
    </row>
    <row r="8230" spans="14:14" x14ac:dyDescent="0.4">
      <c r="N8230" s="211"/>
    </row>
    <row r="8231" spans="14:14" x14ac:dyDescent="0.4">
      <c r="N8231" s="211"/>
    </row>
    <row r="8232" spans="14:14" x14ac:dyDescent="0.4">
      <c r="N8232" s="211"/>
    </row>
    <row r="8233" spans="14:14" x14ac:dyDescent="0.4">
      <c r="N8233" s="211"/>
    </row>
    <row r="8234" spans="14:14" x14ac:dyDescent="0.4">
      <c r="N8234" s="211"/>
    </row>
    <row r="8235" spans="14:14" x14ac:dyDescent="0.4">
      <c r="N8235" s="211"/>
    </row>
    <row r="8236" spans="14:14" x14ac:dyDescent="0.4">
      <c r="N8236" s="211"/>
    </row>
    <row r="8237" spans="14:14" x14ac:dyDescent="0.4">
      <c r="N8237" s="211"/>
    </row>
    <row r="8238" spans="14:14" x14ac:dyDescent="0.4">
      <c r="N8238" s="211"/>
    </row>
    <row r="8239" spans="14:14" x14ac:dyDescent="0.4">
      <c r="N8239" s="211"/>
    </row>
    <row r="8240" spans="14:14" x14ac:dyDescent="0.4">
      <c r="N8240" s="211"/>
    </row>
    <row r="8241" spans="14:14" x14ac:dyDescent="0.4">
      <c r="N8241" s="211"/>
    </row>
    <row r="8242" spans="14:14" x14ac:dyDescent="0.4">
      <c r="N8242" s="211"/>
    </row>
    <row r="8243" spans="14:14" x14ac:dyDescent="0.4">
      <c r="N8243" s="211"/>
    </row>
    <row r="8244" spans="14:14" x14ac:dyDescent="0.4">
      <c r="N8244" s="211"/>
    </row>
    <row r="8245" spans="14:14" x14ac:dyDescent="0.4">
      <c r="N8245" s="211"/>
    </row>
    <row r="8246" spans="14:14" x14ac:dyDescent="0.4">
      <c r="N8246" s="211"/>
    </row>
    <row r="8247" spans="14:14" x14ac:dyDescent="0.4">
      <c r="N8247" s="211"/>
    </row>
    <row r="8248" spans="14:14" x14ac:dyDescent="0.4">
      <c r="N8248" s="211"/>
    </row>
    <row r="8249" spans="14:14" x14ac:dyDescent="0.4">
      <c r="N8249" s="211"/>
    </row>
    <row r="8250" spans="14:14" x14ac:dyDescent="0.4">
      <c r="N8250" s="211"/>
    </row>
    <row r="8251" spans="14:14" x14ac:dyDescent="0.4">
      <c r="N8251" s="211"/>
    </row>
    <row r="8252" spans="14:14" x14ac:dyDescent="0.4">
      <c r="N8252" s="211"/>
    </row>
    <row r="8253" spans="14:14" x14ac:dyDescent="0.4">
      <c r="N8253" s="211"/>
    </row>
    <row r="8254" spans="14:14" x14ac:dyDescent="0.4">
      <c r="N8254" s="211"/>
    </row>
    <row r="8255" spans="14:14" x14ac:dyDescent="0.4">
      <c r="N8255" s="211"/>
    </row>
    <row r="8256" spans="14:14" x14ac:dyDescent="0.4">
      <c r="N8256" s="211"/>
    </row>
    <row r="8257" spans="14:14" x14ac:dyDescent="0.4">
      <c r="N8257" s="211"/>
    </row>
    <row r="8258" spans="14:14" x14ac:dyDescent="0.4">
      <c r="N8258" s="211"/>
    </row>
    <row r="8259" spans="14:14" x14ac:dyDescent="0.4">
      <c r="N8259" s="211"/>
    </row>
    <row r="8260" spans="14:14" x14ac:dyDescent="0.4">
      <c r="N8260" s="211"/>
    </row>
    <row r="8261" spans="14:14" x14ac:dyDescent="0.4">
      <c r="N8261" s="211"/>
    </row>
    <row r="8262" spans="14:14" x14ac:dyDescent="0.4">
      <c r="N8262" s="211"/>
    </row>
    <row r="8263" spans="14:14" x14ac:dyDescent="0.4">
      <c r="N8263" s="211"/>
    </row>
    <row r="8264" spans="14:14" x14ac:dyDescent="0.4">
      <c r="N8264" s="211"/>
    </row>
    <row r="8265" spans="14:14" x14ac:dyDescent="0.4">
      <c r="N8265" s="211"/>
    </row>
    <row r="8266" spans="14:14" x14ac:dyDescent="0.4">
      <c r="N8266" s="211"/>
    </row>
    <row r="8267" spans="14:14" x14ac:dyDescent="0.4">
      <c r="N8267" s="211"/>
    </row>
    <row r="8268" spans="14:14" x14ac:dyDescent="0.4">
      <c r="N8268" s="211"/>
    </row>
    <row r="8269" spans="14:14" x14ac:dyDescent="0.4">
      <c r="N8269" s="211"/>
    </row>
    <row r="8270" spans="14:14" x14ac:dyDescent="0.4">
      <c r="N8270" s="211"/>
    </row>
    <row r="8271" spans="14:14" x14ac:dyDescent="0.4">
      <c r="N8271" s="211"/>
    </row>
    <row r="8272" spans="14:14" x14ac:dyDescent="0.4">
      <c r="N8272" s="211"/>
    </row>
    <row r="8273" spans="14:14" x14ac:dyDescent="0.4">
      <c r="N8273" s="211"/>
    </row>
    <row r="8274" spans="14:14" x14ac:dyDescent="0.4">
      <c r="N8274" s="211"/>
    </row>
    <row r="8275" spans="14:14" x14ac:dyDescent="0.4">
      <c r="N8275" s="211"/>
    </row>
    <row r="8276" spans="14:14" x14ac:dyDescent="0.4">
      <c r="N8276" s="211"/>
    </row>
    <row r="8277" spans="14:14" x14ac:dyDescent="0.4">
      <c r="N8277" s="211"/>
    </row>
    <row r="8278" spans="14:14" x14ac:dyDescent="0.4">
      <c r="N8278" s="211"/>
    </row>
    <row r="8279" spans="14:14" x14ac:dyDescent="0.4">
      <c r="N8279" s="211"/>
    </row>
    <row r="8280" spans="14:14" x14ac:dyDescent="0.4">
      <c r="N8280" s="211"/>
    </row>
    <row r="8281" spans="14:14" x14ac:dyDescent="0.4">
      <c r="N8281" s="211"/>
    </row>
    <row r="8282" spans="14:14" x14ac:dyDescent="0.4">
      <c r="N8282" s="211"/>
    </row>
    <row r="8283" spans="14:14" x14ac:dyDescent="0.4">
      <c r="N8283" s="211"/>
    </row>
    <row r="8284" spans="14:14" x14ac:dyDescent="0.4">
      <c r="N8284" s="211"/>
    </row>
    <row r="8285" spans="14:14" x14ac:dyDescent="0.4">
      <c r="N8285" s="211"/>
    </row>
    <row r="8286" spans="14:14" x14ac:dyDescent="0.4">
      <c r="N8286" s="211"/>
    </row>
    <row r="8287" spans="14:14" x14ac:dyDescent="0.4">
      <c r="N8287" s="211"/>
    </row>
    <row r="8288" spans="14:14" x14ac:dyDescent="0.4">
      <c r="N8288" s="211"/>
    </row>
    <row r="8289" spans="14:14" x14ac:dyDescent="0.4">
      <c r="N8289" s="211"/>
    </row>
    <row r="8290" spans="14:14" x14ac:dyDescent="0.4">
      <c r="N8290" s="211"/>
    </row>
    <row r="8291" spans="14:14" x14ac:dyDescent="0.4">
      <c r="N8291" s="211"/>
    </row>
    <row r="8292" spans="14:14" x14ac:dyDescent="0.4">
      <c r="N8292" s="211"/>
    </row>
    <row r="8293" spans="14:14" x14ac:dyDescent="0.4">
      <c r="N8293" s="211"/>
    </row>
    <row r="8294" spans="14:14" x14ac:dyDescent="0.4">
      <c r="N8294" s="211"/>
    </row>
    <row r="8295" spans="14:14" x14ac:dyDescent="0.4">
      <c r="N8295" s="211"/>
    </row>
    <row r="8296" spans="14:14" x14ac:dyDescent="0.4">
      <c r="N8296" s="211"/>
    </row>
    <row r="8297" spans="14:14" x14ac:dyDescent="0.4">
      <c r="N8297" s="211"/>
    </row>
    <row r="8298" spans="14:14" x14ac:dyDescent="0.4">
      <c r="N8298" s="211"/>
    </row>
    <row r="8299" spans="14:14" x14ac:dyDescent="0.4">
      <c r="N8299" s="211"/>
    </row>
    <row r="8300" spans="14:14" x14ac:dyDescent="0.4">
      <c r="N8300" s="211"/>
    </row>
    <row r="8301" spans="14:14" x14ac:dyDescent="0.4">
      <c r="N8301" s="211"/>
    </row>
    <row r="8302" spans="14:14" x14ac:dyDescent="0.4">
      <c r="N8302" s="211"/>
    </row>
    <row r="8303" spans="14:14" x14ac:dyDescent="0.4">
      <c r="N8303" s="211"/>
    </row>
    <row r="8304" spans="14:14" x14ac:dyDescent="0.4">
      <c r="N8304" s="211"/>
    </row>
    <row r="8305" spans="14:14" x14ac:dyDescent="0.4">
      <c r="N8305" s="211"/>
    </row>
    <row r="8306" spans="14:14" x14ac:dyDescent="0.4">
      <c r="N8306" s="211"/>
    </row>
    <row r="8307" spans="14:14" x14ac:dyDescent="0.4">
      <c r="N8307" s="211"/>
    </row>
    <row r="8308" spans="14:14" x14ac:dyDescent="0.4">
      <c r="N8308" s="211"/>
    </row>
    <row r="8309" spans="14:14" x14ac:dyDescent="0.4">
      <c r="N8309" s="211"/>
    </row>
    <row r="8310" spans="14:14" x14ac:dyDescent="0.4">
      <c r="N8310" s="211"/>
    </row>
    <row r="8311" spans="14:14" x14ac:dyDescent="0.4">
      <c r="N8311" s="211"/>
    </row>
    <row r="8312" spans="14:14" x14ac:dyDescent="0.4">
      <c r="N8312" s="211"/>
    </row>
    <row r="8313" spans="14:14" x14ac:dyDescent="0.4">
      <c r="N8313" s="211"/>
    </row>
    <row r="8314" spans="14:14" x14ac:dyDescent="0.4">
      <c r="N8314" s="211"/>
    </row>
    <row r="8315" spans="14:14" x14ac:dyDescent="0.4">
      <c r="N8315" s="211"/>
    </row>
    <row r="8316" spans="14:14" x14ac:dyDescent="0.4">
      <c r="N8316" s="211"/>
    </row>
    <row r="8317" spans="14:14" x14ac:dyDescent="0.4">
      <c r="N8317" s="211"/>
    </row>
    <row r="8318" spans="14:14" x14ac:dyDescent="0.4">
      <c r="N8318" s="211"/>
    </row>
    <row r="8319" spans="14:14" x14ac:dyDescent="0.4">
      <c r="N8319" s="211"/>
    </row>
    <row r="8320" spans="14:14" x14ac:dyDescent="0.4">
      <c r="N8320" s="211"/>
    </row>
    <row r="8321" spans="14:14" x14ac:dyDescent="0.4">
      <c r="N8321" s="211"/>
    </row>
    <row r="8322" spans="14:14" x14ac:dyDescent="0.4">
      <c r="N8322" s="211"/>
    </row>
    <row r="8323" spans="14:14" x14ac:dyDescent="0.4">
      <c r="N8323" s="211"/>
    </row>
    <row r="8324" spans="14:14" x14ac:dyDescent="0.4">
      <c r="N8324" s="211"/>
    </row>
    <row r="8325" spans="14:14" x14ac:dyDescent="0.4">
      <c r="N8325" s="211"/>
    </row>
    <row r="8326" spans="14:14" x14ac:dyDescent="0.4">
      <c r="N8326" s="211"/>
    </row>
    <row r="8327" spans="14:14" x14ac:dyDescent="0.4">
      <c r="N8327" s="211"/>
    </row>
    <row r="8328" spans="14:14" x14ac:dyDescent="0.4">
      <c r="N8328" s="211"/>
    </row>
    <row r="8329" spans="14:14" x14ac:dyDescent="0.4">
      <c r="N8329" s="211"/>
    </row>
    <row r="8330" spans="14:14" x14ac:dyDescent="0.4">
      <c r="N8330" s="211"/>
    </row>
    <row r="8331" spans="14:14" x14ac:dyDescent="0.4">
      <c r="N8331" s="211"/>
    </row>
    <row r="8332" spans="14:14" x14ac:dyDescent="0.4">
      <c r="N8332" s="211"/>
    </row>
    <row r="8333" spans="14:14" x14ac:dyDescent="0.4">
      <c r="N8333" s="211"/>
    </row>
    <row r="8334" spans="14:14" x14ac:dyDescent="0.4">
      <c r="N8334" s="211"/>
    </row>
    <row r="8335" spans="14:14" x14ac:dyDescent="0.4">
      <c r="N8335" s="211"/>
    </row>
    <row r="8336" spans="14:14" x14ac:dyDescent="0.4">
      <c r="N8336" s="211"/>
    </row>
    <row r="8337" spans="14:14" x14ac:dyDescent="0.4">
      <c r="N8337" s="211"/>
    </row>
    <row r="8338" spans="14:14" x14ac:dyDescent="0.4">
      <c r="N8338" s="211"/>
    </row>
    <row r="8339" spans="14:14" x14ac:dyDescent="0.4">
      <c r="N8339" s="211"/>
    </row>
    <row r="8340" spans="14:14" x14ac:dyDescent="0.4">
      <c r="N8340" s="211"/>
    </row>
    <row r="8341" spans="14:14" x14ac:dyDescent="0.4">
      <c r="N8341" s="211"/>
    </row>
    <row r="8342" spans="14:14" x14ac:dyDescent="0.4">
      <c r="N8342" s="211"/>
    </row>
    <row r="8343" spans="14:14" x14ac:dyDescent="0.4">
      <c r="N8343" s="211"/>
    </row>
    <row r="8344" spans="14:14" x14ac:dyDescent="0.4">
      <c r="N8344" s="211"/>
    </row>
    <row r="8345" spans="14:14" x14ac:dyDescent="0.4">
      <c r="N8345" s="211"/>
    </row>
    <row r="8346" spans="14:14" x14ac:dyDescent="0.4">
      <c r="N8346" s="211"/>
    </row>
    <row r="8347" spans="14:14" x14ac:dyDescent="0.4">
      <c r="N8347" s="211"/>
    </row>
    <row r="8348" spans="14:14" x14ac:dyDescent="0.4">
      <c r="N8348" s="211"/>
    </row>
    <row r="8349" spans="14:14" x14ac:dyDescent="0.4">
      <c r="N8349" s="211"/>
    </row>
    <row r="8350" spans="14:14" x14ac:dyDescent="0.4">
      <c r="N8350" s="211"/>
    </row>
    <row r="8351" spans="14:14" x14ac:dyDescent="0.4">
      <c r="N8351" s="211"/>
    </row>
    <row r="8352" spans="14:14" x14ac:dyDescent="0.4">
      <c r="N8352" s="211"/>
    </row>
    <row r="8353" spans="14:14" x14ac:dyDescent="0.4">
      <c r="N8353" s="211"/>
    </row>
    <row r="8354" spans="14:14" x14ac:dyDescent="0.4">
      <c r="N8354" s="211"/>
    </row>
    <row r="8355" spans="14:14" x14ac:dyDescent="0.4">
      <c r="N8355" s="211"/>
    </row>
    <row r="8356" spans="14:14" x14ac:dyDescent="0.4">
      <c r="N8356" s="211"/>
    </row>
    <row r="8357" spans="14:14" x14ac:dyDescent="0.4">
      <c r="N8357" s="211"/>
    </row>
    <row r="8358" spans="14:14" x14ac:dyDescent="0.4">
      <c r="N8358" s="211"/>
    </row>
    <row r="8359" spans="14:14" x14ac:dyDescent="0.4">
      <c r="N8359" s="211"/>
    </row>
    <row r="8360" spans="14:14" x14ac:dyDescent="0.4">
      <c r="N8360" s="211"/>
    </row>
    <row r="8361" spans="14:14" x14ac:dyDescent="0.4">
      <c r="N8361" s="211"/>
    </row>
    <row r="8362" spans="14:14" x14ac:dyDescent="0.4">
      <c r="N8362" s="211"/>
    </row>
    <row r="8363" spans="14:14" x14ac:dyDescent="0.4">
      <c r="N8363" s="211"/>
    </row>
    <row r="8364" spans="14:14" x14ac:dyDescent="0.4">
      <c r="N8364" s="211"/>
    </row>
    <row r="8365" spans="14:14" x14ac:dyDescent="0.4">
      <c r="N8365" s="211"/>
    </row>
    <row r="8366" spans="14:14" x14ac:dyDescent="0.4">
      <c r="N8366" s="211"/>
    </row>
    <row r="8367" spans="14:14" x14ac:dyDescent="0.4">
      <c r="N8367" s="211"/>
    </row>
    <row r="8368" spans="14:14" x14ac:dyDescent="0.4">
      <c r="N8368" s="211"/>
    </row>
    <row r="8369" spans="14:14" x14ac:dyDescent="0.4">
      <c r="N8369" s="211"/>
    </row>
    <row r="8370" spans="14:14" x14ac:dyDescent="0.4">
      <c r="N8370" s="211"/>
    </row>
    <row r="8371" spans="14:14" x14ac:dyDescent="0.4">
      <c r="N8371" s="211"/>
    </row>
    <row r="8372" spans="14:14" x14ac:dyDescent="0.4">
      <c r="N8372" s="211"/>
    </row>
    <row r="8373" spans="14:14" x14ac:dyDescent="0.4">
      <c r="N8373" s="211"/>
    </row>
    <row r="8374" spans="14:14" x14ac:dyDescent="0.4">
      <c r="N8374" s="211"/>
    </row>
    <row r="8375" spans="14:14" x14ac:dyDescent="0.4">
      <c r="N8375" s="211"/>
    </row>
    <row r="8376" spans="14:14" x14ac:dyDescent="0.4">
      <c r="N8376" s="211"/>
    </row>
    <row r="8377" spans="14:14" x14ac:dyDescent="0.4">
      <c r="N8377" s="211"/>
    </row>
    <row r="8378" spans="14:14" x14ac:dyDescent="0.4">
      <c r="N8378" s="211"/>
    </row>
    <row r="8379" spans="14:14" x14ac:dyDescent="0.4">
      <c r="N8379" s="211"/>
    </row>
    <row r="8380" spans="14:14" x14ac:dyDescent="0.4">
      <c r="N8380" s="211"/>
    </row>
    <row r="8381" spans="14:14" x14ac:dyDescent="0.4">
      <c r="N8381" s="211"/>
    </row>
    <row r="8382" spans="14:14" x14ac:dyDescent="0.4">
      <c r="N8382" s="211"/>
    </row>
    <row r="8383" spans="14:14" x14ac:dyDescent="0.4">
      <c r="N8383" s="211"/>
    </row>
    <row r="8384" spans="14:14" x14ac:dyDescent="0.4">
      <c r="N8384" s="211"/>
    </row>
    <row r="8385" spans="14:14" x14ac:dyDescent="0.4">
      <c r="N8385" s="211"/>
    </row>
    <row r="8386" spans="14:14" x14ac:dyDescent="0.4">
      <c r="N8386" s="211"/>
    </row>
    <row r="8387" spans="14:14" x14ac:dyDescent="0.4">
      <c r="N8387" s="211"/>
    </row>
    <row r="8388" spans="14:14" x14ac:dyDescent="0.4">
      <c r="N8388" s="211"/>
    </row>
    <row r="8389" spans="14:14" x14ac:dyDescent="0.4">
      <c r="N8389" s="211"/>
    </row>
    <row r="8390" spans="14:14" x14ac:dyDescent="0.4">
      <c r="N8390" s="211"/>
    </row>
    <row r="8391" spans="14:14" x14ac:dyDescent="0.4">
      <c r="N8391" s="211"/>
    </row>
    <row r="8392" spans="14:14" x14ac:dyDescent="0.4">
      <c r="N8392" s="211"/>
    </row>
    <row r="8393" spans="14:14" x14ac:dyDescent="0.4">
      <c r="N8393" s="211"/>
    </row>
    <row r="8394" spans="14:14" x14ac:dyDescent="0.4">
      <c r="N8394" s="211"/>
    </row>
    <row r="8395" spans="14:14" x14ac:dyDescent="0.4">
      <c r="N8395" s="211"/>
    </row>
    <row r="8396" spans="14:14" x14ac:dyDescent="0.4">
      <c r="N8396" s="211"/>
    </row>
    <row r="8397" spans="14:14" x14ac:dyDescent="0.4">
      <c r="N8397" s="211"/>
    </row>
    <row r="8398" spans="14:14" x14ac:dyDescent="0.4">
      <c r="N8398" s="211"/>
    </row>
    <row r="8399" spans="14:14" x14ac:dyDescent="0.4">
      <c r="N8399" s="211"/>
    </row>
    <row r="8400" spans="14:14" x14ac:dyDescent="0.4">
      <c r="N8400" s="211"/>
    </row>
    <row r="8401" spans="14:14" x14ac:dyDescent="0.4">
      <c r="N8401" s="211"/>
    </row>
    <row r="8402" spans="14:14" x14ac:dyDescent="0.4">
      <c r="N8402" s="211"/>
    </row>
    <row r="8403" spans="14:14" x14ac:dyDescent="0.4">
      <c r="N8403" s="211"/>
    </row>
    <row r="8404" spans="14:14" x14ac:dyDescent="0.4">
      <c r="N8404" s="211"/>
    </row>
    <row r="8405" spans="14:14" x14ac:dyDescent="0.4">
      <c r="N8405" s="211"/>
    </row>
    <row r="8406" spans="14:14" x14ac:dyDescent="0.4">
      <c r="N8406" s="211"/>
    </row>
    <row r="8407" spans="14:14" x14ac:dyDescent="0.4">
      <c r="N8407" s="211"/>
    </row>
    <row r="8408" spans="14:14" x14ac:dyDescent="0.4">
      <c r="N8408" s="211"/>
    </row>
    <row r="8409" spans="14:14" x14ac:dyDescent="0.4">
      <c r="N8409" s="211"/>
    </row>
    <row r="8410" spans="14:14" x14ac:dyDescent="0.4">
      <c r="N8410" s="211"/>
    </row>
    <row r="8411" spans="14:14" x14ac:dyDescent="0.4">
      <c r="N8411" s="211"/>
    </row>
    <row r="8412" spans="14:14" x14ac:dyDescent="0.4">
      <c r="N8412" s="211"/>
    </row>
    <row r="8413" spans="14:14" x14ac:dyDescent="0.4">
      <c r="N8413" s="211"/>
    </row>
    <row r="8414" spans="14:14" x14ac:dyDescent="0.4">
      <c r="N8414" s="211"/>
    </row>
    <row r="8415" spans="14:14" x14ac:dyDescent="0.4">
      <c r="N8415" s="211"/>
    </row>
    <row r="8416" spans="14:14" x14ac:dyDescent="0.4">
      <c r="N8416" s="211"/>
    </row>
    <row r="8417" spans="14:14" x14ac:dyDescent="0.4">
      <c r="N8417" s="211"/>
    </row>
    <row r="8418" spans="14:14" x14ac:dyDescent="0.4">
      <c r="N8418" s="211"/>
    </row>
    <row r="8419" spans="14:14" x14ac:dyDescent="0.4">
      <c r="N8419" s="211"/>
    </row>
    <row r="8420" spans="14:14" x14ac:dyDescent="0.4">
      <c r="N8420" s="211"/>
    </row>
    <row r="8421" spans="14:14" x14ac:dyDescent="0.4">
      <c r="N8421" s="211"/>
    </row>
    <row r="8422" spans="14:14" x14ac:dyDescent="0.4">
      <c r="N8422" s="211"/>
    </row>
    <row r="8423" spans="14:14" x14ac:dyDescent="0.4">
      <c r="N8423" s="211"/>
    </row>
    <row r="8424" spans="14:14" x14ac:dyDescent="0.4">
      <c r="N8424" s="211"/>
    </row>
    <row r="8425" spans="14:14" x14ac:dyDescent="0.4">
      <c r="N8425" s="211"/>
    </row>
    <row r="8426" spans="14:14" x14ac:dyDescent="0.4">
      <c r="N8426" s="211"/>
    </row>
    <row r="8427" spans="14:14" x14ac:dyDescent="0.4">
      <c r="N8427" s="211"/>
    </row>
    <row r="8428" spans="14:14" x14ac:dyDescent="0.4">
      <c r="N8428" s="211"/>
    </row>
    <row r="8429" spans="14:14" x14ac:dyDescent="0.4">
      <c r="N8429" s="211"/>
    </row>
    <row r="8430" spans="14:14" x14ac:dyDescent="0.4">
      <c r="N8430" s="211"/>
    </row>
    <row r="8431" spans="14:14" x14ac:dyDescent="0.4">
      <c r="N8431" s="211"/>
    </row>
    <row r="8432" spans="14:14" x14ac:dyDescent="0.4">
      <c r="N8432" s="211"/>
    </row>
    <row r="8433" spans="14:14" x14ac:dyDescent="0.4">
      <c r="N8433" s="211"/>
    </row>
    <row r="8434" spans="14:14" x14ac:dyDescent="0.4">
      <c r="N8434" s="211"/>
    </row>
    <row r="8435" spans="14:14" x14ac:dyDescent="0.4">
      <c r="N8435" s="211"/>
    </row>
    <row r="8436" spans="14:14" x14ac:dyDescent="0.4">
      <c r="N8436" s="211"/>
    </row>
    <row r="8437" spans="14:14" x14ac:dyDescent="0.4">
      <c r="N8437" s="211"/>
    </row>
    <row r="8438" spans="14:14" x14ac:dyDescent="0.4">
      <c r="N8438" s="211"/>
    </row>
    <row r="8439" spans="14:14" x14ac:dyDescent="0.4">
      <c r="N8439" s="211"/>
    </row>
    <row r="8440" spans="14:14" x14ac:dyDescent="0.4">
      <c r="N8440" s="211"/>
    </row>
    <row r="8441" spans="14:14" x14ac:dyDescent="0.4">
      <c r="N8441" s="211"/>
    </row>
    <row r="8442" spans="14:14" x14ac:dyDescent="0.4">
      <c r="N8442" s="211"/>
    </row>
    <row r="8443" spans="14:14" x14ac:dyDescent="0.4">
      <c r="N8443" s="211"/>
    </row>
    <row r="8444" spans="14:14" x14ac:dyDescent="0.4">
      <c r="N8444" s="211"/>
    </row>
    <row r="8445" spans="14:14" x14ac:dyDescent="0.4">
      <c r="N8445" s="211"/>
    </row>
    <row r="8446" spans="14:14" x14ac:dyDescent="0.4">
      <c r="N8446" s="211"/>
    </row>
    <row r="8447" spans="14:14" x14ac:dyDescent="0.4">
      <c r="N8447" s="211"/>
    </row>
    <row r="8448" spans="14:14" x14ac:dyDescent="0.4">
      <c r="N8448" s="211"/>
    </row>
    <row r="8449" spans="14:14" x14ac:dyDescent="0.4">
      <c r="N8449" s="211"/>
    </row>
    <row r="8450" spans="14:14" x14ac:dyDescent="0.4">
      <c r="N8450" s="211"/>
    </row>
    <row r="8451" spans="14:14" x14ac:dyDescent="0.4">
      <c r="N8451" s="211"/>
    </row>
    <row r="8452" spans="14:14" x14ac:dyDescent="0.4">
      <c r="N8452" s="211"/>
    </row>
    <row r="8453" spans="14:14" x14ac:dyDescent="0.4">
      <c r="N8453" s="211"/>
    </row>
    <row r="8454" spans="14:14" x14ac:dyDescent="0.4">
      <c r="N8454" s="211"/>
    </row>
    <row r="8455" spans="14:14" x14ac:dyDescent="0.4">
      <c r="N8455" s="211"/>
    </row>
    <row r="8456" spans="14:14" x14ac:dyDescent="0.4">
      <c r="N8456" s="211"/>
    </row>
    <row r="8457" spans="14:14" x14ac:dyDescent="0.4">
      <c r="N8457" s="211"/>
    </row>
    <row r="8458" spans="14:14" x14ac:dyDescent="0.4">
      <c r="N8458" s="211"/>
    </row>
    <row r="8459" spans="14:14" x14ac:dyDescent="0.4">
      <c r="N8459" s="211"/>
    </row>
    <row r="8460" spans="14:14" x14ac:dyDescent="0.4">
      <c r="N8460" s="211"/>
    </row>
    <row r="8461" spans="14:14" x14ac:dyDescent="0.4">
      <c r="N8461" s="211"/>
    </row>
    <row r="8462" spans="14:14" x14ac:dyDescent="0.4">
      <c r="N8462" s="211"/>
    </row>
    <row r="8463" spans="14:14" x14ac:dyDescent="0.4">
      <c r="N8463" s="211"/>
    </row>
    <row r="8464" spans="14:14" x14ac:dyDescent="0.4">
      <c r="N8464" s="211"/>
    </row>
    <row r="8465" spans="14:14" x14ac:dyDescent="0.4">
      <c r="N8465" s="211"/>
    </row>
    <row r="8466" spans="14:14" x14ac:dyDescent="0.4">
      <c r="N8466" s="211"/>
    </row>
    <row r="8467" spans="14:14" x14ac:dyDescent="0.4">
      <c r="N8467" s="211"/>
    </row>
    <row r="8468" spans="14:14" x14ac:dyDescent="0.4">
      <c r="N8468" s="211"/>
    </row>
    <row r="8469" spans="14:14" x14ac:dyDescent="0.4">
      <c r="N8469" s="211"/>
    </row>
    <row r="8470" spans="14:14" x14ac:dyDescent="0.4">
      <c r="N8470" s="211"/>
    </row>
    <row r="8471" spans="14:14" x14ac:dyDescent="0.4">
      <c r="N8471" s="211"/>
    </row>
    <row r="8472" spans="14:14" x14ac:dyDescent="0.4">
      <c r="N8472" s="211"/>
    </row>
    <row r="8473" spans="14:14" x14ac:dyDescent="0.4">
      <c r="N8473" s="211"/>
    </row>
    <row r="8474" spans="14:14" x14ac:dyDescent="0.4">
      <c r="N8474" s="211"/>
    </row>
    <row r="8475" spans="14:14" x14ac:dyDescent="0.4">
      <c r="N8475" s="211"/>
    </row>
    <row r="8476" spans="14:14" x14ac:dyDescent="0.4">
      <c r="N8476" s="211"/>
    </row>
    <row r="8477" spans="14:14" x14ac:dyDescent="0.4">
      <c r="N8477" s="211"/>
    </row>
    <row r="8478" spans="14:14" x14ac:dyDescent="0.4">
      <c r="N8478" s="211"/>
    </row>
    <row r="8479" spans="14:14" x14ac:dyDescent="0.4">
      <c r="N8479" s="211"/>
    </row>
    <row r="8480" spans="14:14" x14ac:dyDescent="0.4">
      <c r="N8480" s="211"/>
    </row>
    <row r="8481" spans="14:14" x14ac:dyDescent="0.4">
      <c r="N8481" s="211"/>
    </row>
    <row r="8482" spans="14:14" x14ac:dyDescent="0.4">
      <c r="N8482" s="211"/>
    </row>
    <row r="8483" spans="14:14" x14ac:dyDescent="0.4">
      <c r="N8483" s="211"/>
    </row>
    <row r="8484" spans="14:14" x14ac:dyDescent="0.4">
      <c r="N8484" s="211"/>
    </row>
    <row r="8485" spans="14:14" x14ac:dyDescent="0.4">
      <c r="N8485" s="211"/>
    </row>
    <row r="8486" spans="14:14" x14ac:dyDescent="0.4">
      <c r="N8486" s="211"/>
    </row>
    <row r="8487" spans="14:14" x14ac:dyDescent="0.4">
      <c r="N8487" s="211"/>
    </row>
    <row r="8488" spans="14:14" x14ac:dyDescent="0.4">
      <c r="N8488" s="211"/>
    </row>
    <row r="8489" spans="14:14" x14ac:dyDescent="0.4">
      <c r="N8489" s="211"/>
    </row>
    <row r="8490" spans="14:14" x14ac:dyDescent="0.4">
      <c r="N8490" s="211"/>
    </row>
    <row r="8491" spans="14:14" x14ac:dyDescent="0.4">
      <c r="N8491" s="211"/>
    </row>
    <row r="8492" spans="14:14" x14ac:dyDescent="0.4">
      <c r="N8492" s="211"/>
    </row>
    <row r="8493" spans="14:14" x14ac:dyDescent="0.4">
      <c r="N8493" s="211"/>
    </row>
    <row r="8494" spans="14:14" x14ac:dyDescent="0.4">
      <c r="N8494" s="211"/>
    </row>
    <row r="8495" spans="14:14" x14ac:dyDescent="0.4">
      <c r="N8495" s="211"/>
    </row>
    <row r="8496" spans="14:14" x14ac:dyDescent="0.4">
      <c r="N8496" s="211"/>
    </row>
    <row r="8497" spans="14:14" x14ac:dyDescent="0.4">
      <c r="N8497" s="211"/>
    </row>
    <row r="8498" spans="14:14" x14ac:dyDescent="0.4">
      <c r="N8498" s="211"/>
    </row>
    <row r="8499" spans="14:14" x14ac:dyDescent="0.4">
      <c r="N8499" s="211"/>
    </row>
    <row r="8500" spans="14:14" x14ac:dyDescent="0.4">
      <c r="N8500" s="211"/>
    </row>
    <row r="8501" spans="14:14" x14ac:dyDescent="0.4">
      <c r="N8501" s="211"/>
    </row>
    <row r="8502" spans="14:14" x14ac:dyDescent="0.4">
      <c r="N8502" s="211"/>
    </row>
    <row r="8503" spans="14:14" x14ac:dyDescent="0.4">
      <c r="N8503" s="211"/>
    </row>
    <row r="8504" spans="14:14" x14ac:dyDescent="0.4">
      <c r="N8504" s="211"/>
    </row>
    <row r="8505" spans="14:14" x14ac:dyDescent="0.4">
      <c r="N8505" s="211"/>
    </row>
    <row r="8506" spans="14:14" x14ac:dyDescent="0.4">
      <c r="N8506" s="211"/>
    </row>
    <row r="8507" spans="14:14" x14ac:dyDescent="0.4">
      <c r="N8507" s="211"/>
    </row>
    <row r="8508" spans="14:14" x14ac:dyDescent="0.4">
      <c r="N8508" s="211"/>
    </row>
    <row r="8509" spans="14:14" x14ac:dyDescent="0.4">
      <c r="N8509" s="211"/>
    </row>
    <row r="8510" spans="14:14" x14ac:dyDescent="0.4">
      <c r="N8510" s="211"/>
    </row>
    <row r="8511" spans="14:14" x14ac:dyDescent="0.4">
      <c r="N8511" s="211"/>
    </row>
    <row r="8512" spans="14:14" x14ac:dyDescent="0.4">
      <c r="N8512" s="211"/>
    </row>
    <row r="8513" spans="14:14" x14ac:dyDescent="0.4">
      <c r="N8513" s="211"/>
    </row>
    <row r="8514" spans="14:14" x14ac:dyDescent="0.4">
      <c r="N8514" s="211"/>
    </row>
    <row r="8515" spans="14:14" x14ac:dyDescent="0.4">
      <c r="N8515" s="211"/>
    </row>
    <row r="8516" spans="14:14" x14ac:dyDescent="0.4">
      <c r="N8516" s="211"/>
    </row>
    <row r="8517" spans="14:14" x14ac:dyDescent="0.4">
      <c r="N8517" s="211"/>
    </row>
    <row r="8518" spans="14:14" x14ac:dyDescent="0.4">
      <c r="N8518" s="211"/>
    </row>
    <row r="8519" spans="14:14" x14ac:dyDescent="0.4">
      <c r="N8519" s="211"/>
    </row>
    <row r="8520" spans="14:14" x14ac:dyDescent="0.4">
      <c r="N8520" s="211"/>
    </row>
    <row r="8521" spans="14:14" x14ac:dyDescent="0.4">
      <c r="N8521" s="211"/>
    </row>
    <row r="8522" spans="14:14" x14ac:dyDescent="0.4">
      <c r="N8522" s="211"/>
    </row>
    <row r="8523" spans="14:14" x14ac:dyDescent="0.4">
      <c r="N8523" s="211"/>
    </row>
    <row r="8524" spans="14:14" x14ac:dyDescent="0.4">
      <c r="N8524" s="211"/>
    </row>
    <row r="8525" spans="14:14" x14ac:dyDescent="0.4">
      <c r="N8525" s="211"/>
    </row>
    <row r="8526" spans="14:14" x14ac:dyDescent="0.4">
      <c r="N8526" s="211"/>
    </row>
    <row r="8527" spans="14:14" x14ac:dyDescent="0.4">
      <c r="N8527" s="211"/>
    </row>
    <row r="8528" spans="14:14" x14ac:dyDescent="0.4">
      <c r="N8528" s="211"/>
    </row>
    <row r="8529" spans="14:14" x14ac:dyDescent="0.4">
      <c r="N8529" s="211"/>
    </row>
    <row r="8530" spans="14:14" x14ac:dyDescent="0.4">
      <c r="N8530" s="211"/>
    </row>
    <row r="8531" spans="14:14" x14ac:dyDescent="0.4">
      <c r="N8531" s="211"/>
    </row>
    <row r="8532" spans="14:14" x14ac:dyDescent="0.4">
      <c r="N8532" s="211"/>
    </row>
    <row r="8533" spans="14:14" x14ac:dyDescent="0.4">
      <c r="N8533" s="211"/>
    </row>
    <row r="8534" spans="14:14" x14ac:dyDescent="0.4">
      <c r="N8534" s="211"/>
    </row>
    <row r="8535" spans="14:14" x14ac:dyDescent="0.4">
      <c r="N8535" s="211"/>
    </row>
    <row r="8536" spans="14:14" x14ac:dyDescent="0.4">
      <c r="N8536" s="211"/>
    </row>
    <row r="8537" spans="14:14" x14ac:dyDescent="0.4">
      <c r="N8537" s="211"/>
    </row>
    <row r="8538" spans="14:14" x14ac:dyDescent="0.4">
      <c r="N8538" s="211"/>
    </row>
    <row r="8539" spans="14:14" x14ac:dyDescent="0.4">
      <c r="N8539" s="211"/>
    </row>
    <row r="8540" spans="14:14" x14ac:dyDescent="0.4">
      <c r="N8540" s="211"/>
    </row>
    <row r="8541" spans="14:14" x14ac:dyDescent="0.4">
      <c r="N8541" s="211"/>
    </row>
    <row r="8542" spans="14:14" x14ac:dyDescent="0.4">
      <c r="N8542" s="211"/>
    </row>
    <row r="8543" spans="14:14" x14ac:dyDescent="0.4">
      <c r="N8543" s="211"/>
    </row>
    <row r="8544" spans="14:14" x14ac:dyDescent="0.4">
      <c r="N8544" s="211"/>
    </row>
    <row r="8545" spans="14:14" x14ac:dyDescent="0.4">
      <c r="N8545" s="211"/>
    </row>
    <row r="8546" spans="14:14" x14ac:dyDescent="0.4">
      <c r="N8546" s="211"/>
    </row>
    <row r="8547" spans="14:14" x14ac:dyDescent="0.4">
      <c r="N8547" s="211"/>
    </row>
    <row r="8548" spans="14:14" x14ac:dyDescent="0.4">
      <c r="N8548" s="211"/>
    </row>
    <row r="8549" spans="14:14" x14ac:dyDescent="0.4">
      <c r="N8549" s="211"/>
    </row>
    <row r="8550" spans="14:14" x14ac:dyDescent="0.4">
      <c r="N8550" s="211"/>
    </row>
    <row r="8551" spans="14:14" x14ac:dyDescent="0.4">
      <c r="N8551" s="211"/>
    </row>
    <row r="8552" spans="14:14" x14ac:dyDescent="0.4">
      <c r="N8552" s="211"/>
    </row>
    <row r="8553" spans="14:14" x14ac:dyDescent="0.4">
      <c r="N8553" s="211"/>
    </row>
    <row r="8554" spans="14:14" x14ac:dyDescent="0.4">
      <c r="N8554" s="211"/>
    </row>
    <row r="8555" spans="14:14" x14ac:dyDescent="0.4">
      <c r="N8555" s="211"/>
    </row>
    <row r="8556" spans="14:14" x14ac:dyDescent="0.4">
      <c r="N8556" s="211"/>
    </row>
    <row r="8557" spans="14:14" x14ac:dyDescent="0.4">
      <c r="N8557" s="211"/>
    </row>
    <row r="8558" spans="14:14" x14ac:dyDescent="0.4">
      <c r="N8558" s="211"/>
    </row>
    <row r="8559" spans="14:14" x14ac:dyDescent="0.4">
      <c r="N8559" s="211"/>
    </row>
    <row r="8560" spans="14:14" x14ac:dyDescent="0.4">
      <c r="N8560" s="211"/>
    </row>
    <row r="8561" spans="14:14" x14ac:dyDescent="0.4">
      <c r="N8561" s="211"/>
    </row>
    <row r="8562" spans="14:14" x14ac:dyDescent="0.4">
      <c r="N8562" s="211"/>
    </row>
    <row r="8563" spans="14:14" x14ac:dyDescent="0.4">
      <c r="N8563" s="211"/>
    </row>
    <row r="8564" spans="14:14" x14ac:dyDescent="0.4">
      <c r="N8564" s="211"/>
    </row>
    <row r="8565" spans="14:14" x14ac:dyDescent="0.4">
      <c r="N8565" s="211"/>
    </row>
    <row r="8566" spans="14:14" x14ac:dyDescent="0.4">
      <c r="N8566" s="211"/>
    </row>
    <row r="8567" spans="14:14" x14ac:dyDescent="0.4">
      <c r="N8567" s="211"/>
    </row>
    <row r="8568" spans="14:14" x14ac:dyDescent="0.4">
      <c r="N8568" s="211"/>
    </row>
    <row r="8569" spans="14:14" x14ac:dyDescent="0.4">
      <c r="N8569" s="211"/>
    </row>
    <row r="8570" spans="14:14" x14ac:dyDescent="0.4">
      <c r="N8570" s="211"/>
    </row>
    <row r="8571" spans="14:14" x14ac:dyDescent="0.4">
      <c r="N8571" s="211"/>
    </row>
    <row r="8572" spans="14:14" x14ac:dyDescent="0.4">
      <c r="N8572" s="211"/>
    </row>
    <row r="8573" spans="14:14" x14ac:dyDescent="0.4">
      <c r="N8573" s="211"/>
    </row>
    <row r="8574" spans="14:14" x14ac:dyDescent="0.4">
      <c r="N8574" s="211"/>
    </row>
    <row r="8575" spans="14:14" x14ac:dyDescent="0.4">
      <c r="N8575" s="211"/>
    </row>
    <row r="8576" spans="14:14" x14ac:dyDescent="0.4">
      <c r="N8576" s="211"/>
    </row>
    <row r="8577" spans="14:14" x14ac:dyDescent="0.4">
      <c r="N8577" s="211"/>
    </row>
    <row r="8578" spans="14:14" x14ac:dyDescent="0.4">
      <c r="N8578" s="211"/>
    </row>
    <row r="8579" spans="14:14" x14ac:dyDescent="0.4">
      <c r="N8579" s="211"/>
    </row>
    <row r="8580" spans="14:14" x14ac:dyDescent="0.4">
      <c r="N8580" s="211"/>
    </row>
    <row r="8581" spans="14:14" x14ac:dyDescent="0.4">
      <c r="N8581" s="211"/>
    </row>
    <row r="8582" spans="14:14" x14ac:dyDescent="0.4">
      <c r="N8582" s="211"/>
    </row>
    <row r="8583" spans="14:14" x14ac:dyDescent="0.4">
      <c r="N8583" s="211"/>
    </row>
    <row r="8584" spans="14:14" x14ac:dyDescent="0.4">
      <c r="N8584" s="211"/>
    </row>
    <row r="8585" spans="14:14" x14ac:dyDescent="0.4">
      <c r="N8585" s="211"/>
    </row>
    <row r="8586" spans="14:14" x14ac:dyDescent="0.4">
      <c r="N8586" s="211"/>
    </row>
    <row r="8587" spans="14:14" x14ac:dyDescent="0.4">
      <c r="N8587" s="211"/>
    </row>
    <row r="8588" spans="14:14" x14ac:dyDescent="0.4">
      <c r="N8588" s="211"/>
    </row>
    <row r="8589" spans="14:14" x14ac:dyDescent="0.4">
      <c r="N8589" s="211"/>
    </row>
    <row r="8590" spans="14:14" x14ac:dyDescent="0.4">
      <c r="N8590" s="211"/>
    </row>
    <row r="8591" spans="14:14" x14ac:dyDescent="0.4">
      <c r="N8591" s="211"/>
    </row>
    <row r="8592" spans="14:14" x14ac:dyDescent="0.4">
      <c r="N8592" s="211"/>
    </row>
    <row r="8593" spans="14:14" x14ac:dyDescent="0.4">
      <c r="N8593" s="211"/>
    </row>
    <row r="8594" spans="14:14" x14ac:dyDescent="0.4">
      <c r="N8594" s="211"/>
    </row>
    <row r="8595" spans="14:14" x14ac:dyDescent="0.4">
      <c r="N8595" s="211"/>
    </row>
    <row r="8596" spans="14:14" x14ac:dyDescent="0.4">
      <c r="N8596" s="211"/>
    </row>
    <row r="8597" spans="14:14" x14ac:dyDescent="0.4">
      <c r="N8597" s="211"/>
    </row>
    <row r="8598" spans="14:14" x14ac:dyDescent="0.4">
      <c r="N8598" s="211"/>
    </row>
    <row r="8599" spans="14:14" x14ac:dyDescent="0.4">
      <c r="N8599" s="211"/>
    </row>
    <row r="8600" spans="14:14" x14ac:dyDescent="0.4">
      <c r="N8600" s="211"/>
    </row>
    <row r="8601" spans="14:14" x14ac:dyDescent="0.4">
      <c r="N8601" s="211"/>
    </row>
    <row r="8602" spans="14:14" x14ac:dyDescent="0.4">
      <c r="N8602" s="211"/>
    </row>
    <row r="8603" spans="14:14" x14ac:dyDescent="0.4">
      <c r="N8603" s="211"/>
    </row>
    <row r="8604" spans="14:14" x14ac:dyDescent="0.4">
      <c r="N8604" s="211"/>
    </row>
    <row r="8605" spans="14:14" x14ac:dyDescent="0.4">
      <c r="N8605" s="211"/>
    </row>
    <row r="8606" spans="14:14" x14ac:dyDescent="0.4">
      <c r="N8606" s="211"/>
    </row>
    <row r="8607" spans="14:14" x14ac:dyDescent="0.4">
      <c r="N8607" s="211"/>
    </row>
    <row r="8608" spans="14:14" x14ac:dyDescent="0.4">
      <c r="N8608" s="211"/>
    </row>
    <row r="8609" spans="14:14" x14ac:dyDescent="0.4">
      <c r="N8609" s="211"/>
    </row>
    <row r="8610" spans="14:14" x14ac:dyDescent="0.4">
      <c r="N8610" s="211"/>
    </row>
    <row r="8611" spans="14:14" x14ac:dyDescent="0.4">
      <c r="N8611" s="211"/>
    </row>
    <row r="8612" spans="14:14" x14ac:dyDescent="0.4">
      <c r="N8612" s="211"/>
    </row>
    <row r="8613" spans="14:14" x14ac:dyDescent="0.4">
      <c r="N8613" s="211"/>
    </row>
    <row r="8614" spans="14:14" x14ac:dyDescent="0.4">
      <c r="N8614" s="211"/>
    </row>
    <row r="8615" spans="14:14" x14ac:dyDescent="0.4">
      <c r="N8615" s="211"/>
    </row>
    <row r="8616" spans="14:14" x14ac:dyDescent="0.4">
      <c r="N8616" s="211"/>
    </row>
    <row r="8617" spans="14:14" x14ac:dyDescent="0.4">
      <c r="N8617" s="211"/>
    </row>
    <row r="8618" spans="14:14" x14ac:dyDescent="0.4">
      <c r="N8618" s="211"/>
    </row>
    <row r="8619" spans="14:14" x14ac:dyDescent="0.4">
      <c r="N8619" s="211"/>
    </row>
    <row r="8620" spans="14:14" x14ac:dyDescent="0.4">
      <c r="N8620" s="211"/>
    </row>
    <row r="8621" spans="14:14" x14ac:dyDescent="0.4">
      <c r="N8621" s="211"/>
    </row>
    <row r="8622" spans="14:14" x14ac:dyDescent="0.4">
      <c r="N8622" s="211"/>
    </row>
    <row r="8623" spans="14:14" x14ac:dyDescent="0.4">
      <c r="N8623" s="211"/>
    </row>
    <row r="8624" spans="14:14" x14ac:dyDescent="0.4">
      <c r="N8624" s="211"/>
    </row>
    <row r="8625" spans="14:14" x14ac:dyDescent="0.4">
      <c r="N8625" s="211"/>
    </row>
    <row r="8626" spans="14:14" x14ac:dyDescent="0.4">
      <c r="N8626" s="211"/>
    </row>
    <row r="8627" spans="14:14" x14ac:dyDescent="0.4">
      <c r="N8627" s="211"/>
    </row>
    <row r="8628" spans="14:14" x14ac:dyDescent="0.4">
      <c r="N8628" s="211"/>
    </row>
    <row r="8629" spans="14:14" x14ac:dyDescent="0.4">
      <c r="N8629" s="211"/>
    </row>
    <row r="8630" spans="14:14" x14ac:dyDescent="0.4">
      <c r="N8630" s="211"/>
    </row>
    <row r="8631" spans="14:14" x14ac:dyDescent="0.4">
      <c r="N8631" s="211"/>
    </row>
    <row r="8632" spans="14:14" x14ac:dyDescent="0.4">
      <c r="N8632" s="211"/>
    </row>
    <row r="8633" spans="14:14" x14ac:dyDescent="0.4">
      <c r="N8633" s="211"/>
    </row>
    <row r="8634" spans="14:14" x14ac:dyDescent="0.4">
      <c r="N8634" s="211"/>
    </row>
    <row r="8635" spans="14:14" x14ac:dyDescent="0.4">
      <c r="N8635" s="211"/>
    </row>
    <row r="8636" spans="14:14" x14ac:dyDescent="0.4">
      <c r="N8636" s="211"/>
    </row>
    <row r="8637" spans="14:14" x14ac:dyDescent="0.4">
      <c r="N8637" s="211"/>
    </row>
    <row r="8638" spans="14:14" x14ac:dyDescent="0.4">
      <c r="N8638" s="211"/>
    </row>
    <row r="8639" spans="14:14" x14ac:dyDescent="0.4">
      <c r="N8639" s="211"/>
    </row>
    <row r="8640" spans="14:14" x14ac:dyDescent="0.4">
      <c r="N8640" s="211"/>
    </row>
    <row r="8641" spans="14:14" x14ac:dyDescent="0.4">
      <c r="N8641" s="211"/>
    </row>
    <row r="8642" spans="14:14" x14ac:dyDescent="0.4">
      <c r="N8642" s="211"/>
    </row>
    <row r="8643" spans="14:14" x14ac:dyDescent="0.4">
      <c r="N8643" s="211"/>
    </row>
    <row r="8644" spans="14:14" x14ac:dyDescent="0.4">
      <c r="N8644" s="211"/>
    </row>
    <row r="8645" spans="14:14" x14ac:dyDescent="0.4">
      <c r="N8645" s="211"/>
    </row>
    <row r="8646" spans="14:14" x14ac:dyDescent="0.4">
      <c r="N8646" s="211"/>
    </row>
    <row r="8647" spans="14:14" x14ac:dyDescent="0.4">
      <c r="N8647" s="211"/>
    </row>
    <row r="8648" spans="14:14" x14ac:dyDescent="0.4">
      <c r="N8648" s="211"/>
    </row>
    <row r="8649" spans="14:14" x14ac:dyDescent="0.4">
      <c r="N8649" s="211"/>
    </row>
    <row r="8650" spans="14:14" x14ac:dyDescent="0.4">
      <c r="N8650" s="211"/>
    </row>
    <row r="8651" spans="14:14" x14ac:dyDescent="0.4">
      <c r="N8651" s="211"/>
    </row>
    <row r="8652" spans="14:14" x14ac:dyDescent="0.4">
      <c r="N8652" s="211"/>
    </row>
    <row r="8653" spans="14:14" x14ac:dyDescent="0.4">
      <c r="N8653" s="211"/>
    </row>
    <row r="8654" spans="14:14" x14ac:dyDescent="0.4">
      <c r="N8654" s="211"/>
    </row>
    <row r="8655" spans="14:14" x14ac:dyDescent="0.4">
      <c r="N8655" s="211"/>
    </row>
    <row r="8656" spans="14:14" x14ac:dyDescent="0.4">
      <c r="N8656" s="211"/>
    </row>
    <row r="8657" spans="14:14" x14ac:dyDescent="0.4">
      <c r="N8657" s="211"/>
    </row>
    <row r="8658" spans="14:14" x14ac:dyDescent="0.4">
      <c r="N8658" s="211"/>
    </row>
    <row r="8659" spans="14:14" x14ac:dyDescent="0.4">
      <c r="N8659" s="211"/>
    </row>
    <row r="8660" spans="14:14" x14ac:dyDescent="0.4">
      <c r="N8660" s="211"/>
    </row>
    <row r="8661" spans="14:14" x14ac:dyDescent="0.4">
      <c r="N8661" s="211"/>
    </row>
    <row r="8662" spans="14:14" x14ac:dyDescent="0.4">
      <c r="N8662" s="211"/>
    </row>
    <row r="8663" spans="14:14" x14ac:dyDescent="0.4">
      <c r="N8663" s="211"/>
    </row>
    <row r="8664" spans="14:14" x14ac:dyDescent="0.4">
      <c r="N8664" s="211"/>
    </row>
    <row r="8665" spans="14:14" x14ac:dyDescent="0.4">
      <c r="N8665" s="211"/>
    </row>
    <row r="8666" spans="14:14" x14ac:dyDescent="0.4">
      <c r="N8666" s="211"/>
    </row>
    <row r="8667" spans="14:14" x14ac:dyDescent="0.4">
      <c r="N8667" s="211"/>
    </row>
    <row r="8668" spans="14:14" x14ac:dyDescent="0.4">
      <c r="N8668" s="211"/>
    </row>
    <row r="8669" spans="14:14" x14ac:dyDescent="0.4">
      <c r="N8669" s="211"/>
    </row>
    <row r="8670" spans="14:14" x14ac:dyDescent="0.4">
      <c r="N8670" s="211"/>
    </row>
    <row r="8671" spans="14:14" x14ac:dyDescent="0.4">
      <c r="N8671" s="211"/>
    </row>
    <row r="8672" spans="14:14" x14ac:dyDescent="0.4">
      <c r="N8672" s="211"/>
    </row>
    <row r="8673" spans="14:14" x14ac:dyDescent="0.4">
      <c r="N8673" s="211"/>
    </row>
    <row r="8674" spans="14:14" x14ac:dyDescent="0.4">
      <c r="N8674" s="211"/>
    </row>
    <row r="8675" spans="14:14" x14ac:dyDescent="0.4">
      <c r="N8675" s="211"/>
    </row>
    <row r="8676" spans="14:14" x14ac:dyDescent="0.4">
      <c r="N8676" s="211"/>
    </row>
    <row r="8677" spans="14:14" x14ac:dyDescent="0.4">
      <c r="N8677" s="211"/>
    </row>
    <row r="8678" spans="14:14" x14ac:dyDescent="0.4">
      <c r="N8678" s="211"/>
    </row>
    <row r="8679" spans="14:14" x14ac:dyDescent="0.4">
      <c r="N8679" s="211"/>
    </row>
    <row r="8680" spans="14:14" x14ac:dyDescent="0.4">
      <c r="N8680" s="211"/>
    </row>
    <row r="8681" spans="14:14" x14ac:dyDescent="0.4">
      <c r="N8681" s="211"/>
    </row>
    <row r="8682" spans="14:14" x14ac:dyDescent="0.4">
      <c r="N8682" s="211"/>
    </row>
    <row r="8683" spans="14:14" x14ac:dyDescent="0.4">
      <c r="N8683" s="211"/>
    </row>
    <row r="8684" spans="14:14" x14ac:dyDescent="0.4">
      <c r="N8684" s="211"/>
    </row>
    <row r="8685" spans="14:14" x14ac:dyDescent="0.4">
      <c r="N8685" s="211"/>
    </row>
    <row r="8686" spans="14:14" x14ac:dyDescent="0.4">
      <c r="N8686" s="211"/>
    </row>
    <row r="8687" spans="14:14" x14ac:dyDescent="0.4">
      <c r="N8687" s="211"/>
    </row>
    <row r="8688" spans="14:14" x14ac:dyDescent="0.4">
      <c r="N8688" s="211"/>
    </row>
    <row r="8689" spans="14:14" x14ac:dyDescent="0.4">
      <c r="N8689" s="211"/>
    </row>
    <row r="8690" spans="14:14" x14ac:dyDescent="0.4">
      <c r="N8690" s="211"/>
    </row>
    <row r="8691" spans="14:14" x14ac:dyDescent="0.4">
      <c r="N8691" s="211"/>
    </row>
    <row r="8692" spans="14:14" x14ac:dyDescent="0.4">
      <c r="N8692" s="211"/>
    </row>
    <row r="8693" spans="14:14" x14ac:dyDescent="0.4">
      <c r="N8693" s="211"/>
    </row>
    <row r="8694" spans="14:14" x14ac:dyDescent="0.4">
      <c r="N8694" s="211"/>
    </row>
    <row r="8695" spans="14:14" x14ac:dyDescent="0.4">
      <c r="N8695" s="211"/>
    </row>
    <row r="8696" spans="14:14" x14ac:dyDescent="0.4">
      <c r="N8696" s="211"/>
    </row>
    <row r="8697" spans="14:14" x14ac:dyDescent="0.4">
      <c r="N8697" s="211"/>
    </row>
    <row r="8698" spans="14:14" x14ac:dyDescent="0.4">
      <c r="N8698" s="211"/>
    </row>
    <row r="8699" spans="14:14" x14ac:dyDescent="0.4">
      <c r="N8699" s="211"/>
    </row>
    <row r="8700" spans="14:14" x14ac:dyDescent="0.4">
      <c r="N8700" s="211"/>
    </row>
    <row r="8701" spans="14:14" x14ac:dyDescent="0.4">
      <c r="N8701" s="211"/>
    </row>
    <row r="8702" spans="14:14" x14ac:dyDescent="0.4">
      <c r="N8702" s="211"/>
    </row>
    <row r="8703" spans="14:14" x14ac:dyDescent="0.4">
      <c r="N8703" s="211"/>
    </row>
    <row r="8704" spans="14:14" x14ac:dyDescent="0.4">
      <c r="N8704" s="211"/>
    </row>
    <row r="8705" spans="14:14" x14ac:dyDescent="0.4">
      <c r="N8705" s="211"/>
    </row>
    <row r="8706" spans="14:14" x14ac:dyDescent="0.4">
      <c r="N8706" s="211"/>
    </row>
    <row r="8707" spans="14:14" x14ac:dyDescent="0.4">
      <c r="N8707" s="211"/>
    </row>
    <row r="8708" spans="14:14" x14ac:dyDescent="0.4">
      <c r="N8708" s="211"/>
    </row>
    <row r="8709" spans="14:14" x14ac:dyDescent="0.4">
      <c r="N8709" s="211"/>
    </row>
    <row r="8710" spans="14:14" x14ac:dyDescent="0.4">
      <c r="N8710" s="211"/>
    </row>
    <row r="8711" spans="14:14" x14ac:dyDescent="0.4">
      <c r="N8711" s="211"/>
    </row>
    <row r="8712" spans="14:14" x14ac:dyDescent="0.4">
      <c r="N8712" s="211"/>
    </row>
    <row r="8713" spans="14:14" x14ac:dyDescent="0.4">
      <c r="N8713" s="211"/>
    </row>
    <row r="8714" spans="14:14" x14ac:dyDescent="0.4">
      <c r="N8714" s="211"/>
    </row>
    <row r="8715" spans="14:14" x14ac:dyDescent="0.4">
      <c r="N8715" s="211"/>
    </row>
    <row r="8716" spans="14:14" x14ac:dyDescent="0.4">
      <c r="N8716" s="211"/>
    </row>
    <row r="8717" spans="14:14" x14ac:dyDescent="0.4">
      <c r="N8717" s="211"/>
    </row>
    <row r="8718" spans="14:14" x14ac:dyDescent="0.4">
      <c r="N8718" s="211"/>
    </row>
    <row r="8719" spans="14:14" x14ac:dyDescent="0.4">
      <c r="N8719" s="211"/>
    </row>
    <row r="8720" spans="14:14" x14ac:dyDescent="0.4">
      <c r="N8720" s="211"/>
    </row>
    <row r="8721" spans="14:14" x14ac:dyDescent="0.4">
      <c r="N8721" s="211"/>
    </row>
    <row r="8722" spans="14:14" x14ac:dyDescent="0.4">
      <c r="N8722" s="211"/>
    </row>
    <row r="8723" spans="14:14" x14ac:dyDescent="0.4">
      <c r="N8723" s="211"/>
    </row>
    <row r="8724" spans="14:14" x14ac:dyDescent="0.4">
      <c r="N8724" s="211"/>
    </row>
    <row r="8725" spans="14:14" x14ac:dyDescent="0.4">
      <c r="N8725" s="211"/>
    </row>
    <row r="8726" spans="14:14" x14ac:dyDescent="0.4">
      <c r="N8726" s="211"/>
    </row>
    <row r="8727" spans="14:14" x14ac:dyDescent="0.4">
      <c r="N8727" s="211"/>
    </row>
    <row r="8728" spans="14:14" x14ac:dyDescent="0.4">
      <c r="N8728" s="211"/>
    </row>
    <row r="8729" spans="14:14" x14ac:dyDescent="0.4">
      <c r="N8729" s="211"/>
    </row>
    <row r="8730" spans="14:14" x14ac:dyDescent="0.4">
      <c r="N8730" s="211"/>
    </row>
    <row r="8731" spans="14:14" x14ac:dyDescent="0.4">
      <c r="N8731" s="211"/>
    </row>
    <row r="8732" spans="14:14" x14ac:dyDescent="0.4">
      <c r="N8732" s="211"/>
    </row>
    <row r="8733" spans="14:14" x14ac:dyDescent="0.4">
      <c r="N8733" s="211"/>
    </row>
    <row r="8734" spans="14:14" x14ac:dyDescent="0.4">
      <c r="N8734" s="211"/>
    </row>
    <row r="8735" spans="14:14" x14ac:dyDescent="0.4">
      <c r="N8735" s="211"/>
    </row>
    <row r="8736" spans="14:14" x14ac:dyDescent="0.4">
      <c r="N8736" s="211"/>
    </row>
    <row r="8737" spans="14:14" x14ac:dyDescent="0.4">
      <c r="N8737" s="211"/>
    </row>
    <row r="8738" spans="14:14" x14ac:dyDescent="0.4">
      <c r="N8738" s="211"/>
    </row>
    <row r="8739" spans="14:14" x14ac:dyDescent="0.4">
      <c r="N8739" s="211"/>
    </row>
    <row r="8740" spans="14:14" x14ac:dyDescent="0.4">
      <c r="N8740" s="211"/>
    </row>
    <row r="8741" spans="14:14" x14ac:dyDescent="0.4">
      <c r="N8741" s="211"/>
    </row>
    <row r="8742" spans="14:14" x14ac:dyDescent="0.4">
      <c r="N8742" s="211"/>
    </row>
    <row r="8743" spans="14:14" x14ac:dyDescent="0.4">
      <c r="N8743" s="211"/>
    </row>
    <row r="8744" spans="14:14" x14ac:dyDescent="0.4">
      <c r="N8744" s="211"/>
    </row>
    <row r="8745" spans="14:14" x14ac:dyDescent="0.4">
      <c r="N8745" s="211"/>
    </row>
    <row r="8746" spans="14:14" x14ac:dyDescent="0.4">
      <c r="N8746" s="211"/>
    </row>
    <row r="8747" spans="14:14" x14ac:dyDescent="0.4">
      <c r="N8747" s="211"/>
    </row>
    <row r="8748" spans="14:14" x14ac:dyDescent="0.4">
      <c r="N8748" s="211"/>
    </row>
    <row r="8749" spans="14:14" x14ac:dyDescent="0.4">
      <c r="N8749" s="211"/>
    </row>
    <row r="8750" spans="14:14" x14ac:dyDescent="0.4">
      <c r="N8750" s="211"/>
    </row>
    <row r="8751" spans="14:14" x14ac:dyDescent="0.4">
      <c r="N8751" s="211"/>
    </row>
    <row r="8752" spans="14:14" x14ac:dyDescent="0.4">
      <c r="N8752" s="211"/>
    </row>
    <row r="8753" spans="14:14" x14ac:dyDescent="0.4">
      <c r="N8753" s="211"/>
    </row>
    <row r="8754" spans="14:14" x14ac:dyDescent="0.4">
      <c r="N8754" s="211"/>
    </row>
    <row r="8755" spans="14:14" x14ac:dyDescent="0.4">
      <c r="N8755" s="211"/>
    </row>
    <row r="8756" spans="14:14" x14ac:dyDescent="0.4">
      <c r="N8756" s="211"/>
    </row>
    <row r="8757" spans="14:14" x14ac:dyDescent="0.4">
      <c r="N8757" s="211"/>
    </row>
    <row r="8758" spans="14:14" x14ac:dyDescent="0.4">
      <c r="N8758" s="211"/>
    </row>
    <row r="8759" spans="14:14" x14ac:dyDescent="0.4">
      <c r="N8759" s="211"/>
    </row>
    <row r="8760" spans="14:14" x14ac:dyDescent="0.4">
      <c r="N8760" s="211"/>
    </row>
    <row r="8761" spans="14:14" x14ac:dyDescent="0.4">
      <c r="N8761" s="211"/>
    </row>
    <row r="8762" spans="14:14" x14ac:dyDescent="0.4">
      <c r="N8762" s="211"/>
    </row>
    <row r="8763" spans="14:14" x14ac:dyDescent="0.4">
      <c r="N8763" s="211"/>
    </row>
    <row r="8764" spans="14:14" x14ac:dyDescent="0.4">
      <c r="N8764" s="211"/>
    </row>
    <row r="8765" spans="14:14" x14ac:dyDescent="0.4">
      <c r="N8765" s="211"/>
    </row>
    <row r="8766" spans="14:14" x14ac:dyDescent="0.4">
      <c r="N8766" s="211"/>
    </row>
    <row r="8767" spans="14:14" x14ac:dyDescent="0.4">
      <c r="N8767" s="211"/>
    </row>
    <row r="8768" spans="14:14" x14ac:dyDescent="0.4">
      <c r="N8768" s="211"/>
    </row>
    <row r="8769" spans="14:14" x14ac:dyDescent="0.4">
      <c r="N8769" s="211"/>
    </row>
    <row r="8770" spans="14:14" x14ac:dyDescent="0.4">
      <c r="N8770" s="211"/>
    </row>
    <row r="8771" spans="14:14" x14ac:dyDescent="0.4">
      <c r="N8771" s="211"/>
    </row>
    <row r="8772" spans="14:14" x14ac:dyDescent="0.4">
      <c r="N8772" s="211"/>
    </row>
    <row r="8773" spans="14:14" x14ac:dyDescent="0.4">
      <c r="N8773" s="211"/>
    </row>
    <row r="8774" spans="14:14" x14ac:dyDescent="0.4">
      <c r="N8774" s="211"/>
    </row>
    <row r="8775" spans="14:14" x14ac:dyDescent="0.4">
      <c r="N8775" s="211"/>
    </row>
    <row r="8776" spans="14:14" x14ac:dyDescent="0.4">
      <c r="N8776" s="211"/>
    </row>
    <row r="8777" spans="14:14" x14ac:dyDescent="0.4">
      <c r="N8777" s="211"/>
    </row>
    <row r="8778" spans="14:14" x14ac:dyDescent="0.4">
      <c r="N8778" s="211"/>
    </row>
    <row r="8779" spans="14:14" x14ac:dyDescent="0.4">
      <c r="N8779" s="211"/>
    </row>
    <row r="8780" spans="14:14" x14ac:dyDescent="0.4">
      <c r="N8780" s="211"/>
    </row>
    <row r="8781" spans="14:14" x14ac:dyDescent="0.4">
      <c r="N8781" s="211"/>
    </row>
    <row r="8782" spans="14:14" x14ac:dyDescent="0.4">
      <c r="N8782" s="211"/>
    </row>
    <row r="8783" spans="14:14" x14ac:dyDescent="0.4">
      <c r="N8783" s="211"/>
    </row>
    <row r="8784" spans="14:14" x14ac:dyDescent="0.4">
      <c r="N8784" s="211"/>
    </row>
    <row r="8785" spans="14:14" x14ac:dyDescent="0.4">
      <c r="N8785" s="211"/>
    </row>
    <row r="8786" spans="14:14" x14ac:dyDescent="0.4">
      <c r="N8786" s="211"/>
    </row>
    <row r="8787" spans="14:14" x14ac:dyDescent="0.4">
      <c r="N8787" s="211"/>
    </row>
    <row r="8788" spans="14:14" x14ac:dyDescent="0.4">
      <c r="N8788" s="211"/>
    </row>
    <row r="8789" spans="14:14" x14ac:dyDescent="0.4">
      <c r="N8789" s="211"/>
    </row>
    <row r="8790" spans="14:14" x14ac:dyDescent="0.4">
      <c r="N8790" s="211"/>
    </row>
    <row r="8791" spans="14:14" x14ac:dyDescent="0.4">
      <c r="N8791" s="211"/>
    </row>
    <row r="8792" spans="14:14" x14ac:dyDescent="0.4">
      <c r="N8792" s="211"/>
    </row>
    <row r="8793" spans="14:14" x14ac:dyDescent="0.4">
      <c r="N8793" s="211"/>
    </row>
    <row r="8794" spans="14:14" x14ac:dyDescent="0.4">
      <c r="N8794" s="211"/>
    </row>
    <row r="8795" spans="14:14" x14ac:dyDescent="0.4">
      <c r="N8795" s="211"/>
    </row>
    <row r="8796" spans="14:14" x14ac:dyDescent="0.4">
      <c r="N8796" s="211"/>
    </row>
    <row r="8797" spans="14:14" x14ac:dyDescent="0.4">
      <c r="N8797" s="211"/>
    </row>
    <row r="8798" spans="14:14" x14ac:dyDescent="0.4">
      <c r="N8798" s="211"/>
    </row>
    <row r="8799" spans="14:14" x14ac:dyDescent="0.4">
      <c r="N8799" s="211"/>
    </row>
    <row r="8800" spans="14:14" x14ac:dyDescent="0.4">
      <c r="N8800" s="211"/>
    </row>
    <row r="8801" spans="14:14" x14ac:dyDescent="0.4">
      <c r="N8801" s="211"/>
    </row>
    <row r="8802" spans="14:14" x14ac:dyDescent="0.4">
      <c r="N8802" s="211"/>
    </row>
    <row r="8803" spans="14:14" x14ac:dyDescent="0.4">
      <c r="N8803" s="211"/>
    </row>
    <row r="8804" spans="14:14" x14ac:dyDescent="0.4">
      <c r="N8804" s="211"/>
    </row>
    <row r="8805" spans="14:14" x14ac:dyDescent="0.4">
      <c r="N8805" s="211"/>
    </row>
    <row r="8806" spans="14:14" x14ac:dyDescent="0.4">
      <c r="N8806" s="211"/>
    </row>
    <row r="8807" spans="14:14" x14ac:dyDescent="0.4">
      <c r="N8807" s="211"/>
    </row>
    <row r="8808" spans="14:14" x14ac:dyDescent="0.4">
      <c r="N8808" s="211"/>
    </row>
    <row r="8809" spans="14:14" x14ac:dyDescent="0.4">
      <c r="N8809" s="211"/>
    </row>
    <row r="8810" spans="14:14" x14ac:dyDescent="0.4">
      <c r="N8810" s="211"/>
    </row>
    <row r="8811" spans="14:14" x14ac:dyDescent="0.4">
      <c r="N8811" s="211"/>
    </row>
    <row r="8812" spans="14:14" x14ac:dyDescent="0.4">
      <c r="N8812" s="211"/>
    </row>
    <row r="8813" spans="14:14" x14ac:dyDescent="0.4">
      <c r="N8813" s="211"/>
    </row>
    <row r="8814" spans="14:14" x14ac:dyDescent="0.4">
      <c r="N8814" s="211"/>
    </row>
    <row r="8815" spans="14:14" x14ac:dyDescent="0.4">
      <c r="N8815" s="211"/>
    </row>
    <row r="8816" spans="14:14" x14ac:dyDescent="0.4">
      <c r="N8816" s="211"/>
    </row>
    <row r="8817" spans="14:14" x14ac:dyDescent="0.4">
      <c r="N8817" s="211"/>
    </row>
    <row r="8818" spans="14:14" x14ac:dyDescent="0.4">
      <c r="N8818" s="211"/>
    </row>
    <row r="8819" spans="14:14" x14ac:dyDescent="0.4">
      <c r="N8819" s="211"/>
    </row>
    <row r="8820" spans="14:14" x14ac:dyDescent="0.4">
      <c r="N8820" s="211"/>
    </row>
    <row r="8821" spans="14:14" x14ac:dyDescent="0.4">
      <c r="N8821" s="211"/>
    </row>
    <row r="8822" spans="14:14" x14ac:dyDescent="0.4">
      <c r="N8822" s="211"/>
    </row>
    <row r="8823" spans="14:14" x14ac:dyDescent="0.4">
      <c r="N8823" s="211"/>
    </row>
    <row r="8824" spans="14:14" x14ac:dyDescent="0.4">
      <c r="N8824" s="211"/>
    </row>
    <row r="8825" spans="14:14" x14ac:dyDescent="0.4">
      <c r="N8825" s="211"/>
    </row>
    <row r="8826" spans="14:14" x14ac:dyDescent="0.4">
      <c r="N8826" s="211"/>
    </row>
    <row r="8827" spans="14:14" x14ac:dyDescent="0.4">
      <c r="N8827" s="211"/>
    </row>
    <row r="8828" spans="14:14" x14ac:dyDescent="0.4">
      <c r="N8828" s="211"/>
    </row>
    <row r="8829" spans="14:14" x14ac:dyDescent="0.4">
      <c r="N8829" s="211"/>
    </row>
    <row r="8830" spans="14:14" x14ac:dyDescent="0.4">
      <c r="N8830" s="211"/>
    </row>
    <row r="8831" spans="14:14" x14ac:dyDescent="0.4">
      <c r="N8831" s="211"/>
    </row>
    <row r="8832" spans="14:14" x14ac:dyDescent="0.4">
      <c r="N8832" s="211"/>
    </row>
    <row r="8833" spans="14:14" x14ac:dyDescent="0.4">
      <c r="N8833" s="211"/>
    </row>
    <row r="8834" spans="14:14" x14ac:dyDescent="0.4">
      <c r="N8834" s="211"/>
    </row>
    <row r="8835" spans="14:14" x14ac:dyDescent="0.4">
      <c r="N8835" s="211"/>
    </row>
    <row r="8836" spans="14:14" x14ac:dyDescent="0.4">
      <c r="N8836" s="211"/>
    </row>
    <row r="8837" spans="14:14" x14ac:dyDescent="0.4">
      <c r="N8837" s="211"/>
    </row>
    <row r="8838" spans="14:14" x14ac:dyDescent="0.4">
      <c r="N8838" s="211"/>
    </row>
    <row r="8839" spans="14:14" x14ac:dyDescent="0.4">
      <c r="N8839" s="211"/>
    </row>
    <row r="8840" spans="14:14" x14ac:dyDescent="0.4">
      <c r="N8840" s="211"/>
    </row>
    <row r="8841" spans="14:14" x14ac:dyDescent="0.4">
      <c r="N8841" s="211"/>
    </row>
    <row r="8842" spans="14:14" x14ac:dyDescent="0.4">
      <c r="N8842" s="211"/>
    </row>
    <row r="8843" spans="14:14" x14ac:dyDescent="0.4">
      <c r="N8843" s="211"/>
    </row>
    <row r="8844" spans="14:14" x14ac:dyDescent="0.4">
      <c r="N8844" s="211"/>
    </row>
    <row r="8845" spans="14:14" x14ac:dyDescent="0.4">
      <c r="N8845" s="211"/>
    </row>
    <row r="8846" spans="14:14" x14ac:dyDescent="0.4">
      <c r="N8846" s="211"/>
    </row>
    <row r="8847" spans="14:14" x14ac:dyDescent="0.4">
      <c r="N8847" s="211"/>
    </row>
    <row r="8848" spans="14:14" x14ac:dyDescent="0.4">
      <c r="N8848" s="211"/>
    </row>
    <row r="8849" spans="14:14" x14ac:dyDescent="0.4">
      <c r="N8849" s="211"/>
    </row>
    <row r="8850" spans="14:14" x14ac:dyDescent="0.4">
      <c r="N8850" s="211"/>
    </row>
    <row r="8851" spans="14:14" x14ac:dyDescent="0.4">
      <c r="N8851" s="211"/>
    </row>
    <row r="8852" spans="14:14" x14ac:dyDescent="0.4">
      <c r="N8852" s="211"/>
    </row>
    <row r="8853" spans="14:14" x14ac:dyDescent="0.4">
      <c r="N8853" s="211"/>
    </row>
    <row r="8854" spans="14:14" x14ac:dyDescent="0.4">
      <c r="N8854" s="211"/>
    </row>
    <row r="8855" spans="14:14" x14ac:dyDescent="0.4">
      <c r="N8855" s="211"/>
    </row>
    <row r="8856" spans="14:14" x14ac:dyDescent="0.4">
      <c r="N8856" s="211"/>
    </row>
    <row r="8857" spans="14:14" x14ac:dyDescent="0.4">
      <c r="N8857" s="211"/>
    </row>
    <row r="8858" spans="14:14" x14ac:dyDescent="0.4">
      <c r="N8858" s="211"/>
    </row>
    <row r="8859" spans="14:14" x14ac:dyDescent="0.4">
      <c r="N8859" s="211"/>
    </row>
    <row r="8860" spans="14:14" x14ac:dyDescent="0.4">
      <c r="N8860" s="211"/>
    </row>
    <row r="8861" spans="14:14" x14ac:dyDescent="0.4">
      <c r="N8861" s="211"/>
    </row>
    <row r="8862" spans="14:14" x14ac:dyDescent="0.4">
      <c r="N8862" s="211"/>
    </row>
    <row r="8863" spans="14:14" x14ac:dyDescent="0.4">
      <c r="N8863" s="211"/>
    </row>
    <row r="8864" spans="14:14" x14ac:dyDescent="0.4">
      <c r="N8864" s="211"/>
    </row>
    <row r="8865" spans="14:14" x14ac:dyDescent="0.4">
      <c r="N8865" s="211"/>
    </row>
    <row r="8866" spans="14:14" x14ac:dyDescent="0.4">
      <c r="N8866" s="211"/>
    </row>
    <row r="8867" spans="14:14" x14ac:dyDescent="0.4">
      <c r="N8867" s="211"/>
    </row>
    <row r="8868" spans="14:14" x14ac:dyDescent="0.4">
      <c r="N8868" s="211"/>
    </row>
    <row r="8869" spans="14:14" x14ac:dyDescent="0.4">
      <c r="N8869" s="211"/>
    </row>
    <row r="8870" spans="14:14" x14ac:dyDescent="0.4">
      <c r="N8870" s="211"/>
    </row>
    <row r="8871" spans="14:14" x14ac:dyDescent="0.4">
      <c r="N8871" s="211"/>
    </row>
    <row r="8872" spans="14:14" x14ac:dyDescent="0.4">
      <c r="N8872" s="211"/>
    </row>
    <row r="8873" spans="14:14" x14ac:dyDescent="0.4">
      <c r="N8873" s="211"/>
    </row>
    <row r="8874" spans="14:14" x14ac:dyDescent="0.4">
      <c r="N8874" s="211"/>
    </row>
    <row r="8875" spans="14:14" x14ac:dyDescent="0.4">
      <c r="N8875" s="211"/>
    </row>
    <row r="8876" spans="14:14" x14ac:dyDescent="0.4">
      <c r="N8876" s="211"/>
    </row>
    <row r="8877" spans="14:14" x14ac:dyDescent="0.4">
      <c r="N8877" s="211"/>
    </row>
    <row r="8878" spans="14:14" x14ac:dyDescent="0.4">
      <c r="N8878" s="211"/>
    </row>
    <row r="8879" spans="14:14" x14ac:dyDescent="0.4">
      <c r="N8879" s="211"/>
    </row>
    <row r="8880" spans="14:14" x14ac:dyDescent="0.4">
      <c r="N8880" s="211"/>
    </row>
    <row r="8881" spans="14:14" x14ac:dyDescent="0.4">
      <c r="N8881" s="211"/>
    </row>
    <row r="8882" spans="14:14" x14ac:dyDescent="0.4">
      <c r="N8882" s="211"/>
    </row>
    <row r="8883" spans="14:14" x14ac:dyDescent="0.4">
      <c r="N8883" s="211"/>
    </row>
    <row r="8884" spans="14:14" x14ac:dyDescent="0.4">
      <c r="N8884" s="211"/>
    </row>
    <row r="8885" spans="14:14" x14ac:dyDescent="0.4">
      <c r="N8885" s="211"/>
    </row>
    <row r="8886" spans="14:14" x14ac:dyDescent="0.4">
      <c r="N8886" s="211"/>
    </row>
    <row r="8887" spans="14:14" x14ac:dyDescent="0.4">
      <c r="N8887" s="211"/>
    </row>
    <row r="8888" spans="14:14" x14ac:dyDescent="0.4">
      <c r="N8888" s="211"/>
    </row>
    <row r="8889" spans="14:14" x14ac:dyDescent="0.4">
      <c r="N8889" s="211"/>
    </row>
    <row r="8890" spans="14:14" x14ac:dyDescent="0.4">
      <c r="N8890" s="211"/>
    </row>
    <row r="8891" spans="14:14" x14ac:dyDescent="0.4">
      <c r="N8891" s="211"/>
    </row>
    <row r="8892" spans="14:14" x14ac:dyDescent="0.4">
      <c r="N8892" s="211"/>
    </row>
    <row r="8893" spans="14:14" x14ac:dyDescent="0.4">
      <c r="N8893" s="211"/>
    </row>
    <row r="8894" spans="14:14" x14ac:dyDescent="0.4">
      <c r="N8894" s="211"/>
    </row>
    <row r="8895" spans="14:14" x14ac:dyDescent="0.4">
      <c r="N8895" s="211"/>
    </row>
    <row r="8896" spans="14:14" x14ac:dyDescent="0.4">
      <c r="N8896" s="211"/>
    </row>
    <row r="8897" spans="14:14" x14ac:dyDescent="0.4">
      <c r="N8897" s="211"/>
    </row>
    <row r="8898" spans="14:14" x14ac:dyDescent="0.4">
      <c r="N8898" s="211"/>
    </row>
    <row r="8899" spans="14:14" x14ac:dyDescent="0.4">
      <c r="N8899" s="211"/>
    </row>
    <row r="8900" spans="14:14" x14ac:dyDescent="0.4">
      <c r="N8900" s="211"/>
    </row>
    <row r="8901" spans="14:14" x14ac:dyDescent="0.4">
      <c r="N8901" s="211"/>
    </row>
    <row r="8902" spans="14:14" x14ac:dyDescent="0.4">
      <c r="N8902" s="211"/>
    </row>
    <row r="8903" spans="14:14" x14ac:dyDescent="0.4">
      <c r="N8903" s="211"/>
    </row>
    <row r="8904" spans="14:14" x14ac:dyDescent="0.4">
      <c r="N8904" s="211"/>
    </row>
    <row r="8905" spans="14:14" x14ac:dyDescent="0.4">
      <c r="N8905" s="211"/>
    </row>
    <row r="8906" spans="14:14" x14ac:dyDescent="0.4">
      <c r="N8906" s="211"/>
    </row>
    <row r="8907" spans="14:14" x14ac:dyDescent="0.4">
      <c r="N8907" s="211"/>
    </row>
    <row r="8908" spans="14:14" x14ac:dyDescent="0.4">
      <c r="N8908" s="211"/>
    </row>
    <row r="8909" spans="14:14" x14ac:dyDescent="0.4">
      <c r="N8909" s="211"/>
    </row>
    <row r="8910" spans="14:14" x14ac:dyDescent="0.4">
      <c r="N8910" s="211"/>
    </row>
    <row r="8911" spans="14:14" x14ac:dyDescent="0.4">
      <c r="N8911" s="211"/>
    </row>
    <row r="8912" spans="14:14" x14ac:dyDescent="0.4">
      <c r="N8912" s="211"/>
    </row>
    <row r="8913" spans="14:14" x14ac:dyDescent="0.4">
      <c r="N8913" s="211"/>
    </row>
    <row r="8914" spans="14:14" x14ac:dyDescent="0.4">
      <c r="N8914" s="211"/>
    </row>
    <row r="8915" spans="14:14" x14ac:dyDescent="0.4">
      <c r="N8915" s="211"/>
    </row>
    <row r="8916" spans="14:14" x14ac:dyDescent="0.4">
      <c r="N8916" s="211"/>
    </row>
    <row r="8917" spans="14:14" x14ac:dyDescent="0.4">
      <c r="N8917" s="211"/>
    </row>
    <row r="8918" spans="14:14" x14ac:dyDescent="0.4">
      <c r="N8918" s="211"/>
    </row>
    <row r="8919" spans="14:14" x14ac:dyDescent="0.4">
      <c r="N8919" s="211"/>
    </row>
    <row r="8920" spans="14:14" x14ac:dyDescent="0.4">
      <c r="N8920" s="211"/>
    </row>
    <row r="8921" spans="14:14" x14ac:dyDescent="0.4">
      <c r="N8921" s="211"/>
    </row>
    <row r="8922" spans="14:14" x14ac:dyDescent="0.4">
      <c r="N8922" s="211"/>
    </row>
    <row r="8923" spans="14:14" x14ac:dyDescent="0.4">
      <c r="N8923" s="211"/>
    </row>
    <row r="8924" spans="14:14" x14ac:dyDescent="0.4">
      <c r="N8924" s="211"/>
    </row>
    <row r="8925" spans="14:14" x14ac:dyDescent="0.4">
      <c r="N8925" s="211"/>
    </row>
    <row r="8926" spans="14:14" x14ac:dyDescent="0.4">
      <c r="N8926" s="211"/>
    </row>
    <row r="8927" spans="14:14" x14ac:dyDescent="0.4">
      <c r="N8927" s="211"/>
    </row>
    <row r="8928" spans="14:14" x14ac:dyDescent="0.4">
      <c r="N8928" s="211"/>
    </row>
    <row r="8929" spans="14:14" x14ac:dyDescent="0.4">
      <c r="N8929" s="211"/>
    </row>
    <row r="8930" spans="14:14" x14ac:dyDescent="0.4">
      <c r="N8930" s="211"/>
    </row>
    <row r="8931" spans="14:14" x14ac:dyDescent="0.4">
      <c r="N8931" s="211"/>
    </row>
    <row r="8932" spans="14:14" x14ac:dyDescent="0.4">
      <c r="N8932" s="211"/>
    </row>
    <row r="8933" spans="14:14" x14ac:dyDescent="0.4">
      <c r="N8933" s="211"/>
    </row>
    <row r="8934" spans="14:14" x14ac:dyDescent="0.4">
      <c r="N8934" s="211"/>
    </row>
    <row r="8935" spans="14:14" x14ac:dyDescent="0.4">
      <c r="N8935" s="211"/>
    </row>
    <row r="8936" spans="14:14" x14ac:dyDescent="0.4">
      <c r="N8936" s="211"/>
    </row>
    <row r="8937" spans="14:14" x14ac:dyDescent="0.4">
      <c r="N8937" s="211"/>
    </row>
    <row r="8938" spans="14:14" x14ac:dyDescent="0.4">
      <c r="N8938" s="211"/>
    </row>
    <row r="8939" spans="14:14" x14ac:dyDescent="0.4">
      <c r="N8939" s="211"/>
    </row>
    <row r="8940" spans="14:14" x14ac:dyDescent="0.4">
      <c r="N8940" s="211"/>
    </row>
    <row r="8941" spans="14:14" x14ac:dyDescent="0.4">
      <c r="N8941" s="211"/>
    </row>
    <row r="8942" spans="14:14" x14ac:dyDescent="0.4">
      <c r="N8942" s="211"/>
    </row>
    <row r="8943" spans="14:14" x14ac:dyDescent="0.4">
      <c r="N8943" s="211"/>
    </row>
    <row r="8944" spans="14:14" x14ac:dyDescent="0.4">
      <c r="N8944" s="211"/>
    </row>
    <row r="8945" spans="14:14" x14ac:dyDescent="0.4">
      <c r="N8945" s="211"/>
    </row>
    <row r="8946" spans="14:14" x14ac:dyDescent="0.4">
      <c r="N8946" s="211"/>
    </row>
    <row r="8947" spans="14:14" x14ac:dyDescent="0.4">
      <c r="N8947" s="211"/>
    </row>
    <row r="8948" spans="14:14" x14ac:dyDescent="0.4">
      <c r="N8948" s="211"/>
    </row>
    <row r="8949" spans="14:14" x14ac:dyDescent="0.4">
      <c r="N8949" s="211"/>
    </row>
    <row r="8950" spans="14:14" x14ac:dyDescent="0.4">
      <c r="N8950" s="211"/>
    </row>
    <row r="8951" spans="14:14" x14ac:dyDescent="0.4">
      <c r="N8951" s="211"/>
    </row>
    <row r="8952" spans="14:14" x14ac:dyDescent="0.4">
      <c r="N8952" s="211"/>
    </row>
    <row r="8953" spans="14:14" x14ac:dyDescent="0.4">
      <c r="N8953" s="211"/>
    </row>
    <row r="8954" spans="14:14" x14ac:dyDescent="0.4">
      <c r="N8954" s="211"/>
    </row>
    <row r="8955" spans="14:14" x14ac:dyDescent="0.4">
      <c r="N8955" s="211"/>
    </row>
    <row r="8956" spans="14:14" x14ac:dyDescent="0.4">
      <c r="N8956" s="211"/>
    </row>
    <row r="8957" spans="14:14" x14ac:dyDescent="0.4">
      <c r="N8957" s="211"/>
    </row>
    <row r="8958" spans="14:14" x14ac:dyDescent="0.4">
      <c r="N8958" s="211"/>
    </row>
    <row r="8959" spans="14:14" x14ac:dyDescent="0.4">
      <c r="N8959" s="211"/>
    </row>
    <row r="8960" spans="14:14" x14ac:dyDescent="0.4">
      <c r="N8960" s="211"/>
    </row>
    <row r="8961" spans="14:14" x14ac:dyDescent="0.4">
      <c r="N8961" s="211"/>
    </row>
    <row r="8962" spans="14:14" x14ac:dyDescent="0.4">
      <c r="N8962" s="211"/>
    </row>
    <row r="8963" spans="14:14" x14ac:dyDescent="0.4">
      <c r="N8963" s="211"/>
    </row>
    <row r="8964" spans="14:14" x14ac:dyDescent="0.4">
      <c r="N8964" s="211"/>
    </row>
    <row r="8965" spans="14:14" x14ac:dyDescent="0.4">
      <c r="N8965" s="211"/>
    </row>
    <row r="8966" spans="14:14" x14ac:dyDescent="0.4">
      <c r="N8966" s="211"/>
    </row>
    <row r="8967" spans="14:14" x14ac:dyDescent="0.4">
      <c r="N8967" s="211"/>
    </row>
    <row r="8968" spans="14:14" x14ac:dyDescent="0.4">
      <c r="N8968" s="211"/>
    </row>
    <row r="8969" spans="14:14" x14ac:dyDescent="0.4">
      <c r="N8969" s="211"/>
    </row>
    <row r="8970" spans="14:14" x14ac:dyDescent="0.4">
      <c r="N8970" s="211"/>
    </row>
    <row r="8971" spans="14:14" x14ac:dyDescent="0.4">
      <c r="N8971" s="211"/>
    </row>
    <row r="8972" spans="14:14" x14ac:dyDescent="0.4">
      <c r="N8972" s="211"/>
    </row>
    <row r="8973" spans="14:14" x14ac:dyDescent="0.4">
      <c r="N8973" s="211"/>
    </row>
    <row r="8974" spans="14:14" x14ac:dyDescent="0.4">
      <c r="N8974" s="211"/>
    </row>
    <row r="8975" spans="14:14" x14ac:dyDescent="0.4">
      <c r="N8975" s="211"/>
    </row>
    <row r="8976" spans="14:14" x14ac:dyDescent="0.4">
      <c r="N8976" s="211"/>
    </row>
    <row r="8977" spans="14:14" x14ac:dyDescent="0.4">
      <c r="N8977" s="211"/>
    </row>
    <row r="8978" spans="14:14" x14ac:dyDescent="0.4">
      <c r="N8978" s="211"/>
    </row>
    <row r="8979" spans="14:14" x14ac:dyDescent="0.4">
      <c r="N8979" s="211"/>
    </row>
    <row r="8980" spans="14:14" x14ac:dyDescent="0.4">
      <c r="N8980" s="211"/>
    </row>
    <row r="8981" spans="14:14" x14ac:dyDescent="0.4">
      <c r="N8981" s="211"/>
    </row>
    <row r="8982" spans="14:14" x14ac:dyDescent="0.4">
      <c r="N8982" s="211"/>
    </row>
    <row r="8983" spans="14:14" x14ac:dyDescent="0.4">
      <c r="N8983" s="211"/>
    </row>
    <row r="8984" spans="14:14" x14ac:dyDescent="0.4">
      <c r="N8984" s="211"/>
    </row>
    <row r="8985" spans="14:14" x14ac:dyDescent="0.4">
      <c r="N8985" s="211"/>
    </row>
    <row r="8986" spans="14:14" x14ac:dyDescent="0.4">
      <c r="N8986" s="211"/>
    </row>
    <row r="8987" spans="14:14" x14ac:dyDescent="0.4">
      <c r="N8987" s="211"/>
    </row>
    <row r="8988" spans="14:14" x14ac:dyDescent="0.4">
      <c r="N8988" s="211"/>
    </row>
    <row r="8989" spans="14:14" x14ac:dyDescent="0.4">
      <c r="N8989" s="211"/>
    </row>
    <row r="8990" spans="14:14" x14ac:dyDescent="0.4">
      <c r="N8990" s="211"/>
    </row>
    <row r="8991" spans="14:14" x14ac:dyDescent="0.4">
      <c r="N8991" s="211"/>
    </row>
    <row r="8992" spans="14:14" x14ac:dyDescent="0.4">
      <c r="N8992" s="211"/>
    </row>
    <row r="8993" spans="14:14" x14ac:dyDescent="0.4">
      <c r="N8993" s="211"/>
    </row>
    <row r="8994" spans="14:14" x14ac:dyDescent="0.4">
      <c r="N8994" s="211"/>
    </row>
    <row r="8995" spans="14:14" x14ac:dyDescent="0.4">
      <c r="N8995" s="211"/>
    </row>
    <row r="8996" spans="14:14" x14ac:dyDescent="0.4">
      <c r="N8996" s="211"/>
    </row>
    <row r="8997" spans="14:14" x14ac:dyDescent="0.4">
      <c r="N8997" s="211"/>
    </row>
    <row r="8998" spans="14:14" x14ac:dyDescent="0.4">
      <c r="N8998" s="211"/>
    </row>
    <row r="8999" spans="14:14" x14ac:dyDescent="0.4">
      <c r="N8999" s="211"/>
    </row>
    <row r="9000" spans="14:14" x14ac:dyDescent="0.4">
      <c r="N9000" s="211"/>
    </row>
    <row r="9001" spans="14:14" x14ac:dyDescent="0.4">
      <c r="N9001" s="211"/>
    </row>
    <row r="9002" spans="14:14" x14ac:dyDescent="0.4">
      <c r="N9002" s="211"/>
    </row>
    <row r="9003" spans="14:14" x14ac:dyDescent="0.4">
      <c r="N9003" s="211"/>
    </row>
    <row r="9004" spans="14:14" x14ac:dyDescent="0.4">
      <c r="N9004" s="211"/>
    </row>
    <row r="9005" spans="14:14" x14ac:dyDescent="0.4">
      <c r="N9005" s="211"/>
    </row>
    <row r="9006" spans="14:14" x14ac:dyDescent="0.4">
      <c r="N9006" s="211"/>
    </row>
    <row r="9007" spans="14:14" x14ac:dyDescent="0.4">
      <c r="N9007" s="211"/>
    </row>
    <row r="9008" spans="14:14" x14ac:dyDescent="0.4">
      <c r="N9008" s="211"/>
    </row>
    <row r="9009" spans="14:14" x14ac:dyDescent="0.4">
      <c r="N9009" s="211"/>
    </row>
    <row r="9010" spans="14:14" x14ac:dyDescent="0.4">
      <c r="N9010" s="211"/>
    </row>
    <row r="9011" spans="14:14" x14ac:dyDescent="0.4">
      <c r="N9011" s="211"/>
    </row>
    <row r="9012" spans="14:14" x14ac:dyDescent="0.4">
      <c r="N9012" s="211"/>
    </row>
    <row r="9013" spans="14:14" x14ac:dyDescent="0.4">
      <c r="N9013" s="211"/>
    </row>
    <row r="9014" spans="14:14" x14ac:dyDescent="0.4">
      <c r="N9014" s="211"/>
    </row>
    <row r="9015" spans="14:14" x14ac:dyDescent="0.4">
      <c r="N9015" s="211"/>
    </row>
    <row r="9016" spans="14:14" x14ac:dyDescent="0.4">
      <c r="N9016" s="211"/>
    </row>
    <row r="9017" spans="14:14" x14ac:dyDescent="0.4">
      <c r="N9017" s="211"/>
    </row>
    <row r="9018" spans="14:14" x14ac:dyDescent="0.4">
      <c r="N9018" s="211"/>
    </row>
    <row r="9019" spans="14:14" x14ac:dyDescent="0.4">
      <c r="N9019" s="211"/>
    </row>
    <row r="9020" spans="14:14" x14ac:dyDescent="0.4">
      <c r="N9020" s="211"/>
    </row>
    <row r="9021" spans="14:14" x14ac:dyDescent="0.4">
      <c r="N9021" s="211"/>
    </row>
    <row r="9022" spans="14:14" x14ac:dyDescent="0.4">
      <c r="N9022" s="211"/>
    </row>
    <row r="9023" spans="14:14" x14ac:dyDescent="0.4">
      <c r="N9023" s="211"/>
    </row>
    <row r="9024" spans="14:14" x14ac:dyDescent="0.4">
      <c r="N9024" s="211"/>
    </row>
    <row r="9025" spans="14:14" x14ac:dyDescent="0.4">
      <c r="N9025" s="211"/>
    </row>
    <row r="9026" spans="14:14" x14ac:dyDescent="0.4">
      <c r="N9026" s="211"/>
    </row>
    <row r="9027" spans="14:14" x14ac:dyDescent="0.4">
      <c r="N9027" s="211"/>
    </row>
    <row r="9028" spans="14:14" x14ac:dyDescent="0.4">
      <c r="N9028" s="211"/>
    </row>
    <row r="9029" spans="14:14" x14ac:dyDescent="0.4">
      <c r="N9029" s="211"/>
    </row>
    <row r="9030" spans="14:14" x14ac:dyDescent="0.4">
      <c r="N9030" s="211"/>
    </row>
    <row r="9031" spans="14:14" x14ac:dyDescent="0.4">
      <c r="N9031" s="211"/>
    </row>
    <row r="9032" spans="14:14" x14ac:dyDescent="0.4">
      <c r="N9032" s="211"/>
    </row>
    <row r="9033" spans="14:14" x14ac:dyDescent="0.4">
      <c r="N9033" s="211"/>
    </row>
    <row r="9034" spans="14:14" x14ac:dyDescent="0.4">
      <c r="N9034" s="211"/>
    </row>
    <row r="9035" spans="14:14" x14ac:dyDescent="0.4">
      <c r="N9035" s="211"/>
    </row>
    <row r="9036" spans="14:14" x14ac:dyDescent="0.4">
      <c r="N9036" s="211"/>
    </row>
    <row r="9037" spans="14:14" x14ac:dyDescent="0.4">
      <c r="N9037" s="211"/>
    </row>
    <row r="9038" spans="14:14" x14ac:dyDescent="0.4">
      <c r="N9038" s="211"/>
    </row>
    <row r="9039" spans="14:14" x14ac:dyDescent="0.4">
      <c r="N9039" s="211"/>
    </row>
    <row r="9040" spans="14:14" x14ac:dyDescent="0.4">
      <c r="N9040" s="211"/>
    </row>
    <row r="9041" spans="14:14" x14ac:dyDescent="0.4">
      <c r="N9041" s="211"/>
    </row>
    <row r="9042" spans="14:14" x14ac:dyDescent="0.4">
      <c r="N9042" s="211"/>
    </row>
    <row r="9043" spans="14:14" x14ac:dyDescent="0.4">
      <c r="N9043" s="211"/>
    </row>
    <row r="9044" spans="14:14" x14ac:dyDescent="0.4">
      <c r="N9044" s="211"/>
    </row>
    <row r="9045" spans="14:14" x14ac:dyDescent="0.4">
      <c r="N9045" s="211"/>
    </row>
    <row r="9046" spans="14:14" x14ac:dyDescent="0.4">
      <c r="N9046" s="211"/>
    </row>
    <row r="9047" spans="14:14" x14ac:dyDescent="0.4">
      <c r="N9047" s="211"/>
    </row>
    <row r="9048" spans="14:14" x14ac:dyDescent="0.4">
      <c r="N9048" s="211"/>
    </row>
    <row r="9049" spans="14:14" x14ac:dyDescent="0.4">
      <c r="N9049" s="211"/>
    </row>
    <row r="9050" spans="14:14" x14ac:dyDescent="0.4">
      <c r="N9050" s="211"/>
    </row>
    <row r="9051" spans="14:14" x14ac:dyDescent="0.4">
      <c r="N9051" s="211"/>
    </row>
    <row r="9052" spans="14:14" x14ac:dyDescent="0.4">
      <c r="N9052" s="211"/>
    </row>
    <row r="9053" spans="14:14" x14ac:dyDescent="0.4">
      <c r="N9053" s="211"/>
    </row>
    <row r="9054" spans="14:14" x14ac:dyDescent="0.4">
      <c r="N9054" s="211"/>
    </row>
    <row r="9055" spans="14:14" x14ac:dyDescent="0.4">
      <c r="N9055" s="211"/>
    </row>
    <row r="9056" spans="14:14" x14ac:dyDescent="0.4">
      <c r="N9056" s="211"/>
    </row>
    <row r="9057" spans="14:14" x14ac:dyDescent="0.4">
      <c r="N9057" s="211"/>
    </row>
    <row r="9058" spans="14:14" x14ac:dyDescent="0.4">
      <c r="N9058" s="211"/>
    </row>
    <row r="9059" spans="14:14" x14ac:dyDescent="0.4">
      <c r="N9059" s="211"/>
    </row>
    <row r="9060" spans="14:14" x14ac:dyDescent="0.4">
      <c r="N9060" s="211"/>
    </row>
    <row r="9061" spans="14:14" x14ac:dyDescent="0.4">
      <c r="N9061" s="211"/>
    </row>
    <row r="9062" spans="14:14" x14ac:dyDescent="0.4">
      <c r="N9062" s="211"/>
    </row>
    <row r="9063" spans="14:14" x14ac:dyDescent="0.4">
      <c r="N9063" s="211"/>
    </row>
    <row r="9064" spans="14:14" x14ac:dyDescent="0.4">
      <c r="N9064" s="211"/>
    </row>
    <row r="9065" spans="14:14" x14ac:dyDescent="0.4">
      <c r="N9065" s="211"/>
    </row>
    <row r="9066" spans="14:14" x14ac:dyDescent="0.4">
      <c r="N9066" s="211"/>
    </row>
    <row r="9067" spans="14:14" x14ac:dyDescent="0.4">
      <c r="N9067" s="211"/>
    </row>
    <row r="9068" spans="14:14" x14ac:dyDescent="0.4">
      <c r="N9068" s="211"/>
    </row>
    <row r="9069" spans="14:14" x14ac:dyDescent="0.4">
      <c r="N9069" s="211"/>
    </row>
    <row r="9070" spans="14:14" x14ac:dyDescent="0.4">
      <c r="N9070" s="211"/>
    </row>
    <row r="9071" spans="14:14" x14ac:dyDescent="0.4">
      <c r="N9071" s="211"/>
    </row>
    <row r="9072" spans="14:14" x14ac:dyDescent="0.4">
      <c r="N9072" s="211"/>
    </row>
    <row r="9073" spans="14:14" x14ac:dyDescent="0.4">
      <c r="N9073" s="211"/>
    </row>
    <row r="9074" spans="14:14" x14ac:dyDescent="0.4">
      <c r="N9074" s="211"/>
    </row>
    <row r="9075" spans="14:14" x14ac:dyDescent="0.4">
      <c r="N9075" s="211"/>
    </row>
    <row r="9076" spans="14:14" x14ac:dyDescent="0.4">
      <c r="N9076" s="211"/>
    </row>
    <row r="9077" spans="14:14" x14ac:dyDescent="0.4">
      <c r="N9077" s="211"/>
    </row>
    <row r="9078" spans="14:14" x14ac:dyDescent="0.4">
      <c r="N9078" s="211"/>
    </row>
    <row r="9079" spans="14:14" x14ac:dyDescent="0.4">
      <c r="N9079" s="211"/>
    </row>
    <row r="9080" spans="14:14" x14ac:dyDescent="0.4">
      <c r="N9080" s="211"/>
    </row>
    <row r="9081" spans="14:14" x14ac:dyDescent="0.4">
      <c r="N9081" s="211"/>
    </row>
    <row r="9082" spans="14:14" x14ac:dyDescent="0.4">
      <c r="N9082" s="211"/>
    </row>
    <row r="9083" spans="14:14" x14ac:dyDescent="0.4">
      <c r="N9083" s="211"/>
    </row>
    <row r="9084" spans="14:14" x14ac:dyDescent="0.4">
      <c r="N9084" s="211"/>
    </row>
    <row r="9085" spans="14:14" x14ac:dyDescent="0.4">
      <c r="N9085" s="211"/>
    </row>
    <row r="9086" spans="14:14" x14ac:dyDescent="0.4">
      <c r="N9086" s="211"/>
    </row>
    <row r="9087" spans="14:14" x14ac:dyDescent="0.4">
      <c r="N9087" s="211"/>
    </row>
    <row r="9088" spans="14:14" x14ac:dyDescent="0.4">
      <c r="N9088" s="211"/>
    </row>
    <row r="9089" spans="14:14" x14ac:dyDescent="0.4">
      <c r="N9089" s="211"/>
    </row>
    <row r="9090" spans="14:14" x14ac:dyDescent="0.4">
      <c r="N9090" s="211"/>
    </row>
    <row r="9091" spans="14:14" x14ac:dyDescent="0.4">
      <c r="N9091" s="211"/>
    </row>
    <row r="9092" spans="14:14" x14ac:dyDescent="0.4">
      <c r="N9092" s="211"/>
    </row>
    <row r="9093" spans="14:14" x14ac:dyDescent="0.4">
      <c r="N9093" s="211"/>
    </row>
    <row r="9094" spans="14:14" x14ac:dyDescent="0.4">
      <c r="N9094" s="211"/>
    </row>
    <row r="9095" spans="14:14" x14ac:dyDescent="0.4">
      <c r="N9095" s="211"/>
    </row>
    <row r="9096" spans="14:14" x14ac:dyDescent="0.4">
      <c r="N9096" s="211"/>
    </row>
    <row r="9097" spans="14:14" x14ac:dyDescent="0.4">
      <c r="N9097" s="211"/>
    </row>
    <row r="9098" spans="14:14" x14ac:dyDescent="0.4">
      <c r="N9098" s="211"/>
    </row>
    <row r="9099" spans="14:14" x14ac:dyDescent="0.4">
      <c r="N9099" s="211"/>
    </row>
    <row r="9100" spans="14:14" x14ac:dyDescent="0.4">
      <c r="N9100" s="211"/>
    </row>
    <row r="9101" spans="14:14" x14ac:dyDescent="0.4">
      <c r="N9101" s="211"/>
    </row>
    <row r="9102" spans="14:14" x14ac:dyDescent="0.4">
      <c r="N9102" s="211"/>
    </row>
    <row r="9103" spans="14:14" x14ac:dyDescent="0.4">
      <c r="N9103" s="211"/>
    </row>
    <row r="9104" spans="14:14" x14ac:dyDescent="0.4">
      <c r="N9104" s="211"/>
    </row>
    <row r="9105" spans="14:14" x14ac:dyDescent="0.4">
      <c r="N9105" s="211"/>
    </row>
    <row r="9106" spans="14:14" x14ac:dyDescent="0.4">
      <c r="N9106" s="211"/>
    </row>
    <row r="9107" spans="14:14" x14ac:dyDescent="0.4">
      <c r="N9107" s="211"/>
    </row>
    <row r="9108" spans="14:14" x14ac:dyDescent="0.4">
      <c r="N9108" s="211"/>
    </row>
    <row r="9109" spans="14:14" x14ac:dyDescent="0.4">
      <c r="N9109" s="211"/>
    </row>
    <row r="9110" spans="14:14" x14ac:dyDescent="0.4">
      <c r="N9110" s="211"/>
    </row>
    <row r="9111" spans="14:14" x14ac:dyDescent="0.4">
      <c r="N9111" s="211"/>
    </row>
    <row r="9112" spans="14:14" x14ac:dyDescent="0.4">
      <c r="N9112" s="211"/>
    </row>
    <row r="9113" spans="14:14" x14ac:dyDescent="0.4">
      <c r="N9113" s="211"/>
    </row>
    <row r="9114" spans="14:14" x14ac:dyDescent="0.4">
      <c r="N9114" s="211"/>
    </row>
    <row r="9115" spans="14:14" x14ac:dyDescent="0.4">
      <c r="N9115" s="211"/>
    </row>
    <row r="9116" spans="14:14" x14ac:dyDescent="0.4">
      <c r="N9116" s="211"/>
    </row>
    <row r="9117" spans="14:14" x14ac:dyDescent="0.4">
      <c r="N9117" s="211"/>
    </row>
    <row r="9118" spans="14:14" x14ac:dyDescent="0.4">
      <c r="N9118" s="211"/>
    </row>
    <row r="9119" spans="14:14" x14ac:dyDescent="0.4">
      <c r="N9119" s="211"/>
    </row>
    <row r="9120" spans="14:14" x14ac:dyDescent="0.4">
      <c r="N9120" s="211"/>
    </row>
    <row r="9121" spans="14:14" x14ac:dyDescent="0.4">
      <c r="N9121" s="211"/>
    </row>
    <row r="9122" spans="14:14" x14ac:dyDescent="0.4">
      <c r="N9122" s="211"/>
    </row>
    <row r="9123" spans="14:14" x14ac:dyDescent="0.4">
      <c r="N9123" s="211"/>
    </row>
    <row r="9124" spans="14:14" x14ac:dyDescent="0.4">
      <c r="N9124" s="211"/>
    </row>
    <row r="9125" spans="14:14" x14ac:dyDescent="0.4">
      <c r="N9125" s="211"/>
    </row>
    <row r="9126" spans="14:14" x14ac:dyDescent="0.4">
      <c r="N9126" s="211"/>
    </row>
    <row r="9127" spans="14:14" x14ac:dyDescent="0.4">
      <c r="N9127" s="211"/>
    </row>
    <row r="9128" spans="14:14" x14ac:dyDescent="0.4">
      <c r="N9128" s="211"/>
    </row>
    <row r="9129" spans="14:14" x14ac:dyDescent="0.4">
      <c r="N9129" s="211"/>
    </row>
    <row r="9130" spans="14:14" x14ac:dyDescent="0.4">
      <c r="N9130" s="211"/>
    </row>
    <row r="9131" spans="14:14" x14ac:dyDescent="0.4">
      <c r="N9131" s="211"/>
    </row>
    <row r="9132" spans="14:14" x14ac:dyDescent="0.4">
      <c r="N9132" s="211"/>
    </row>
    <row r="9133" spans="14:14" x14ac:dyDescent="0.4">
      <c r="N9133" s="211"/>
    </row>
    <row r="9134" spans="14:14" x14ac:dyDescent="0.4">
      <c r="N9134" s="211"/>
    </row>
    <row r="9135" spans="14:14" x14ac:dyDescent="0.4">
      <c r="N9135" s="211"/>
    </row>
    <row r="9136" spans="14:14" x14ac:dyDescent="0.4">
      <c r="N9136" s="211"/>
    </row>
    <row r="9137" spans="14:14" x14ac:dyDescent="0.4">
      <c r="N9137" s="211"/>
    </row>
    <row r="9585" spans="14:14" x14ac:dyDescent="0.4">
      <c r="N9585" s="211"/>
    </row>
    <row r="9586" spans="14:14" x14ac:dyDescent="0.4">
      <c r="N9586" s="211"/>
    </row>
    <row r="9587" spans="14:14" x14ac:dyDescent="0.4">
      <c r="N9587" s="211"/>
    </row>
    <row r="9588" spans="14:14" x14ac:dyDescent="0.4">
      <c r="N9588" s="211"/>
    </row>
    <row r="9589" spans="14:14" x14ac:dyDescent="0.4">
      <c r="N9589" s="211"/>
    </row>
    <row r="9590" spans="14:14" x14ac:dyDescent="0.4">
      <c r="N9590" s="211"/>
    </row>
    <row r="9591" spans="14:14" x14ac:dyDescent="0.4">
      <c r="N9591" s="211"/>
    </row>
    <row r="9592" spans="14:14" x14ac:dyDescent="0.4">
      <c r="N9592" s="211"/>
    </row>
    <row r="9593" spans="14:14" x14ac:dyDescent="0.4">
      <c r="N9593" s="211"/>
    </row>
    <row r="9594" spans="14:14" x14ac:dyDescent="0.4">
      <c r="N9594" s="211"/>
    </row>
    <row r="9595" spans="14:14" x14ac:dyDescent="0.4">
      <c r="N9595" s="211"/>
    </row>
    <row r="9596" spans="14:14" x14ac:dyDescent="0.4">
      <c r="N9596" s="211"/>
    </row>
    <row r="9597" spans="14:14" x14ac:dyDescent="0.4">
      <c r="N9597" s="211"/>
    </row>
    <row r="9598" spans="14:14" x14ac:dyDescent="0.4">
      <c r="N9598" s="211"/>
    </row>
    <row r="9599" spans="14:14" x14ac:dyDescent="0.4">
      <c r="N9599" s="211"/>
    </row>
    <row r="9600" spans="14:14" x14ac:dyDescent="0.4">
      <c r="N9600" s="211"/>
    </row>
    <row r="9601" spans="14:14" x14ac:dyDescent="0.4">
      <c r="N9601" s="211"/>
    </row>
    <row r="9602" spans="14:14" x14ac:dyDescent="0.4">
      <c r="N9602" s="211"/>
    </row>
    <row r="9603" spans="14:14" x14ac:dyDescent="0.4">
      <c r="N9603" s="211"/>
    </row>
    <row r="9604" spans="14:14" x14ac:dyDescent="0.4">
      <c r="N9604" s="211"/>
    </row>
    <row r="9605" spans="14:14" x14ac:dyDescent="0.4">
      <c r="N9605" s="211"/>
    </row>
    <row r="9606" spans="14:14" x14ac:dyDescent="0.4">
      <c r="N9606" s="211"/>
    </row>
    <row r="9607" spans="14:14" x14ac:dyDescent="0.4">
      <c r="N9607" s="211"/>
    </row>
    <row r="9608" spans="14:14" x14ac:dyDescent="0.4">
      <c r="N9608" s="211"/>
    </row>
    <row r="9609" spans="14:14" x14ac:dyDescent="0.4">
      <c r="N9609" s="211"/>
    </row>
    <row r="9610" spans="14:14" x14ac:dyDescent="0.4">
      <c r="N9610" s="211"/>
    </row>
    <row r="9611" spans="14:14" x14ac:dyDescent="0.4">
      <c r="N9611" s="211"/>
    </row>
    <row r="9612" spans="14:14" x14ac:dyDescent="0.4">
      <c r="N9612" s="211"/>
    </row>
    <row r="9613" spans="14:14" x14ac:dyDescent="0.4">
      <c r="N9613" s="211"/>
    </row>
    <row r="9614" spans="14:14" x14ac:dyDescent="0.4">
      <c r="N9614" s="211"/>
    </row>
    <row r="9615" spans="14:14" x14ac:dyDescent="0.4">
      <c r="N9615" s="211"/>
    </row>
    <row r="9616" spans="14:14" x14ac:dyDescent="0.4">
      <c r="N9616" s="211"/>
    </row>
    <row r="9617" spans="14:14" x14ac:dyDescent="0.4">
      <c r="N9617" s="211"/>
    </row>
    <row r="9618" spans="14:14" x14ac:dyDescent="0.4">
      <c r="N9618" s="211"/>
    </row>
    <row r="9619" spans="14:14" x14ac:dyDescent="0.4">
      <c r="N9619" s="211"/>
    </row>
    <row r="9620" spans="14:14" x14ac:dyDescent="0.4">
      <c r="N9620" s="211"/>
    </row>
    <row r="9621" spans="14:14" x14ac:dyDescent="0.4">
      <c r="N9621" s="211"/>
    </row>
    <row r="9622" spans="14:14" x14ac:dyDescent="0.4">
      <c r="N9622" s="211"/>
    </row>
    <row r="9623" spans="14:14" x14ac:dyDescent="0.4">
      <c r="N9623" s="211"/>
    </row>
    <row r="9624" spans="14:14" x14ac:dyDescent="0.4">
      <c r="N9624" s="211"/>
    </row>
    <row r="9625" spans="14:14" x14ac:dyDescent="0.4">
      <c r="N9625" s="211"/>
    </row>
    <row r="9626" spans="14:14" x14ac:dyDescent="0.4">
      <c r="N9626" s="211"/>
    </row>
    <row r="9627" spans="14:14" x14ac:dyDescent="0.4">
      <c r="N9627" s="211"/>
    </row>
    <row r="9628" spans="14:14" x14ac:dyDescent="0.4">
      <c r="N9628" s="211"/>
    </row>
    <row r="9629" spans="14:14" x14ac:dyDescent="0.4">
      <c r="N9629" s="211"/>
    </row>
    <row r="9630" spans="14:14" x14ac:dyDescent="0.4">
      <c r="N9630" s="211"/>
    </row>
    <row r="9631" spans="14:14" x14ac:dyDescent="0.4">
      <c r="N9631" s="211"/>
    </row>
    <row r="9632" spans="14:14" x14ac:dyDescent="0.4">
      <c r="N9632" s="211"/>
    </row>
    <row r="9633" spans="14:14" x14ac:dyDescent="0.4">
      <c r="N9633" s="211"/>
    </row>
    <row r="9634" spans="14:14" x14ac:dyDescent="0.4">
      <c r="N9634" s="211"/>
    </row>
    <row r="9635" spans="14:14" x14ac:dyDescent="0.4">
      <c r="N9635" s="211"/>
    </row>
    <row r="9636" spans="14:14" x14ac:dyDescent="0.4">
      <c r="N9636" s="211"/>
    </row>
    <row r="9637" spans="14:14" x14ac:dyDescent="0.4">
      <c r="N9637" s="211"/>
    </row>
    <row r="9638" spans="14:14" x14ac:dyDescent="0.4">
      <c r="N9638" s="211"/>
    </row>
    <row r="9639" spans="14:14" x14ac:dyDescent="0.4">
      <c r="N9639" s="211"/>
    </row>
    <row r="9640" spans="14:14" x14ac:dyDescent="0.4">
      <c r="N9640" s="211"/>
    </row>
    <row r="9641" spans="14:14" x14ac:dyDescent="0.4">
      <c r="N9641" s="211"/>
    </row>
    <row r="9642" spans="14:14" x14ac:dyDescent="0.4">
      <c r="N9642" s="211"/>
    </row>
    <row r="9643" spans="14:14" x14ac:dyDescent="0.4">
      <c r="N9643" s="211"/>
    </row>
    <row r="9644" spans="14:14" x14ac:dyDescent="0.4">
      <c r="N9644" s="211"/>
    </row>
    <row r="9645" spans="14:14" x14ac:dyDescent="0.4">
      <c r="N9645" s="211"/>
    </row>
    <row r="9646" spans="14:14" x14ac:dyDescent="0.4">
      <c r="N9646" s="211"/>
    </row>
    <row r="9647" spans="14:14" x14ac:dyDescent="0.4">
      <c r="N9647" s="211"/>
    </row>
    <row r="9648" spans="14:14" x14ac:dyDescent="0.4">
      <c r="N9648" s="211"/>
    </row>
    <row r="9649" spans="14:14" x14ac:dyDescent="0.4">
      <c r="N9649" s="211"/>
    </row>
    <row r="9650" spans="14:14" x14ac:dyDescent="0.4">
      <c r="N9650" s="211"/>
    </row>
    <row r="9651" spans="14:14" x14ac:dyDescent="0.4">
      <c r="N9651" s="211"/>
    </row>
    <row r="9652" spans="14:14" x14ac:dyDescent="0.4">
      <c r="N9652" s="211"/>
    </row>
    <row r="9653" spans="14:14" x14ac:dyDescent="0.4">
      <c r="N9653" s="211"/>
    </row>
    <row r="9654" spans="14:14" x14ac:dyDescent="0.4">
      <c r="N9654" s="211"/>
    </row>
    <row r="9655" spans="14:14" x14ac:dyDescent="0.4">
      <c r="N9655" s="211"/>
    </row>
    <row r="9656" spans="14:14" x14ac:dyDescent="0.4">
      <c r="N9656" s="211"/>
    </row>
    <row r="9657" spans="14:14" x14ac:dyDescent="0.4">
      <c r="N9657" s="211"/>
    </row>
    <row r="9658" spans="14:14" x14ac:dyDescent="0.4">
      <c r="N9658" s="211"/>
    </row>
    <row r="9659" spans="14:14" x14ac:dyDescent="0.4">
      <c r="N9659" s="211"/>
    </row>
    <row r="9660" spans="14:14" x14ac:dyDescent="0.4">
      <c r="N9660" s="211"/>
    </row>
    <row r="9661" spans="14:14" x14ac:dyDescent="0.4">
      <c r="N9661" s="211"/>
    </row>
    <row r="9662" spans="14:14" x14ac:dyDescent="0.4">
      <c r="N9662" s="211"/>
    </row>
    <row r="9663" spans="14:14" x14ac:dyDescent="0.4">
      <c r="N9663" s="211"/>
    </row>
    <row r="9664" spans="14:14" x14ac:dyDescent="0.4">
      <c r="N9664" s="211"/>
    </row>
    <row r="9665" spans="14:14" x14ac:dyDescent="0.4">
      <c r="N9665" s="211"/>
    </row>
    <row r="9666" spans="14:14" x14ac:dyDescent="0.4">
      <c r="N9666" s="211"/>
    </row>
    <row r="9667" spans="14:14" x14ac:dyDescent="0.4">
      <c r="N9667" s="211"/>
    </row>
    <row r="9668" spans="14:14" x14ac:dyDescent="0.4">
      <c r="N9668" s="211"/>
    </row>
    <row r="9669" spans="14:14" x14ac:dyDescent="0.4">
      <c r="N9669" s="211"/>
    </row>
    <row r="9670" spans="14:14" x14ac:dyDescent="0.4">
      <c r="N9670" s="211"/>
    </row>
    <row r="9671" spans="14:14" x14ac:dyDescent="0.4">
      <c r="N9671" s="211"/>
    </row>
    <row r="9672" spans="14:14" x14ac:dyDescent="0.4">
      <c r="N9672" s="211"/>
    </row>
    <row r="9673" spans="14:14" x14ac:dyDescent="0.4">
      <c r="N9673" s="211"/>
    </row>
    <row r="9674" spans="14:14" x14ac:dyDescent="0.4">
      <c r="N9674" s="211"/>
    </row>
    <row r="9675" spans="14:14" x14ac:dyDescent="0.4">
      <c r="N9675" s="211"/>
    </row>
    <row r="9676" spans="14:14" x14ac:dyDescent="0.4">
      <c r="N9676" s="211"/>
    </row>
    <row r="9677" spans="14:14" x14ac:dyDescent="0.4">
      <c r="N9677" s="211"/>
    </row>
    <row r="9678" spans="14:14" x14ac:dyDescent="0.4">
      <c r="N9678" s="211"/>
    </row>
    <row r="9679" spans="14:14" x14ac:dyDescent="0.4">
      <c r="N9679" s="211"/>
    </row>
    <row r="9680" spans="14:14" x14ac:dyDescent="0.4">
      <c r="N9680" s="211"/>
    </row>
    <row r="9681" spans="14:14" x14ac:dyDescent="0.4">
      <c r="N9681" s="211"/>
    </row>
    <row r="9682" spans="14:14" x14ac:dyDescent="0.4">
      <c r="N9682" s="211"/>
    </row>
    <row r="9683" spans="14:14" x14ac:dyDescent="0.4">
      <c r="N9683" s="211"/>
    </row>
    <row r="9684" spans="14:14" x14ac:dyDescent="0.4">
      <c r="N9684" s="211"/>
    </row>
    <row r="9685" spans="14:14" x14ac:dyDescent="0.4">
      <c r="N9685" s="211"/>
    </row>
    <row r="9686" spans="14:14" x14ac:dyDescent="0.4">
      <c r="N9686" s="211"/>
    </row>
    <row r="9687" spans="14:14" x14ac:dyDescent="0.4">
      <c r="N9687" s="211"/>
    </row>
    <row r="9688" spans="14:14" x14ac:dyDescent="0.4">
      <c r="N9688" s="211"/>
    </row>
    <row r="9689" spans="14:14" x14ac:dyDescent="0.4">
      <c r="N9689" s="211"/>
    </row>
    <row r="9690" spans="14:14" x14ac:dyDescent="0.4">
      <c r="N9690" s="211"/>
    </row>
    <row r="9691" spans="14:14" x14ac:dyDescent="0.4">
      <c r="N9691" s="211"/>
    </row>
    <row r="9692" spans="14:14" x14ac:dyDescent="0.4">
      <c r="N9692" s="211"/>
    </row>
    <row r="9693" spans="14:14" x14ac:dyDescent="0.4">
      <c r="N9693" s="211"/>
    </row>
    <row r="9694" spans="14:14" x14ac:dyDescent="0.4">
      <c r="N9694" s="211"/>
    </row>
    <row r="9695" spans="14:14" x14ac:dyDescent="0.4">
      <c r="N9695" s="211"/>
    </row>
    <row r="9696" spans="14:14" x14ac:dyDescent="0.4">
      <c r="N9696" s="211"/>
    </row>
    <row r="9697" spans="14:14" x14ac:dyDescent="0.4">
      <c r="N9697" s="211"/>
    </row>
    <row r="9698" spans="14:14" x14ac:dyDescent="0.4">
      <c r="N9698" s="211"/>
    </row>
    <row r="9699" spans="14:14" x14ac:dyDescent="0.4">
      <c r="N9699" s="211"/>
    </row>
    <row r="9700" spans="14:14" x14ac:dyDescent="0.4">
      <c r="N9700" s="211"/>
    </row>
    <row r="9701" spans="14:14" x14ac:dyDescent="0.4">
      <c r="N9701" s="211"/>
    </row>
    <row r="9702" spans="14:14" x14ac:dyDescent="0.4">
      <c r="N9702" s="211"/>
    </row>
    <row r="9703" spans="14:14" x14ac:dyDescent="0.4">
      <c r="N9703" s="211"/>
    </row>
    <row r="9704" spans="14:14" x14ac:dyDescent="0.4">
      <c r="N9704" s="211"/>
    </row>
    <row r="9705" spans="14:14" x14ac:dyDescent="0.4">
      <c r="N9705" s="211"/>
    </row>
    <row r="9706" spans="14:14" x14ac:dyDescent="0.4">
      <c r="N9706" s="211"/>
    </row>
    <row r="9707" spans="14:14" x14ac:dyDescent="0.4">
      <c r="N9707" s="211"/>
    </row>
    <row r="9708" spans="14:14" x14ac:dyDescent="0.4">
      <c r="N9708" s="211"/>
    </row>
    <row r="9709" spans="14:14" x14ac:dyDescent="0.4">
      <c r="N9709" s="211"/>
    </row>
    <row r="9710" spans="14:14" x14ac:dyDescent="0.4">
      <c r="N9710" s="211"/>
    </row>
    <row r="9711" spans="14:14" x14ac:dyDescent="0.4">
      <c r="N9711" s="211"/>
    </row>
    <row r="9712" spans="14:14" x14ac:dyDescent="0.4">
      <c r="N9712" s="211"/>
    </row>
    <row r="9713" spans="14:14" x14ac:dyDescent="0.4">
      <c r="N9713" s="211"/>
    </row>
    <row r="9714" spans="14:14" x14ac:dyDescent="0.4">
      <c r="N9714" s="211"/>
    </row>
    <row r="9715" spans="14:14" x14ac:dyDescent="0.4">
      <c r="N9715" s="211"/>
    </row>
    <row r="9716" spans="14:14" x14ac:dyDescent="0.4">
      <c r="N9716" s="211"/>
    </row>
    <row r="9717" spans="14:14" x14ac:dyDescent="0.4">
      <c r="N9717" s="211"/>
    </row>
    <row r="9718" spans="14:14" x14ac:dyDescent="0.4">
      <c r="N9718" s="211"/>
    </row>
    <row r="9719" spans="14:14" x14ac:dyDescent="0.4">
      <c r="N9719" s="211"/>
    </row>
    <row r="9720" spans="14:14" x14ac:dyDescent="0.4">
      <c r="N9720" s="211"/>
    </row>
    <row r="9721" spans="14:14" x14ac:dyDescent="0.4">
      <c r="N9721" s="211"/>
    </row>
    <row r="9722" spans="14:14" x14ac:dyDescent="0.4">
      <c r="N9722" s="211"/>
    </row>
    <row r="9723" spans="14:14" x14ac:dyDescent="0.4">
      <c r="N9723" s="211"/>
    </row>
    <row r="9724" spans="14:14" x14ac:dyDescent="0.4">
      <c r="N9724" s="211"/>
    </row>
    <row r="9725" spans="14:14" x14ac:dyDescent="0.4">
      <c r="N9725" s="211"/>
    </row>
    <row r="9726" spans="14:14" x14ac:dyDescent="0.4">
      <c r="N9726" s="211"/>
    </row>
    <row r="9727" spans="14:14" x14ac:dyDescent="0.4">
      <c r="N9727" s="211"/>
    </row>
    <row r="9728" spans="14:14" x14ac:dyDescent="0.4">
      <c r="N9728" s="211"/>
    </row>
    <row r="9729" spans="14:14" x14ac:dyDescent="0.4">
      <c r="N9729" s="211"/>
    </row>
    <row r="9730" spans="14:14" x14ac:dyDescent="0.4">
      <c r="N9730" s="211"/>
    </row>
    <row r="9731" spans="14:14" x14ac:dyDescent="0.4">
      <c r="N9731" s="211"/>
    </row>
    <row r="9732" spans="14:14" x14ac:dyDescent="0.4">
      <c r="N9732" s="211"/>
    </row>
    <row r="9733" spans="14:14" x14ac:dyDescent="0.4">
      <c r="N9733" s="211"/>
    </row>
    <row r="9734" spans="14:14" x14ac:dyDescent="0.4">
      <c r="N9734" s="211"/>
    </row>
    <row r="9735" spans="14:14" x14ac:dyDescent="0.4">
      <c r="N9735" s="211"/>
    </row>
    <row r="9736" spans="14:14" x14ac:dyDescent="0.4">
      <c r="N9736" s="211"/>
    </row>
    <row r="9737" spans="14:14" x14ac:dyDescent="0.4">
      <c r="N9737" s="211"/>
    </row>
    <row r="9738" spans="14:14" x14ac:dyDescent="0.4">
      <c r="N9738" s="211"/>
    </row>
    <row r="9739" spans="14:14" x14ac:dyDescent="0.4">
      <c r="N9739" s="211"/>
    </row>
    <row r="9740" spans="14:14" x14ac:dyDescent="0.4">
      <c r="N9740" s="211"/>
    </row>
    <row r="9741" spans="14:14" x14ac:dyDescent="0.4">
      <c r="N9741" s="211"/>
    </row>
    <row r="9742" spans="14:14" x14ac:dyDescent="0.4">
      <c r="N9742" s="211"/>
    </row>
    <row r="9743" spans="14:14" x14ac:dyDescent="0.4">
      <c r="N9743" s="211"/>
    </row>
    <row r="9744" spans="14:14" x14ac:dyDescent="0.4">
      <c r="N9744" s="211"/>
    </row>
    <row r="9745" spans="14:14" x14ac:dyDescent="0.4">
      <c r="N9745" s="211"/>
    </row>
    <row r="9746" spans="14:14" x14ac:dyDescent="0.4">
      <c r="N9746" s="211"/>
    </row>
    <row r="9747" spans="14:14" x14ac:dyDescent="0.4">
      <c r="N9747" s="211"/>
    </row>
    <row r="9748" spans="14:14" x14ac:dyDescent="0.4">
      <c r="N9748" s="211"/>
    </row>
    <row r="9749" spans="14:14" x14ac:dyDescent="0.4">
      <c r="N9749" s="211"/>
    </row>
    <row r="9750" spans="14:14" x14ac:dyDescent="0.4">
      <c r="N9750" s="211"/>
    </row>
    <row r="9751" spans="14:14" x14ac:dyDescent="0.4">
      <c r="N9751" s="211"/>
    </row>
    <row r="9752" spans="14:14" x14ac:dyDescent="0.4">
      <c r="N9752" s="211"/>
    </row>
    <row r="9753" spans="14:14" x14ac:dyDescent="0.4">
      <c r="N9753" s="211"/>
    </row>
    <row r="9754" spans="14:14" x14ac:dyDescent="0.4">
      <c r="N9754" s="211"/>
    </row>
    <row r="9755" spans="14:14" x14ac:dyDescent="0.4">
      <c r="N9755" s="211"/>
    </row>
    <row r="9756" spans="14:14" x14ac:dyDescent="0.4">
      <c r="N9756" s="211"/>
    </row>
    <row r="9757" spans="14:14" x14ac:dyDescent="0.4">
      <c r="N9757" s="211"/>
    </row>
    <row r="9758" spans="14:14" x14ac:dyDescent="0.4">
      <c r="N9758" s="211"/>
    </row>
    <row r="9759" spans="14:14" x14ac:dyDescent="0.4">
      <c r="N9759" s="211"/>
    </row>
    <row r="9760" spans="14:14" x14ac:dyDescent="0.4">
      <c r="N9760" s="211"/>
    </row>
    <row r="9761" spans="14:14" x14ac:dyDescent="0.4">
      <c r="N9761" s="211"/>
    </row>
    <row r="9762" spans="14:14" x14ac:dyDescent="0.4">
      <c r="N9762" s="211"/>
    </row>
    <row r="9763" spans="14:14" x14ac:dyDescent="0.4">
      <c r="N9763" s="211"/>
    </row>
    <row r="9764" spans="14:14" x14ac:dyDescent="0.4">
      <c r="N9764" s="211"/>
    </row>
    <row r="9765" spans="14:14" x14ac:dyDescent="0.4">
      <c r="N9765" s="211"/>
    </row>
    <row r="9766" spans="14:14" x14ac:dyDescent="0.4">
      <c r="N9766" s="211"/>
    </row>
    <row r="9767" spans="14:14" x14ac:dyDescent="0.4">
      <c r="N9767" s="211"/>
    </row>
    <row r="9768" spans="14:14" x14ac:dyDescent="0.4">
      <c r="N9768" s="211"/>
    </row>
    <row r="9769" spans="14:14" x14ac:dyDescent="0.4">
      <c r="N9769" s="211"/>
    </row>
    <row r="9770" spans="14:14" x14ac:dyDescent="0.4">
      <c r="N9770" s="211"/>
    </row>
    <row r="9771" spans="14:14" x14ac:dyDescent="0.4">
      <c r="N9771" s="211"/>
    </row>
    <row r="9772" spans="14:14" x14ac:dyDescent="0.4">
      <c r="N9772" s="211"/>
    </row>
    <row r="9773" spans="14:14" x14ac:dyDescent="0.4">
      <c r="N9773" s="211"/>
    </row>
    <row r="9774" spans="14:14" x14ac:dyDescent="0.4">
      <c r="N9774" s="211"/>
    </row>
    <row r="9775" spans="14:14" x14ac:dyDescent="0.4">
      <c r="N9775" s="211"/>
    </row>
    <row r="9776" spans="14:14" x14ac:dyDescent="0.4">
      <c r="N9776" s="211"/>
    </row>
    <row r="9777" spans="14:14" x14ac:dyDescent="0.4">
      <c r="N9777" s="211"/>
    </row>
    <row r="9778" spans="14:14" x14ac:dyDescent="0.4">
      <c r="N9778" s="211"/>
    </row>
    <row r="9779" spans="14:14" x14ac:dyDescent="0.4">
      <c r="N9779" s="211"/>
    </row>
    <row r="9780" spans="14:14" x14ac:dyDescent="0.4">
      <c r="N9780" s="211"/>
    </row>
    <row r="9781" spans="14:14" x14ac:dyDescent="0.4">
      <c r="N9781" s="211"/>
    </row>
    <row r="9782" spans="14:14" x14ac:dyDescent="0.4">
      <c r="N9782" s="211"/>
    </row>
    <row r="9783" spans="14:14" x14ac:dyDescent="0.4">
      <c r="N9783" s="211"/>
    </row>
    <row r="9784" spans="14:14" x14ac:dyDescent="0.4">
      <c r="N9784" s="211"/>
    </row>
    <row r="9785" spans="14:14" x14ac:dyDescent="0.4">
      <c r="N9785" s="211"/>
    </row>
    <row r="9786" spans="14:14" x14ac:dyDescent="0.4">
      <c r="N9786" s="211"/>
    </row>
    <row r="9787" spans="14:14" x14ac:dyDescent="0.4">
      <c r="N9787" s="211"/>
    </row>
    <row r="9788" spans="14:14" x14ac:dyDescent="0.4">
      <c r="N9788" s="211"/>
    </row>
    <row r="9789" spans="14:14" x14ac:dyDescent="0.4">
      <c r="N9789" s="211"/>
    </row>
    <row r="9790" spans="14:14" x14ac:dyDescent="0.4">
      <c r="N9790" s="211"/>
    </row>
    <row r="9791" spans="14:14" x14ac:dyDescent="0.4">
      <c r="N9791" s="211"/>
    </row>
    <row r="9792" spans="14:14" x14ac:dyDescent="0.4">
      <c r="N9792" s="211"/>
    </row>
    <row r="9793" spans="14:14" x14ac:dyDescent="0.4">
      <c r="N9793" s="211"/>
    </row>
    <row r="9794" spans="14:14" x14ac:dyDescent="0.4">
      <c r="N9794" s="211"/>
    </row>
    <row r="9795" spans="14:14" x14ac:dyDescent="0.4">
      <c r="N9795" s="211"/>
    </row>
    <row r="9796" spans="14:14" x14ac:dyDescent="0.4">
      <c r="N9796" s="211"/>
    </row>
    <row r="9797" spans="14:14" x14ac:dyDescent="0.4">
      <c r="N9797" s="211"/>
    </row>
    <row r="9798" spans="14:14" x14ac:dyDescent="0.4">
      <c r="N9798" s="211"/>
    </row>
    <row r="9799" spans="14:14" x14ac:dyDescent="0.4">
      <c r="N9799" s="211"/>
    </row>
    <row r="9800" spans="14:14" x14ac:dyDescent="0.4">
      <c r="N9800" s="211"/>
    </row>
    <row r="9801" spans="14:14" x14ac:dyDescent="0.4">
      <c r="N9801" s="211"/>
    </row>
    <row r="9802" spans="14:14" x14ac:dyDescent="0.4">
      <c r="N9802" s="211"/>
    </row>
    <row r="9803" spans="14:14" x14ac:dyDescent="0.4">
      <c r="N9803" s="211"/>
    </row>
    <row r="9804" spans="14:14" x14ac:dyDescent="0.4">
      <c r="N9804" s="211"/>
    </row>
    <row r="9805" spans="14:14" x14ac:dyDescent="0.4">
      <c r="N9805" s="211"/>
    </row>
    <row r="9806" spans="14:14" x14ac:dyDescent="0.4">
      <c r="N9806" s="211"/>
    </row>
    <row r="9807" spans="14:14" x14ac:dyDescent="0.4">
      <c r="N9807" s="211"/>
    </row>
    <row r="9808" spans="14:14" x14ac:dyDescent="0.4">
      <c r="N9808" s="211"/>
    </row>
    <row r="9809" spans="14:14" x14ac:dyDescent="0.4">
      <c r="N9809" s="211"/>
    </row>
    <row r="9810" spans="14:14" x14ac:dyDescent="0.4">
      <c r="N9810" s="211"/>
    </row>
    <row r="9811" spans="14:14" x14ac:dyDescent="0.4">
      <c r="N9811" s="211"/>
    </row>
    <row r="9812" spans="14:14" x14ac:dyDescent="0.4">
      <c r="N9812" s="211"/>
    </row>
    <row r="9813" spans="14:14" x14ac:dyDescent="0.4">
      <c r="N9813" s="211"/>
    </row>
    <row r="9814" spans="14:14" x14ac:dyDescent="0.4">
      <c r="N9814" s="211"/>
    </row>
    <row r="9815" spans="14:14" x14ac:dyDescent="0.4">
      <c r="N9815" s="211"/>
    </row>
    <row r="9816" spans="14:14" x14ac:dyDescent="0.4">
      <c r="N9816" s="211"/>
    </row>
    <row r="9817" spans="14:14" x14ac:dyDescent="0.4">
      <c r="N9817" s="211"/>
    </row>
    <row r="9818" spans="14:14" x14ac:dyDescent="0.4">
      <c r="N9818" s="211"/>
    </row>
    <row r="9819" spans="14:14" x14ac:dyDescent="0.4">
      <c r="N9819" s="211"/>
    </row>
    <row r="9820" spans="14:14" x14ac:dyDescent="0.4">
      <c r="N9820" s="211"/>
    </row>
    <row r="9821" spans="14:14" x14ac:dyDescent="0.4">
      <c r="N9821" s="211"/>
    </row>
    <row r="9822" spans="14:14" x14ac:dyDescent="0.4">
      <c r="N9822" s="211"/>
    </row>
    <row r="9823" spans="14:14" x14ac:dyDescent="0.4">
      <c r="N9823" s="211"/>
    </row>
    <row r="9824" spans="14:14" x14ac:dyDescent="0.4">
      <c r="N9824" s="211"/>
    </row>
    <row r="9825" spans="14:14" x14ac:dyDescent="0.4">
      <c r="N9825" s="211"/>
    </row>
    <row r="9826" spans="14:14" x14ac:dyDescent="0.4">
      <c r="N9826" s="211"/>
    </row>
    <row r="9827" spans="14:14" x14ac:dyDescent="0.4">
      <c r="N9827" s="211"/>
    </row>
    <row r="9828" spans="14:14" x14ac:dyDescent="0.4">
      <c r="N9828" s="211"/>
    </row>
    <row r="9829" spans="14:14" x14ac:dyDescent="0.4">
      <c r="N9829" s="211"/>
    </row>
    <row r="9830" spans="14:14" x14ac:dyDescent="0.4">
      <c r="N9830" s="211"/>
    </row>
    <row r="9831" spans="14:14" x14ac:dyDescent="0.4">
      <c r="N9831" s="211"/>
    </row>
    <row r="9832" spans="14:14" x14ac:dyDescent="0.4">
      <c r="N9832" s="211"/>
    </row>
    <row r="9833" spans="14:14" x14ac:dyDescent="0.4">
      <c r="N9833" s="211"/>
    </row>
    <row r="9834" spans="14:14" x14ac:dyDescent="0.4">
      <c r="N9834" s="211"/>
    </row>
    <row r="9835" spans="14:14" x14ac:dyDescent="0.4">
      <c r="N9835" s="211"/>
    </row>
    <row r="9836" spans="14:14" x14ac:dyDescent="0.4">
      <c r="N9836" s="211"/>
    </row>
    <row r="9837" spans="14:14" x14ac:dyDescent="0.4">
      <c r="N9837" s="211"/>
    </row>
    <row r="9838" spans="14:14" x14ac:dyDescent="0.4">
      <c r="N9838" s="211"/>
    </row>
    <row r="9839" spans="14:14" x14ac:dyDescent="0.4">
      <c r="N9839" s="211"/>
    </row>
    <row r="9840" spans="14:14" x14ac:dyDescent="0.4">
      <c r="N9840" s="211"/>
    </row>
    <row r="9841" spans="14:14" x14ac:dyDescent="0.4">
      <c r="N9841" s="211"/>
    </row>
    <row r="9842" spans="14:14" x14ac:dyDescent="0.4">
      <c r="N9842" s="211"/>
    </row>
    <row r="9843" spans="14:14" x14ac:dyDescent="0.4">
      <c r="N9843" s="211"/>
    </row>
    <row r="9844" spans="14:14" x14ac:dyDescent="0.4">
      <c r="N9844" s="211"/>
    </row>
    <row r="9845" spans="14:14" x14ac:dyDescent="0.4">
      <c r="N9845" s="211"/>
    </row>
    <row r="9846" spans="14:14" x14ac:dyDescent="0.4">
      <c r="N9846" s="211"/>
    </row>
    <row r="9847" spans="14:14" x14ac:dyDescent="0.4">
      <c r="N9847" s="211"/>
    </row>
    <row r="9848" spans="14:14" x14ac:dyDescent="0.4">
      <c r="N9848" s="211"/>
    </row>
    <row r="9849" spans="14:14" x14ac:dyDescent="0.4">
      <c r="N9849" s="211"/>
    </row>
    <row r="9850" spans="14:14" x14ac:dyDescent="0.4">
      <c r="N9850" s="211"/>
    </row>
    <row r="9851" spans="14:14" x14ac:dyDescent="0.4">
      <c r="N9851" s="211"/>
    </row>
    <row r="9852" spans="14:14" x14ac:dyDescent="0.4">
      <c r="N9852" s="211"/>
    </row>
    <row r="9853" spans="14:14" x14ac:dyDescent="0.4">
      <c r="N9853" s="211"/>
    </row>
    <row r="9854" spans="14:14" x14ac:dyDescent="0.4">
      <c r="N9854" s="211"/>
    </row>
    <row r="9855" spans="14:14" x14ac:dyDescent="0.4">
      <c r="N9855" s="211"/>
    </row>
    <row r="9856" spans="14:14" x14ac:dyDescent="0.4">
      <c r="N9856" s="211"/>
    </row>
    <row r="9857" spans="14:14" x14ac:dyDescent="0.4">
      <c r="N9857" s="211"/>
    </row>
    <row r="9858" spans="14:14" x14ac:dyDescent="0.4">
      <c r="N9858" s="211"/>
    </row>
    <row r="9859" spans="14:14" x14ac:dyDescent="0.4">
      <c r="N9859" s="211"/>
    </row>
    <row r="9860" spans="14:14" x14ac:dyDescent="0.4">
      <c r="N9860" s="211"/>
    </row>
    <row r="9861" spans="14:14" x14ac:dyDescent="0.4">
      <c r="N9861" s="211"/>
    </row>
    <row r="9862" spans="14:14" x14ac:dyDescent="0.4">
      <c r="N9862" s="211"/>
    </row>
    <row r="9863" spans="14:14" x14ac:dyDescent="0.4">
      <c r="N9863" s="211"/>
    </row>
    <row r="9864" spans="14:14" x14ac:dyDescent="0.4">
      <c r="N9864" s="211"/>
    </row>
    <row r="9865" spans="14:14" x14ac:dyDescent="0.4">
      <c r="N9865" s="211"/>
    </row>
    <row r="9866" spans="14:14" x14ac:dyDescent="0.4">
      <c r="N9866" s="211"/>
    </row>
    <row r="9867" spans="14:14" x14ac:dyDescent="0.4">
      <c r="N9867" s="211"/>
    </row>
    <row r="9868" spans="14:14" x14ac:dyDescent="0.4">
      <c r="N9868" s="211"/>
    </row>
  </sheetData>
  <mergeCells count="1">
    <mergeCell ref="D3:I3"/>
  </mergeCells>
  <pageMargins left="0.7" right="0.7" top="0.75" bottom="0.75" header="0.3" footer="0.3"/>
  <pageSetup orientation="portrait" r:id="rId1"/>
  <drawing r:id="rId2"/>
  <legacyDrawing r:id="rId3"/>
  <controls>
    <mc:AlternateContent xmlns:mc="http://schemas.openxmlformats.org/markup-compatibility/2006">
      <mc:Choice Requires="x14">
        <control shapeId="96263" r:id="rId4" name="cmdWriteDly">
          <controlPr defaultSize="0" autoLine="0" r:id="rId5">
            <anchor moveWithCells="1">
              <from>
                <xdr:col>7</xdr:col>
                <xdr:colOff>522514</xdr:colOff>
                <xdr:row>0</xdr:row>
                <xdr:rowOff>255814</xdr:rowOff>
              </from>
              <to>
                <xdr:col>8</xdr:col>
                <xdr:colOff>680357</xdr:colOff>
                <xdr:row>2</xdr:row>
                <xdr:rowOff>10886</xdr:rowOff>
              </to>
            </anchor>
          </controlPr>
        </control>
      </mc:Choice>
      <mc:Fallback>
        <control shapeId="96263" r:id="rId4" name="cmdWriteDly"/>
      </mc:Fallback>
    </mc:AlternateContent>
    <mc:AlternateContent xmlns:mc="http://schemas.openxmlformats.org/markup-compatibility/2006">
      <mc:Choice Requires="x14">
        <control shapeId="96262" r:id="rId6" name="cmdGetDly">
          <controlPr defaultSize="0" autoLine="0" r:id="rId7">
            <anchor moveWithCells="1">
              <from>
                <xdr:col>5</xdr:col>
                <xdr:colOff>65314</xdr:colOff>
                <xdr:row>0</xdr:row>
                <xdr:rowOff>255814</xdr:rowOff>
              </from>
              <to>
                <xdr:col>6</xdr:col>
                <xdr:colOff>195943</xdr:colOff>
                <xdr:row>2</xdr:row>
                <xdr:rowOff>0</xdr:rowOff>
              </to>
            </anchor>
          </controlPr>
        </control>
      </mc:Choice>
      <mc:Fallback>
        <control shapeId="96262" r:id="rId6" name="cmdGetDly"/>
      </mc:Fallback>
    </mc:AlternateContent>
    <mc:AlternateContent xmlns:mc="http://schemas.openxmlformats.org/markup-compatibility/2006">
      <mc:Choice Requires="x14">
        <control shapeId="96261" r:id="rId8" name="cmbBoxDly">
          <controlPr defaultSize="0" autoLine="0" linkedCell="B2" r:id="rId9">
            <anchor moveWithCells="1">
              <from>
                <xdr:col>1</xdr:col>
                <xdr:colOff>10886</xdr:colOff>
                <xdr:row>1</xdr:row>
                <xdr:rowOff>10886</xdr:rowOff>
              </from>
              <to>
                <xdr:col>3</xdr:col>
                <xdr:colOff>174171</xdr:colOff>
                <xdr:row>1</xdr:row>
                <xdr:rowOff>239486</xdr:rowOff>
              </to>
            </anchor>
          </controlPr>
        </control>
      </mc:Choice>
      <mc:Fallback>
        <control shapeId="96261" r:id="rId8" name="cmbBoxDly"/>
      </mc:Fallback>
    </mc:AlternateContent>
    <mc:AlternateContent xmlns:mc="http://schemas.openxmlformats.org/markup-compatibility/2006">
      <mc:Choice Requires="x14">
        <control shapeId="96260" r:id="rId10" name="cmdReadDly">
          <controlPr defaultSize="0" autoLine="0" r:id="rId11">
            <anchor moveWithCells="1">
              <from>
                <xdr:col>6</xdr:col>
                <xdr:colOff>315686</xdr:colOff>
                <xdr:row>0</xdr:row>
                <xdr:rowOff>255814</xdr:rowOff>
              </from>
              <to>
                <xdr:col>7</xdr:col>
                <xdr:colOff>473529</xdr:colOff>
                <xdr:row>2</xdr:row>
                <xdr:rowOff>10886</xdr:rowOff>
              </to>
            </anchor>
          </controlPr>
        </control>
      </mc:Choice>
      <mc:Fallback>
        <control shapeId="96260" r:id="rId10" name="cmdReadDly"/>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O7311"/>
  <sheetViews>
    <sheetView zoomScaleNormal="100" workbookViewId="0"/>
  </sheetViews>
  <sheetFormatPr defaultColWidth="9.15234375" defaultRowHeight="14.6" x14ac:dyDescent="0.4"/>
  <cols>
    <col min="1" max="1" width="11" customWidth="1"/>
    <col min="2" max="13" width="11.84375" customWidth="1"/>
    <col min="14" max="14" width="31.3828125" customWidth="1"/>
  </cols>
  <sheetData>
    <row r="1" spans="1:15" ht="25.4" customHeight="1" x14ac:dyDescent="0.4">
      <c r="A1" s="94" t="s">
        <v>1331</v>
      </c>
      <c r="B1" s="10"/>
      <c r="C1" s="8"/>
    </row>
    <row r="2" spans="1:15" ht="19.95" customHeight="1" x14ac:dyDescent="0.4">
      <c r="A2" s="98" t="s">
        <v>918</v>
      </c>
      <c r="B2" s="95" t="s">
        <v>1871</v>
      </c>
      <c r="C2" s="17"/>
      <c r="D2" s="27" t="s">
        <v>758</v>
      </c>
      <c r="E2" s="85" t="s">
        <v>1538</v>
      </c>
    </row>
    <row r="3" spans="1:15" x14ac:dyDescent="0.4">
      <c r="A3" s="99" t="s">
        <v>900</v>
      </c>
      <c r="B3" s="95"/>
      <c r="C3" s="92"/>
      <c r="D3" s="27" t="s">
        <v>1735</v>
      </c>
      <c r="E3" s="194" t="s">
        <v>1736</v>
      </c>
    </row>
    <row r="5" spans="1:15" x14ac:dyDescent="0.4">
      <c r="A5" s="26" t="s">
        <v>974</v>
      </c>
      <c r="B5" s="128"/>
    </row>
    <row r="6" spans="1:15" s="72" customFormat="1" x14ac:dyDescent="0.4">
      <c r="A6" s="26" t="s">
        <v>975</v>
      </c>
      <c r="B6" s="145"/>
      <c r="C6"/>
      <c r="D6"/>
      <c r="E6"/>
      <c r="F6"/>
      <c r="G6"/>
      <c r="H6"/>
      <c r="I6"/>
    </row>
    <row r="7" spans="1:15" s="72" customFormat="1" x14ac:dyDescent="0.4">
      <c r="A7" s="69" t="s">
        <v>1608</v>
      </c>
      <c r="B7"/>
      <c r="C7"/>
      <c r="D7"/>
      <c r="E7"/>
      <c r="F7"/>
      <c r="G7"/>
      <c r="H7"/>
      <c r="I7"/>
    </row>
    <row r="8" spans="1:15" s="7" customFormat="1" x14ac:dyDescent="0.4">
      <c r="A8" s="7" t="s">
        <v>1349</v>
      </c>
      <c r="B8" s="7" t="s">
        <v>1319</v>
      </c>
      <c r="C8" s="7" t="s">
        <v>1320</v>
      </c>
      <c r="D8" s="7" t="s">
        <v>1321</v>
      </c>
      <c r="E8" s="7" t="s">
        <v>1322</v>
      </c>
      <c r="F8" s="7" t="s">
        <v>1323</v>
      </c>
      <c r="G8" s="7" t="s">
        <v>1324</v>
      </c>
      <c r="H8" s="7" t="s">
        <v>1325</v>
      </c>
      <c r="I8" s="7" t="s">
        <v>1326</v>
      </c>
      <c r="J8" s="7" t="s">
        <v>1327</v>
      </c>
      <c r="K8" s="7" t="s">
        <v>1328</v>
      </c>
      <c r="L8" s="7" t="s">
        <v>1329</v>
      </c>
      <c r="M8" s="7" t="s">
        <v>1330</v>
      </c>
      <c r="N8" s="139" t="s">
        <v>1348</v>
      </c>
      <c r="O8" s="139"/>
    </row>
    <row r="9" spans="1:15" x14ac:dyDescent="0.4">
      <c r="A9" s="143" t="s">
        <v>1385</v>
      </c>
      <c r="B9" s="144"/>
      <c r="C9" s="144"/>
      <c r="D9" s="144"/>
      <c r="E9" s="144"/>
      <c r="F9" s="144"/>
      <c r="G9" s="144"/>
      <c r="H9" s="144"/>
      <c r="I9" s="144"/>
      <c r="J9" s="144"/>
      <c r="K9" s="144"/>
      <c r="L9" s="144"/>
      <c r="M9" s="144"/>
      <c r="N9" s="22" t="s">
        <v>1334</v>
      </c>
    </row>
    <row r="10" spans="1:15" s="6" customFormat="1" x14ac:dyDescent="0.4">
      <c r="A10" s="143" t="s">
        <v>1386</v>
      </c>
      <c r="B10" s="144"/>
      <c r="C10" s="144"/>
      <c r="D10" s="144"/>
      <c r="E10" s="144"/>
      <c r="F10" s="144"/>
      <c r="G10" s="144"/>
      <c r="H10" s="144"/>
      <c r="I10" s="144"/>
      <c r="J10" s="144"/>
      <c r="K10" s="144"/>
      <c r="L10" s="144"/>
      <c r="M10" s="144"/>
      <c r="N10" s="22" t="s">
        <v>1335</v>
      </c>
    </row>
    <row r="11" spans="1:15" s="6" customFormat="1" x14ac:dyDescent="0.4">
      <c r="A11" s="143" t="s">
        <v>1332</v>
      </c>
      <c r="B11" s="144"/>
      <c r="C11" s="144"/>
      <c r="D11" s="144"/>
      <c r="E11" s="144"/>
      <c r="F11" s="144"/>
      <c r="G11" s="144"/>
      <c r="H11" s="144"/>
      <c r="I11" s="144"/>
      <c r="J11" s="144"/>
      <c r="K11" s="144"/>
      <c r="L11" s="144"/>
      <c r="M11" s="144"/>
      <c r="N11" s="22" t="s">
        <v>1336</v>
      </c>
    </row>
    <row r="12" spans="1:15" s="6" customFormat="1" x14ac:dyDescent="0.4">
      <c r="A12" s="143" t="s">
        <v>1333</v>
      </c>
      <c r="B12" s="144"/>
      <c r="C12" s="144"/>
      <c r="D12" s="144"/>
      <c r="E12" s="144"/>
      <c r="F12" s="144"/>
      <c r="G12" s="144"/>
      <c r="H12" s="144"/>
      <c r="I12" s="144"/>
      <c r="J12" s="144"/>
      <c r="K12" s="144"/>
      <c r="L12" s="144"/>
      <c r="M12" s="144"/>
      <c r="N12" s="22" t="s">
        <v>1337</v>
      </c>
    </row>
    <row r="13" spans="1:15" s="6" customFormat="1" x14ac:dyDescent="0.4">
      <c r="A13" s="143" t="s">
        <v>1387</v>
      </c>
      <c r="B13" s="144"/>
      <c r="C13" s="144"/>
      <c r="D13" s="144"/>
      <c r="E13" s="144"/>
      <c r="F13" s="144"/>
      <c r="G13" s="144"/>
      <c r="H13" s="144"/>
      <c r="I13" s="144"/>
      <c r="J13" s="144"/>
      <c r="K13" s="144"/>
      <c r="L13" s="144"/>
      <c r="M13" s="144"/>
      <c r="N13" s="22" t="s">
        <v>1338</v>
      </c>
    </row>
    <row r="14" spans="1:15" x14ac:dyDescent="0.4">
      <c r="A14" s="143" t="s">
        <v>1388</v>
      </c>
      <c r="B14" s="144"/>
      <c r="C14" s="144"/>
      <c r="D14" s="144"/>
      <c r="E14" s="144"/>
      <c r="F14" s="144"/>
      <c r="G14" s="144"/>
      <c r="H14" s="144"/>
      <c r="I14" s="144"/>
      <c r="J14" s="144"/>
      <c r="K14" s="144"/>
      <c r="L14" s="144"/>
      <c r="M14" s="144"/>
      <c r="N14" s="22" t="s">
        <v>1339</v>
      </c>
    </row>
    <row r="15" spans="1:15" x14ac:dyDescent="0.4">
      <c r="A15" s="143" t="s">
        <v>1389</v>
      </c>
      <c r="B15" s="144"/>
      <c r="C15" s="144"/>
      <c r="D15" s="144"/>
      <c r="E15" s="144"/>
      <c r="F15" s="144"/>
      <c r="G15" s="144"/>
      <c r="H15" s="144"/>
      <c r="I15" s="144"/>
      <c r="J15" s="144"/>
      <c r="K15" s="144"/>
      <c r="L15" s="144"/>
      <c r="M15" s="144"/>
      <c r="N15" s="22" t="s">
        <v>1340</v>
      </c>
    </row>
    <row r="16" spans="1:15" x14ac:dyDescent="0.4">
      <c r="A16" s="143" t="s">
        <v>1390</v>
      </c>
      <c r="B16" s="144"/>
      <c r="C16" s="144"/>
      <c r="D16" s="144"/>
      <c r="E16" s="144"/>
      <c r="F16" s="144"/>
      <c r="G16" s="144"/>
      <c r="H16" s="144"/>
      <c r="I16" s="144"/>
      <c r="J16" s="144"/>
      <c r="K16" s="144"/>
      <c r="L16" s="144"/>
      <c r="M16" s="144"/>
      <c r="N16" s="22" t="s">
        <v>1341</v>
      </c>
    </row>
    <row r="17" spans="1:14" x14ac:dyDescent="0.4">
      <c r="A17" s="143" t="s">
        <v>1391</v>
      </c>
      <c r="B17" s="144"/>
      <c r="C17" s="144"/>
      <c r="D17" s="144"/>
      <c r="E17" s="144"/>
      <c r="F17" s="144"/>
      <c r="G17" s="144"/>
      <c r="H17" s="144"/>
      <c r="I17" s="144"/>
      <c r="J17" s="144"/>
      <c r="K17" s="144"/>
      <c r="L17" s="144"/>
      <c r="M17" s="144"/>
      <c r="N17" s="22" t="s">
        <v>1342</v>
      </c>
    </row>
    <row r="18" spans="1:14" x14ac:dyDescent="0.4">
      <c r="A18" s="143" t="s">
        <v>1392</v>
      </c>
      <c r="B18" s="144"/>
      <c r="C18" s="144"/>
      <c r="D18" s="144"/>
      <c r="E18" s="144"/>
      <c r="F18" s="144"/>
      <c r="G18" s="144"/>
      <c r="H18" s="144"/>
      <c r="I18" s="144"/>
      <c r="J18" s="144"/>
      <c r="K18" s="144"/>
      <c r="L18" s="144"/>
      <c r="M18" s="144"/>
      <c r="N18" s="22" t="s">
        <v>1343</v>
      </c>
    </row>
    <row r="19" spans="1:14" x14ac:dyDescent="0.4">
      <c r="A19" s="143" t="s">
        <v>1393</v>
      </c>
      <c r="B19" s="144"/>
      <c r="C19" s="144"/>
      <c r="D19" s="144"/>
      <c r="E19" s="144"/>
      <c r="F19" s="144"/>
      <c r="G19" s="144"/>
      <c r="H19" s="144"/>
      <c r="I19" s="144"/>
      <c r="J19" s="144"/>
      <c r="K19" s="144"/>
      <c r="L19" s="144"/>
      <c r="M19" s="144"/>
      <c r="N19" s="22" t="s">
        <v>1344</v>
      </c>
    </row>
    <row r="20" spans="1:14" x14ac:dyDescent="0.4">
      <c r="A20" s="143" t="s">
        <v>1394</v>
      </c>
      <c r="B20" s="144"/>
      <c r="C20" s="144"/>
      <c r="D20" s="144"/>
      <c r="E20" s="144"/>
      <c r="F20" s="144"/>
      <c r="G20" s="144"/>
      <c r="H20" s="144"/>
      <c r="I20" s="144"/>
      <c r="J20" s="144"/>
      <c r="K20" s="144"/>
      <c r="L20" s="144"/>
      <c r="M20" s="144"/>
      <c r="N20" s="22" t="s">
        <v>1345</v>
      </c>
    </row>
    <row r="21" spans="1:14" x14ac:dyDescent="0.4">
      <c r="A21" s="143" t="s">
        <v>1395</v>
      </c>
      <c r="B21" s="144"/>
      <c r="C21" s="144"/>
      <c r="D21" s="144"/>
      <c r="E21" s="144"/>
      <c r="F21" s="144"/>
      <c r="G21" s="144"/>
      <c r="H21" s="144"/>
      <c r="I21" s="144"/>
      <c r="J21" s="144"/>
      <c r="K21" s="144"/>
      <c r="L21" s="144"/>
      <c r="M21" s="144"/>
      <c r="N21" s="22" t="s">
        <v>1346</v>
      </c>
    </row>
    <row r="22" spans="1:14" x14ac:dyDescent="0.4">
      <c r="A22" s="143" t="s">
        <v>1396</v>
      </c>
      <c r="B22" s="144"/>
      <c r="C22" s="144"/>
      <c r="D22" s="144"/>
      <c r="E22" s="144"/>
      <c r="F22" s="144"/>
      <c r="G22" s="144"/>
      <c r="H22" s="144"/>
      <c r="I22" s="144"/>
      <c r="J22" s="144"/>
      <c r="K22" s="144"/>
      <c r="L22" s="144"/>
      <c r="M22" s="144"/>
      <c r="N22" s="22" t="s">
        <v>1347</v>
      </c>
    </row>
    <row r="23" spans="1:14" x14ac:dyDescent="0.4">
      <c r="A23" s="38"/>
      <c r="J23" s="140"/>
    </row>
    <row r="24" spans="1:14" x14ac:dyDescent="0.4">
      <c r="J24" s="140"/>
    </row>
    <row r="25" spans="1:14" x14ac:dyDescent="0.4">
      <c r="J25" s="140"/>
    </row>
    <row r="26" spans="1:14" x14ac:dyDescent="0.4">
      <c r="J26" s="140"/>
    </row>
    <row r="27" spans="1:14" x14ac:dyDescent="0.4">
      <c r="J27" s="140"/>
    </row>
    <row r="28" spans="1:14" x14ac:dyDescent="0.4">
      <c r="J28" s="140"/>
    </row>
    <row r="29" spans="1:14" x14ac:dyDescent="0.4">
      <c r="J29" s="140"/>
    </row>
    <row r="30" spans="1:14" x14ac:dyDescent="0.4">
      <c r="J30" s="140"/>
    </row>
    <row r="31" spans="1:14" x14ac:dyDescent="0.4">
      <c r="J31" s="140"/>
    </row>
    <row r="32" spans="1:14" x14ac:dyDescent="0.4">
      <c r="J32" s="140"/>
    </row>
    <row r="33" spans="10:10" x14ac:dyDescent="0.4">
      <c r="J33" s="140"/>
    </row>
    <row r="34" spans="10:10" x14ac:dyDescent="0.4">
      <c r="J34" s="140"/>
    </row>
    <row r="35" spans="10:10" x14ac:dyDescent="0.4">
      <c r="J35" s="140"/>
    </row>
    <row r="36" spans="10:10" x14ac:dyDescent="0.4">
      <c r="J36" s="140"/>
    </row>
    <row r="37" spans="10:10" x14ac:dyDescent="0.4">
      <c r="J37" s="140"/>
    </row>
    <row r="38" spans="10:10" x14ac:dyDescent="0.4">
      <c r="J38" s="140"/>
    </row>
    <row r="39" spans="10:10" x14ac:dyDescent="0.4">
      <c r="J39" s="140"/>
    </row>
    <row r="40" spans="10:10" x14ac:dyDescent="0.4">
      <c r="J40" s="140"/>
    </row>
    <row r="41" spans="10:10" x14ac:dyDescent="0.4">
      <c r="J41" s="140"/>
    </row>
    <row r="42" spans="10:10" x14ac:dyDescent="0.4">
      <c r="J42" s="140"/>
    </row>
    <row r="43" spans="10:10" x14ac:dyDescent="0.4">
      <c r="J43" s="140"/>
    </row>
    <row r="44" spans="10:10" x14ac:dyDescent="0.4">
      <c r="J44" s="140"/>
    </row>
    <row r="45" spans="10:10" x14ac:dyDescent="0.4">
      <c r="J45" s="140"/>
    </row>
    <row r="46" spans="10:10" x14ac:dyDescent="0.4">
      <c r="J46" s="140"/>
    </row>
    <row r="47" spans="10:10" x14ac:dyDescent="0.4">
      <c r="J47" s="140"/>
    </row>
    <row r="48" spans="10:10" x14ac:dyDescent="0.4">
      <c r="J48" s="140"/>
    </row>
    <row r="49" spans="10:10" x14ac:dyDescent="0.4">
      <c r="J49" s="140"/>
    </row>
    <row r="50" spans="10:10" x14ac:dyDescent="0.4">
      <c r="J50" s="140"/>
    </row>
    <row r="51" spans="10:10" x14ac:dyDescent="0.4">
      <c r="J51" s="140"/>
    </row>
    <row r="52" spans="10:10" x14ac:dyDescent="0.4">
      <c r="J52" s="140"/>
    </row>
    <row r="53" spans="10:10" x14ac:dyDescent="0.4">
      <c r="J53" s="140"/>
    </row>
    <row r="54" spans="10:10" x14ac:dyDescent="0.4">
      <c r="J54" s="140"/>
    </row>
    <row r="55" spans="10:10" x14ac:dyDescent="0.4">
      <c r="J55" s="140"/>
    </row>
    <row r="56" spans="10:10" x14ac:dyDescent="0.4">
      <c r="J56" s="140"/>
    </row>
    <row r="57" spans="10:10" x14ac:dyDescent="0.4">
      <c r="J57" s="140"/>
    </row>
    <row r="58" spans="10:10" x14ac:dyDescent="0.4">
      <c r="J58" s="140"/>
    </row>
    <row r="59" spans="10:10" x14ac:dyDescent="0.4">
      <c r="J59" s="140"/>
    </row>
    <row r="60" spans="10:10" x14ac:dyDescent="0.4">
      <c r="J60" s="140"/>
    </row>
    <row r="61" spans="10:10" x14ac:dyDescent="0.4">
      <c r="J61" s="140"/>
    </row>
    <row r="62" spans="10:10" x14ac:dyDescent="0.4">
      <c r="J62" s="140"/>
    </row>
    <row r="63" spans="10:10" x14ac:dyDescent="0.4">
      <c r="J63" s="140"/>
    </row>
    <row r="64" spans="10:10" x14ac:dyDescent="0.4">
      <c r="J64" s="140"/>
    </row>
    <row r="65" spans="10:10" x14ac:dyDescent="0.4">
      <c r="J65" s="140"/>
    </row>
    <row r="66" spans="10:10" x14ac:dyDescent="0.4">
      <c r="J66" s="140"/>
    </row>
    <row r="67" spans="10:10" x14ac:dyDescent="0.4">
      <c r="J67" s="140"/>
    </row>
    <row r="68" spans="10:10" x14ac:dyDescent="0.4">
      <c r="J68" s="140"/>
    </row>
    <row r="69" spans="10:10" x14ac:dyDescent="0.4">
      <c r="J69" s="140"/>
    </row>
    <row r="70" spans="10:10" x14ac:dyDescent="0.4">
      <c r="J70" s="140"/>
    </row>
    <row r="71" spans="10:10" x14ac:dyDescent="0.4">
      <c r="J71" s="140"/>
    </row>
    <row r="72" spans="10:10" x14ac:dyDescent="0.4">
      <c r="J72" s="140"/>
    </row>
    <row r="73" spans="10:10" x14ac:dyDescent="0.4">
      <c r="J73" s="140"/>
    </row>
    <row r="74" spans="10:10" x14ac:dyDescent="0.4">
      <c r="J74" s="140"/>
    </row>
    <row r="75" spans="10:10" x14ac:dyDescent="0.4">
      <c r="J75" s="140"/>
    </row>
    <row r="76" spans="10:10" x14ac:dyDescent="0.4">
      <c r="J76" s="140"/>
    </row>
    <row r="77" spans="10:10" x14ac:dyDescent="0.4">
      <c r="J77" s="140"/>
    </row>
    <row r="78" spans="10:10" x14ac:dyDescent="0.4">
      <c r="J78" s="140"/>
    </row>
    <row r="79" spans="10:10" x14ac:dyDescent="0.4">
      <c r="J79" s="140"/>
    </row>
    <row r="80" spans="10:10" x14ac:dyDescent="0.4">
      <c r="J80" s="140"/>
    </row>
    <row r="81" spans="10:10" x14ac:dyDescent="0.4">
      <c r="J81" s="140"/>
    </row>
    <row r="82" spans="10:10" x14ac:dyDescent="0.4">
      <c r="J82" s="140"/>
    </row>
    <row r="83" spans="10:10" x14ac:dyDescent="0.4">
      <c r="J83" s="140"/>
    </row>
    <row r="84" spans="10:10" x14ac:dyDescent="0.4">
      <c r="J84" s="140"/>
    </row>
    <row r="85" spans="10:10" x14ac:dyDescent="0.4">
      <c r="J85" s="140"/>
    </row>
    <row r="86" spans="10:10" x14ac:dyDescent="0.4">
      <c r="J86" s="140"/>
    </row>
    <row r="87" spans="10:10" x14ac:dyDescent="0.4">
      <c r="J87" s="140"/>
    </row>
    <row r="88" spans="10:10" x14ac:dyDescent="0.4">
      <c r="J88" s="140"/>
    </row>
    <row r="89" spans="10:10" x14ac:dyDescent="0.4">
      <c r="J89" s="140"/>
    </row>
    <row r="90" spans="10:10" x14ac:dyDescent="0.4">
      <c r="J90" s="140"/>
    </row>
    <row r="91" spans="10:10" x14ac:dyDescent="0.4">
      <c r="J91" s="140"/>
    </row>
    <row r="92" spans="10:10" x14ac:dyDescent="0.4">
      <c r="J92" s="140"/>
    </row>
    <row r="93" spans="10:10" x14ac:dyDescent="0.4">
      <c r="J93" s="140"/>
    </row>
    <row r="94" spans="10:10" x14ac:dyDescent="0.4">
      <c r="J94" s="140"/>
    </row>
    <row r="95" spans="10:10" x14ac:dyDescent="0.4">
      <c r="J95" s="140"/>
    </row>
    <row r="96" spans="10:10" x14ac:dyDescent="0.4">
      <c r="J96" s="140"/>
    </row>
    <row r="97" spans="10:10" x14ac:dyDescent="0.4">
      <c r="J97" s="140"/>
    </row>
    <row r="98" spans="10:10" x14ac:dyDescent="0.4">
      <c r="J98" s="140"/>
    </row>
    <row r="99" spans="10:10" x14ac:dyDescent="0.4">
      <c r="J99" s="140"/>
    </row>
    <row r="100" spans="10:10" x14ac:dyDescent="0.4">
      <c r="J100" s="140"/>
    </row>
    <row r="101" spans="10:10" x14ac:dyDescent="0.4">
      <c r="J101" s="140"/>
    </row>
    <row r="102" spans="10:10" x14ac:dyDescent="0.4">
      <c r="J102" s="140"/>
    </row>
    <row r="103" spans="10:10" x14ac:dyDescent="0.4">
      <c r="J103" s="140"/>
    </row>
    <row r="104" spans="10:10" x14ac:dyDescent="0.4">
      <c r="J104" s="140"/>
    </row>
    <row r="105" spans="10:10" x14ac:dyDescent="0.4">
      <c r="J105" s="140"/>
    </row>
    <row r="106" spans="10:10" x14ac:dyDescent="0.4">
      <c r="J106" s="140"/>
    </row>
    <row r="107" spans="10:10" x14ac:dyDescent="0.4">
      <c r="J107" s="140"/>
    </row>
    <row r="108" spans="10:10" x14ac:dyDescent="0.4">
      <c r="J108" s="140"/>
    </row>
    <row r="109" spans="10:10" x14ac:dyDescent="0.4">
      <c r="J109" s="140"/>
    </row>
    <row r="110" spans="10:10" x14ac:dyDescent="0.4">
      <c r="J110" s="140"/>
    </row>
    <row r="111" spans="10:10" x14ac:dyDescent="0.4">
      <c r="J111" s="140"/>
    </row>
    <row r="112" spans="10:10" x14ac:dyDescent="0.4">
      <c r="J112" s="140"/>
    </row>
    <row r="113" spans="10:10" x14ac:dyDescent="0.4">
      <c r="J113" s="140"/>
    </row>
    <row r="114" spans="10:10" x14ac:dyDescent="0.4">
      <c r="J114" s="140"/>
    </row>
    <row r="115" spans="10:10" x14ac:dyDescent="0.4">
      <c r="J115" s="140"/>
    </row>
    <row r="116" spans="10:10" x14ac:dyDescent="0.4">
      <c r="J116" s="140"/>
    </row>
    <row r="117" spans="10:10" x14ac:dyDescent="0.4">
      <c r="J117" s="140"/>
    </row>
    <row r="118" spans="10:10" x14ac:dyDescent="0.4">
      <c r="J118" s="140"/>
    </row>
    <row r="119" spans="10:10" x14ac:dyDescent="0.4">
      <c r="J119" s="140"/>
    </row>
    <row r="120" spans="10:10" x14ac:dyDescent="0.4">
      <c r="J120" s="140"/>
    </row>
    <row r="121" spans="10:10" x14ac:dyDescent="0.4">
      <c r="J121" s="140"/>
    </row>
    <row r="122" spans="10:10" x14ac:dyDescent="0.4">
      <c r="J122" s="140"/>
    </row>
    <row r="123" spans="10:10" x14ac:dyDescent="0.4">
      <c r="J123" s="140"/>
    </row>
    <row r="124" spans="10:10" x14ac:dyDescent="0.4">
      <c r="J124" s="140"/>
    </row>
    <row r="125" spans="10:10" x14ac:dyDescent="0.4">
      <c r="J125" s="140"/>
    </row>
    <row r="126" spans="10:10" x14ac:dyDescent="0.4">
      <c r="J126" s="140"/>
    </row>
    <row r="127" spans="10:10" x14ac:dyDescent="0.4">
      <c r="J127" s="140"/>
    </row>
    <row r="128" spans="10:10" x14ac:dyDescent="0.4">
      <c r="J128" s="140"/>
    </row>
    <row r="129" spans="10:10" x14ac:dyDescent="0.4">
      <c r="J129" s="140"/>
    </row>
    <row r="130" spans="10:10" x14ac:dyDescent="0.4">
      <c r="J130" s="140"/>
    </row>
    <row r="131" spans="10:10" x14ac:dyDescent="0.4">
      <c r="J131" s="140"/>
    </row>
    <row r="132" spans="10:10" x14ac:dyDescent="0.4">
      <c r="J132" s="140"/>
    </row>
    <row r="133" spans="10:10" x14ac:dyDescent="0.4">
      <c r="J133" s="140"/>
    </row>
    <row r="134" spans="10:10" x14ac:dyDescent="0.4">
      <c r="J134" s="140"/>
    </row>
    <row r="135" spans="10:10" x14ac:dyDescent="0.4">
      <c r="J135" s="140"/>
    </row>
    <row r="136" spans="10:10" x14ac:dyDescent="0.4">
      <c r="J136" s="140"/>
    </row>
    <row r="137" spans="10:10" x14ac:dyDescent="0.4">
      <c r="J137" s="140"/>
    </row>
    <row r="138" spans="10:10" x14ac:dyDescent="0.4">
      <c r="J138" s="140"/>
    </row>
    <row r="139" spans="10:10" x14ac:dyDescent="0.4">
      <c r="J139" s="140"/>
    </row>
    <row r="140" spans="10:10" x14ac:dyDescent="0.4">
      <c r="J140" s="140"/>
    </row>
    <row r="141" spans="10:10" x14ac:dyDescent="0.4">
      <c r="J141" s="140"/>
    </row>
    <row r="142" spans="10:10" x14ac:dyDescent="0.4">
      <c r="J142" s="140"/>
    </row>
    <row r="143" spans="10:10" x14ac:dyDescent="0.4">
      <c r="J143" s="140"/>
    </row>
    <row r="144" spans="10:10" x14ac:dyDescent="0.4">
      <c r="J144" s="140"/>
    </row>
    <row r="145" spans="10:10" x14ac:dyDescent="0.4">
      <c r="J145" s="140"/>
    </row>
    <row r="146" spans="10:10" x14ac:dyDescent="0.4">
      <c r="J146" s="140"/>
    </row>
    <row r="147" spans="10:10" x14ac:dyDescent="0.4">
      <c r="J147" s="140"/>
    </row>
    <row r="148" spans="10:10" x14ac:dyDescent="0.4">
      <c r="J148" s="140"/>
    </row>
    <row r="149" spans="10:10" x14ac:dyDescent="0.4">
      <c r="J149" s="140"/>
    </row>
    <row r="150" spans="10:10" x14ac:dyDescent="0.4">
      <c r="J150" s="140"/>
    </row>
    <row r="151" spans="10:10" x14ac:dyDescent="0.4">
      <c r="J151" s="140"/>
    </row>
    <row r="152" spans="10:10" x14ac:dyDescent="0.4">
      <c r="J152" s="140"/>
    </row>
    <row r="153" spans="10:10" x14ac:dyDescent="0.4">
      <c r="J153" s="140"/>
    </row>
    <row r="154" spans="10:10" x14ac:dyDescent="0.4">
      <c r="J154" s="140"/>
    </row>
    <row r="155" spans="10:10" x14ac:dyDescent="0.4">
      <c r="J155" s="140"/>
    </row>
    <row r="156" spans="10:10" x14ac:dyDescent="0.4">
      <c r="J156" s="140"/>
    </row>
    <row r="157" spans="10:10" x14ac:dyDescent="0.4">
      <c r="J157" s="140"/>
    </row>
    <row r="158" spans="10:10" x14ac:dyDescent="0.4">
      <c r="J158" s="140"/>
    </row>
    <row r="159" spans="10:10" x14ac:dyDescent="0.4">
      <c r="J159" s="140"/>
    </row>
    <row r="160" spans="10:10" x14ac:dyDescent="0.4">
      <c r="J160" s="140"/>
    </row>
    <row r="161" spans="10:10" x14ac:dyDescent="0.4">
      <c r="J161" s="140"/>
    </row>
    <row r="162" spans="10:10" x14ac:dyDescent="0.4">
      <c r="J162" s="140"/>
    </row>
    <row r="163" spans="10:10" x14ac:dyDescent="0.4">
      <c r="J163" s="140"/>
    </row>
    <row r="164" spans="10:10" x14ac:dyDescent="0.4">
      <c r="J164" s="140"/>
    </row>
    <row r="165" spans="10:10" x14ac:dyDescent="0.4">
      <c r="J165" s="140"/>
    </row>
    <row r="166" spans="10:10" x14ac:dyDescent="0.4">
      <c r="J166" s="140"/>
    </row>
    <row r="167" spans="10:10" x14ac:dyDescent="0.4">
      <c r="J167" s="140"/>
    </row>
    <row r="168" spans="10:10" x14ac:dyDescent="0.4">
      <c r="J168" s="140"/>
    </row>
    <row r="169" spans="10:10" x14ac:dyDescent="0.4">
      <c r="J169" s="140"/>
    </row>
    <row r="170" spans="10:10" x14ac:dyDescent="0.4">
      <c r="J170" s="140"/>
    </row>
    <row r="171" spans="10:10" x14ac:dyDescent="0.4">
      <c r="J171" s="140"/>
    </row>
    <row r="172" spans="10:10" x14ac:dyDescent="0.4">
      <c r="J172" s="140"/>
    </row>
    <row r="173" spans="10:10" x14ac:dyDescent="0.4">
      <c r="J173" s="140"/>
    </row>
    <row r="174" spans="10:10" x14ac:dyDescent="0.4">
      <c r="J174" s="140"/>
    </row>
    <row r="175" spans="10:10" x14ac:dyDescent="0.4">
      <c r="J175" s="140"/>
    </row>
    <row r="176" spans="10:10" x14ac:dyDescent="0.4">
      <c r="J176" s="140"/>
    </row>
    <row r="177" spans="10:10" x14ac:dyDescent="0.4">
      <c r="J177" s="140"/>
    </row>
    <row r="178" spans="10:10" x14ac:dyDescent="0.4">
      <c r="J178" s="140"/>
    </row>
    <row r="179" spans="10:10" x14ac:dyDescent="0.4">
      <c r="J179" s="140"/>
    </row>
    <row r="180" spans="10:10" x14ac:dyDescent="0.4">
      <c r="J180" s="140"/>
    </row>
    <row r="181" spans="10:10" x14ac:dyDescent="0.4">
      <c r="J181" s="140"/>
    </row>
    <row r="182" spans="10:10" x14ac:dyDescent="0.4">
      <c r="J182" s="140"/>
    </row>
    <row r="183" spans="10:10" x14ac:dyDescent="0.4">
      <c r="J183" s="140"/>
    </row>
    <row r="184" spans="10:10" x14ac:dyDescent="0.4">
      <c r="J184" s="140"/>
    </row>
    <row r="185" spans="10:10" x14ac:dyDescent="0.4">
      <c r="J185" s="140"/>
    </row>
    <row r="186" spans="10:10" x14ac:dyDescent="0.4">
      <c r="J186" s="140"/>
    </row>
    <row r="187" spans="10:10" x14ac:dyDescent="0.4">
      <c r="J187" s="140"/>
    </row>
    <row r="188" spans="10:10" x14ac:dyDescent="0.4">
      <c r="J188" s="140"/>
    </row>
    <row r="189" spans="10:10" x14ac:dyDescent="0.4">
      <c r="J189" s="140"/>
    </row>
    <row r="190" spans="10:10" x14ac:dyDescent="0.4">
      <c r="J190" s="140"/>
    </row>
    <row r="191" spans="10:10" x14ac:dyDescent="0.4">
      <c r="J191" s="140"/>
    </row>
    <row r="192" spans="10:10" x14ac:dyDescent="0.4">
      <c r="J192" s="140"/>
    </row>
    <row r="193" spans="10:10" x14ac:dyDescent="0.4">
      <c r="J193" s="140"/>
    </row>
    <row r="194" spans="10:10" x14ac:dyDescent="0.4">
      <c r="J194" s="140"/>
    </row>
    <row r="195" spans="10:10" x14ac:dyDescent="0.4">
      <c r="J195" s="140"/>
    </row>
    <row r="196" spans="10:10" x14ac:dyDescent="0.4">
      <c r="J196" s="140"/>
    </row>
    <row r="197" spans="10:10" x14ac:dyDescent="0.4">
      <c r="J197" s="140"/>
    </row>
    <row r="198" spans="10:10" x14ac:dyDescent="0.4">
      <c r="J198" s="140"/>
    </row>
    <row r="199" spans="10:10" x14ac:dyDescent="0.4">
      <c r="J199" s="140"/>
    </row>
    <row r="200" spans="10:10" x14ac:dyDescent="0.4">
      <c r="J200" s="140"/>
    </row>
    <row r="201" spans="10:10" x14ac:dyDescent="0.4">
      <c r="J201" s="140"/>
    </row>
    <row r="202" spans="10:10" x14ac:dyDescent="0.4">
      <c r="J202" s="140"/>
    </row>
    <row r="203" spans="10:10" x14ac:dyDescent="0.4">
      <c r="J203" s="140"/>
    </row>
    <row r="204" spans="10:10" x14ac:dyDescent="0.4">
      <c r="J204" s="140"/>
    </row>
    <row r="205" spans="10:10" x14ac:dyDescent="0.4">
      <c r="J205" s="140"/>
    </row>
    <row r="206" spans="10:10" x14ac:dyDescent="0.4">
      <c r="J206" s="140"/>
    </row>
    <row r="207" spans="10:10" x14ac:dyDescent="0.4">
      <c r="J207" s="140"/>
    </row>
    <row r="208" spans="10:10" x14ac:dyDescent="0.4">
      <c r="J208" s="140"/>
    </row>
    <row r="209" spans="10:10" x14ac:dyDescent="0.4">
      <c r="J209" s="140"/>
    </row>
    <row r="210" spans="10:10" x14ac:dyDescent="0.4">
      <c r="J210" s="140"/>
    </row>
    <row r="211" spans="10:10" x14ac:dyDescent="0.4">
      <c r="J211" s="140"/>
    </row>
    <row r="212" spans="10:10" x14ac:dyDescent="0.4">
      <c r="J212" s="140"/>
    </row>
    <row r="213" spans="10:10" x14ac:dyDescent="0.4">
      <c r="J213" s="140"/>
    </row>
    <row r="214" spans="10:10" x14ac:dyDescent="0.4">
      <c r="J214" s="140"/>
    </row>
    <row r="215" spans="10:10" x14ac:dyDescent="0.4">
      <c r="J215" s="140"/>
    </row>
    <row r="216" spans="10:10" x14ac:dyDescent="0.4">
      <c r="J216" s="140"/>
    </row>
    <row r="217" spans="10:10" x14ac:dyDescent="0.4">
      <c r="J217" s="140"/>
    </row>
    <row r="218" spans="10:10" x14ac:dyDescent="0.4">
      <c r="J218" s="140"/>
    </row>
    <row r="219" spans="10:10" x14ac:dyDescent="0.4">
      <c r="J219" s="140"/>
    </row>
    <row r="220" spans="10:10" x14ac:dyDescent="0.4">
      <c r="J220" s="140"/>
    </row>
    <row r="221" spans="10:10" x14ac:dyDescent="0.4">
      <c r="J221" s="140"/>
    </row>
    <row r="222" spans="10:10" x14ac:dyDescent="0.4">
      <c r="J222" s="140"/>
    </row>
    <row r="223" spans="10:10" x14ac:dyDescent="0.4">
      <c r="J223" s="140"/>
    </row>
    <row r="224" spans="10:10" x14ac:dyDescent="0.4">
      <c r="J224" s="140"/>
    </row>
    <row r="225" spans="10:10" x14ac:dyDescent="0.4">
      <c r="J225" s="140"/>
    </row>
    <row r="226" spans="10:10" x14ac:dyDescent="0.4">
      <c r="J226" s="140"/>
    </row>
    <row r="227" spans="10:10" x14ac:dyDescent="0.4">
      <c r="J227" s="140"/>
    </row>
    <row r="228" spans="10:10" x14ac:dyDescent="0.4">
      <c r="J228" s="140"/>
    </row>
    <row r="229" spans="10:10" x14ac:dyDescent="0.4">
      <c r="J229" s="140"/>
    </row>
    <row r="230" spans="10:10" x14ac:dyDescent="0.4">
      <c r="J230" s="140"/>
    </row>
    <row r="231" spans="10:10" x14ac:dyDescent="0.4">
      <c r="J231" s="140"/>
    </row>
    <row r="232" spans="10:10" x14ac:dyDescent="0.4">
      <c r="J232" s="140"/>
    </row>
    <row r="233" spans="10:10" x14ac:dyDescent="0.4">
      <c r="J233" s="140"/>
    </row>
    <row r="234" spans="10:10" x14ac:dyDescent="0.4">
      <c r="J234" s="140"/>
    </row>
    <row r="235" spans="10:10" x14ac:dyDescent="0.4">
      <c r="J235" s="140"/>
    </row>
    <row r="236" spans="10:10" x14ac:dyDescent="0.4">
      <c r="J236" s="140"/>
    </row>
    <row r="237" spans="10:10" x14ac:dyDescent="0.4">
      <c r="J237" s="140"/>
    </row>
    <row r="238" spans="10:10" x14ac:dyDescent="0.4">
      <c r="J238" s="140"/>
    </row>
    <row r="239" spans="10:10" x14ac:dyDescent="0.4">
      <c r="J239" s="140"/>
    </row>
    <row r="240" spans="10:10" x14ac:dyDescent="0.4">
      <c r="J240" s="140"/>
    </row>
    <row r="241" spans="10:10" x14ac:dyDescent="0.4">
      <c r="J241" s="140"/>
    </row>
    <row r="242" spans="10:10" x14ac:dyDescent="0.4">
      <c r="J242" s="140"/>
    </row>
    <row r="243" spans="10:10" x14ac:dyDescent="0.4">
      <c r="J243" s="140"/>
    </row>
    <row r="244" spans="10:10" x14ac:dyDescent="0.4">
      <c r="J244" s="140"/>
    </row>
    <row r="245" spans="10:10" x14ac:dyDescent="0.4">
      <c r="J245" s="140"/>
    </row>
    <row r="246" spans="10:10" x14ac:dyDescent="0.4">
      <c r="J246" s="140"/>
    </row>
    <row r="247" spans="10:10" x14ac:dyDescent="0.4">
      <c r="J247" s="140"/>
    </row>
    <row r="248" spans="10:10" x14ac:dyDescent="0.4">
      <c r="J248" s="140"/>
    </row>
    <row r="249" spans="10:10" x14ac:dyDescent="0.4">
      <c r="J249" s="140"/>
    </row>
    <row r="250" spans="10:10" x14ac:dyDescent="0.4">
      <c r="J250" s="140"/>
    </row>
    <row r="251" spans="10:10" x14ac:dyDescent="0.4">
      <c r="J251" s="140"/>
    </row>
    <row r="252" spans="10:10" x14ac:dyDescent="0.4">
      <c r="J252" s="140"/>
    </row>
    <row r="253" spans="10:10" x14ac:dyDescent="0.4">
      <c r="J253" s="140"/>
    </row>
    <row r="254" spans="10:10" x14ac:dyDescent="0.4">
      <c r="J254" s="140"/>
    </row>
    <row r="255" spans="10:10" x14ac:dyDescent="0.4">
      <c r="J255" s="140"/>
    </row>
    <row r="256" spans="10:10" x14ac:dyDescent="0.4">
      <c r="J256" s="140"/>
    </row>
    <row r="257" spans="10:10" x14ac:dyDescent="0.4">
      <c r="J257" s="140"/>
    </row>
    <row r="258" spans="10:10" x14ac:dyDescent="0.4">
      <c r="J258" s="140"/>
    </row>
    <row r="259" spans="10:10" x14ac:dyDescent="0.4">
      <c r="J259" s="140"/>
    </row>
    <row r="260" spans="10:10" x14ac:dyDescent="0.4">
      <c r="J260" s="140"/>
    </row>
    <row r="261" spans="10:10" x14ac:dyDescent="0.4">
      <c r="J261" s="140"/>
    </row>
    <row r="262" spans="10:10" x14ac:dyDescent="0.4">
      <c r="J262" s="140"/>
    </row>
    <row r="263" spans="10:10" x14ac:dyDescent="0.4">
      <c r="J263" s="140"/>
    </row>
    <row r="264" spans="10:10" x14ac:dyDescent="0.4">
      <c r="J264" s="140"/>
    </row>
    <row r="265" spans="10:10" x14ac:dyDescent="0.4">
      <c r="J265" s="140"/>
    </row>
    <row r="266" spans="10:10" x14ac:dyDescent="0.4">
      <c r="J266" s="140"/>
    </row>
    <row r="267" spans="10:10" x14ac:dyDescent="0.4">
      <c r="J267" s="140"/>
    </row>
    <row r="268" spans="10:10" x14ac:dyDescent="0.4">
      <c r="J268" s="140"/>
    </row>
    <row r="269" spans="10:10" x14ac:dyDescent="0.4">
      <c r="J269" s="140"/>
    </row>
    <row r="270" spans="10:10" x14ac:dyDescent="0.4">
      <c r="J270" s="140"/>
    </row>
    <row r="271" spans="10:10" x14ac:dyDescent="0.4">
      <c r="J271" s="140"/>
    </row>
    <row r="272" spans="10:10" x14ac:dyDescent="0.4">
      <c r="J272" s="140"/>
    </row>
    <row r="273" spans="10:10" x14ac:dyDescent="0.4">
      <c r="J273" s="140"/>
    </row>
    <row r="274" spans="10:10" x14ac:dyDescent="0.4">
      <c r="J274" s="140"/>
    </row>
    <row r="275" spans="10:10" x14ac:dyDescent="0.4">
      <c r="J275" s="140"/>
    </row>
    <row r="276" spans="10:10" x14ac:dyDescent="0.4">
      <c r="J276" s="140"/>
    </row>
    <row r="277" spans="10:10" x14ac:dyDescent="0.4">
      <c r="J277" s="140"/>
    </row>
    <row r="278" spans="10:10" x14ac:dyDescent="0.4">
      <c r="J278" s="140"/>
    </row>
    <row r="279" spans="10:10" x14ac:dyDescent="0.4">
      <c r="J279" s="140"/>
    </row>
    <row r="280" spans="10:10" x14ac:dyDescent="0.4">
      <c r="J280" s="140"/>
    </row>
    <row r="281" spans="10:10" x14ac:dyDescent="0.4">
      <c r="J281" s="140"/>
    </row>
    <row r="282" spans="10:10" x14ac:dyDescent="0.4">
      <c r="J282" s="140"/>
    </row>
    <row r="283" spans="10:10" x14ac:dyDescent="0.4">
      <c r="J283" s="140"/>
    </row>
    <row r="284" spans="10:10" x14ac:dyDescent="0.4">
      <c r="J284" s="140"/>
    </row>
    <row r="285" spans="10:10" x14ac:dyDescent="0.4">
      <c r="J285" s="140"/>
    </row>
    <row r="286" spans="10:10" x14ac:dyDescent="0.4">
      <c r="J286" s="140"/>
    </row>
    <row r="287" spans="10:10" x14ac:dyDescent="0.4">
      <c r="J287" s="140"/>
    </row>
    <row r="288" spans="10:10" x14ac:dyDescent="0.4">
      <c r="J288" s="140"/>
    </row>
    <row r="289" spans="10:10" x14ac:dyDescent="0.4">
      <c r="J289" s="140"/>
    </row>
    <row r="290" spans="10:10" x14ac:dyDescent="0.4">
      <c r="J290" s="140"/>
    </row>
    <row r="291" spans="10:10" x14ac:dyDescent="0.4">
      <c r="J291" s="140"/>
    </row>
    <row r="292" spans="10:10" x14ac:dyDescent="0.4">
      <c r="J292" s="140"/>
    </row>
    <row r="293" spans="10:10" x14ac:dyDescent="0.4">
      <c r="J293" s="140"/>
    </row>
    <row r="294" spans="10:10" x14ac:dyDescent="0.4">
      <c r="J294" s="140"/>
    </row>
    <row r="295" spans="10:10" x14ac:dyDescent="0.4">
      <c r="J295" s="140"/>
    </row>
    <row r="296" spans="10:10" x14ac:dyDescent="0.4">
      <c r="J296" s="140"/>
    </row>
    <row r="297" spans="10:10" x14ac:dyDescent="0.4">
      <c r="J297" s="140"/>
    </row>
    <row r="298" spans="10:10" x14ac:dyDescent="0.4">
      <c r="J298" s="140"/>
    </row>
    <row r="299" spans="10:10" x14ac:dyDescent="0.4">
      <c r="J299" s="140"/>
    </row>
    <row r="300" spans="10:10" x14ac:dyDescent="0.4">
      <c r="J300" s="140"/>
    </row>
    <row r="301" spans="10:10" x14ac:dyDescent="0.4">
      <c r="J301" s="140"/>
    </row>
    <row r="302" spans="10:10" x14ac:dyDescent="0.4">
      <c r="J302" s="140"/>
    </row>
    <row r="303" spans="10:10" x14ac:dyDescent="0.4">
      <c r="J303" s="140"/>
    </row>
    <row r="304" spans="10:10" x14ac:dyDescent="0.4">
      <c r="J304" s="140"/>
    </row>
    <row r="305" spans="10:10" x14ac:dyDescent="0.4">
      <c r="J305" s="140"/>
    </row>
    <row r="306" spans="10:10" x14ac:dyDescent="0.4">
      <c r="J306" s="140"/>
    </row>
    <row r="307" spans="10:10" x14ac:dyDescent="0.4">
      <c r="J307" s="140"/>
    </row>
    <row r="308" spans="10:10" x14ac:dyDescent="0.4">
      <c r="J308" s="140"/>
    </row>
    <row r="309" spans="10:10" x14ac:dyDescent="0.4">
      <c r="J309" s="140"/>
    </row>
    <row r="310" spans="10:10" x14ac:dyDescent="0.4">
      <c r="J310" s="140"/>
    </row>
    <row r="311" spans="10:10" x14ac:dyDescent="0.4">
      <c r="J311" s="140"/>
    </row>
    <row r="312" spans="10:10" x14ac:dyDescent="0.4">
      <c r="J312" s="140"/>
    </row>
    <row r="313" spans="10:10" x14ac:dyDescent="0.4">
      <c r="J313" s="140"/>
    </row>
    <row r="314" spans="10:10" x14ac:dyDescent="0.4">
      <c r="J314" s="140"/>
    </row>
    <row r="315" spans="10:10" x14ac:dyDescent="0.4">
      <c r="J315" s="140"/>
    </row>
    <row r="316" spans="10:10" x14ac:dyDescent="0.4">
      <c r="J316" s="140"/>
    </row>
    <row r="317" spans="10:10" x14ac:dyDescent="0.4">
      <c r="J317" s="140"/>
    </row>
    <row r="318" spans="10:10" x14ac:dyDescent="0.4">
      <c r="J318" s="140"/>
    </row>
    <row r="319" spans="10:10" x14ac:dyDescent="0.4">
      <c r="J319" s="140"/>
    </row>
    <row r="320" spans="10:10" x14ac:dyDescent="0.4">
      <c r="J320" s="140"/>
    </row>
    <row r="321" spans="10:10" x14ac:dyDescent="0.4">
      <c r="J321" s="140"/>
    </row>
    <row r="322" spans="10:10" x14ac:dyDescent="0.4">
      <c r="J322" s="140"/>
    </row>
    <row r="323" spans="10:10" x14ac:dyDescent="0.4">
      <c r="J323" s="140"/>
    </row>
    <row r="324" spans="10:10" x14ac:dyDescent="0.4">
      <c r="J324" s="140"/>
    </row>
    <row r="325" spans="10:10" x14ac:dyDescent="0.4">
      <c r="J325" s="140"/>
    </row>
    <row r="326" spans="10:10" x14ac:dyDescent="0.4">
      <c r="J326" s="140"/>
    </row>
    <row r="327" spans="10:10" x14ac:dyDescent="0.4">
      <c r="J327" s="140"/>
    </row>
    <row r="328" spans="10:10" x14ac:dyDescent="0.4">
      <c r="J328" s="140"/>
    </row>
    <row r="329" spans="10:10" x14ac:dyDescent="0.4">
      <c r="J329" s="140"/>
    </row>
    <row r="330" spans="10:10" x14ac:dyDescent="0.4">
      <c r="J330" s="140"/>
    </row>
    <row r="331" spans="10:10" x14ac:dyDescent="0.4">
      <c r="J331" s="140"/>
    </row>
    <row r="332" spans="10:10" x14ac:dyDescent="0.4">
      <c r="J332" s="140"/>
    </row>
    <row r="333" spans="10:10" x14ac:dyDescent="0.4">
      <c r="J333" s="140"/>
    </row>
    <row r="334" spans="10:10" x14ac:dyDescent="0.4">
      <c r="J334" s="140"/>
    </row>
    <row r="335" spans="10:10" x14ac:dyDescent="0.4">
      <c r="J335" s="140"/>
    </row>
    <row r="336" spans="10:10" x14ac:dyDescent="0.4">
      <c r="J336" s="140"/>
    </row>
    <row r="337" spans="10:10" x14ac:dyDescent="0.4">
      <c r="J337" s="140"/>
    </row>
    <row r="338" spans="10:10" x14ac:dyDescent="0.4">
      <c r="J338" s="140"/>
    </row>
    <row r="339" spans="10:10" x14ac:dyDescent="0.4">
      <c r="J339" s="140"/>
    </row>
    <row r="340" spans="10:10" x14ac:dyDescent="0.4">
      <c r="J340" s="140"/>
    </row>
    <row r="341" spans="10:10" x14ac:dyDescent="0.4">
      <c r="J341" s="140"/>
    </row>
    <row r="342" spans="10:10" x14ac:dyDescent="0.4">
      <c r="J342" s="140"/>
    </row>
    <row r="343" spans="10:10" x14ac:dyDescent="0.4">
      <c r="J343" s="140"/>
    </row>
    <row r="344" spans="10:10" x14ac:dyDescent="0.4">
      <c r="J344" s="140"/>
    </row>
    <row r="345" spans="10:10" x14ac:dyDescent="0.4">
      <c r="J345" s="140"/>
    </row>
    <row r="346" spans="10:10" x14ac:dyDescent="0.4">
      <c r="J346" s="140"/>
    </row>
    <row r="347" spans="10:10" x14ac:dyDescent="0.4">
      <c r="J347" s="140"/>
    </row>
    <row r="348" spans="10:10" x14ac:dyDescent="0.4">
      <c r="J348" s="140"/>
    </row>
    <row r="349" spans="10:10" x14ac:dyDescent="0.4">
      <c r="J349" s="140"/>
    </row>
    <row r="350" spans="10:10" x14ac:dyDescent="0.4">
      <c r="J350" s="140"/>
    </row>
    <row r="351" spans="10:10" x14ac:dyDescent="0.4">
      <c r="J351" s="140"/>
    </row>
    <row r="352" spans="10:10" x14ac:dyDescent="0.4">
      <c r="J352" s="140"/>
    </row>
    <row r="353" spans="10:10" x14ac:dyDescent="0.4">
      <c r="J353" s="140"/>
    </row>
    <row r="354" spans="10:10" x14ac:dyDescent="0.4">
      <c r="J354" s="140"/>
    </row>
    <row r="355" spans="10:10" x14ac:dyDescent="0.4">
      <c r="J355" s="140"/>
    </row>
    <row r="356" spans="10:10" x14ac:dyDescent="0.4">
      <c r="J356" s="140"/>
    </row>
    <row r="357" spans="10:10" x14ac:dyDescent="0.4">
      <c r="J357" s="140"/>
    </row>
    <row r="358" spans="10:10" x14ac:dyDescent="0.4">
      <c r="J358" s="140"/>
    </row>
    <row r="359" spans="10:10" x14ac:dyDescent="0.4">
      <c r="J359" s="140"/>
    </row>
    <row r="360" spans="10:10" x14ac:dyDescent="0.4">
      <c r="J360" s="140"/>
    </row>
    <row r="361" spans="10:10" x14ac:dyDescent="0.4">
      <c r="J361" s="140"/>
    </row>
    <row r="362" spans="10:10" x14ac:dyDescent="0.4">
      <c r="J362" s="140"/>
    </row>
    <row r="363" spans="10:10" x14ac:dyDescent="0.4">
      <c r="J363" s="140"/>
    </row>
    <row r="364" spans="10:10" x14ac:dyDescent="0.4">
      <c r="J364" s="140"/>
    </row>
    <row r="365" spans="10:10" x14ac:dyDescent="0.4">
      <c r="J365" s="140"/>
    </row>
    <row r="366" spans="10:10" x14ac:dyDescent="0.4">
      <c r="J366" s="140"/>
    </row>
    <row r="367" spans="10:10" x14ac:dyDescent="0.4">
      <c r="J367" s="140"/>
    </row>
    <row r="368" spans="10:10" x14ac:dyDescent="0.4">
      <c r="J368" s="140"/>
    </row>
    <row r="369" spans="10:10" x14ac:dyDescent="0.4">
      <c r="J369" s="140"/>
    </row>
    <row r="370" spans="10:10" x14ac:dyDescent="0.4">
      <c r="J370" s="140"/>
    </row>
    <row r="371" spans="10:10" x14ac:dyDescent="0.4">
      <c r="J371" s="140"/>
    </row>
    <row r="372" spans="10:10" x14ac:dyDescent="0.4">
      <c r="J372" s="140"/>
    </row>
    <row r="373" spans="10:10" x14ac:dyDescent="0.4">
      <c r="J373" s="140"/>
    </row>
    <row r="374" spans="10:10" x14ac:dyDescent="0.4">
      <c r="J374" s="140"/>
    </row>
    <row r="375" spans="10:10" x14ac:dyDescent="0.4">
      <c r="J375" s="140"/>
    </row>
    <row r="376" spans="10:10" x14ac:dyDescent="0.4">
      <c r="J376" s="140"/>
    </row>
    <row r="377" spans="10:10" x14ac:dyDescent="0.4">
      <c r="J377" s="140"/>
    </row>
    <row r="378" spans="10:10" x14ac:dyDescent="0.4">
      <c r="J378" s="140"/>
    </row>
    <row r="379" spans="10:10" x14ac:dyDescent="0.4">
      <c r="J379" s="140"/>
    </row>
    <row r="380" spans="10:10" x14ac:dyDescent="0.4">
      <c r="J380" s="140"/>
    </row>
    <row r="381" spans="10:10" x14ac:dyDescent="0.4">
      <c r="J381" s="140"/>
    </row>
    <row r="382" spans="10:10" x14ac:dyDescent="0.4">
      <c r="J382" s="140"/>
    </row>
    <row r="383" spans="10:10" x14ac:dyDescent="0.4">
      <c r="J383" s="140"/>
    </row>
    <row r="384" spans="10:10" x14ac:dyDescent="0.4">
      <c r="J384" s="140"/>
    </row>
    <row r="385" spans="10:10" x14ac:dyDescent="0.4">
      <c r="J385" s="140"/>
    </row>
    <row r="386" spans="10:10" x14ac:dyDescent="0.4">
      <c r="J386" s="140"/>
    </row>
    <row r="387" spans="10:10" x14ac:dyDescent="0.4">
      <c r="J387" s="140"/>
    </row>
    <row r="388" spans="10:10" x14ac:dyDescent="0.4">
      <c r="J388" s="140"/>
    </row>
    <row r="389" spans="10:10" x14ac:dyDescent="0.4">
      <c r="J389" s="140"/>
    </row>
    <row r="390" spans="10:10" x14ac:dyDescent="0.4">
      <c r="J390" s="140"/>
    </row>
    <row r="391" spans="10:10" x14ac:dyDescent="0.4">
      <c r="J391" s="140"/>
    </row>
    <row r="392" spans="10:10" x14ac:dyDescent="0.4">
      <c r="J392" s="140"/>
    </row>
    <row r="393" spans="10:10" x14ac:dyDescent="0.4">
      <c r="J393" s="140"/>
    </row>
    <row r="394" spans="10:10" x14ac:dyDescent="0.4">
      <c r="J394" s="140"/>
    </row>
    <row r="395" spans="10:10" x14ac:dyDescent="0.4">
      <c r="J395" s="140"/>
    </row>
    <row r="396" spans="10:10" x14ac:dyDescent="0.4">
      <c r="J396" s="140"/>
    </row>
    <row r="397" spans="10:10" x14ac:dyDescent="0.4">
      <c r="J397" s="140"/>
    </row>
    <row r="398" spans="10:10" x14ac:dyDescent="0.4">
      <c r="J398" s="140"/>
    </row>
    <row r="399" spans="10:10" x14ac:dyDescent="0.4">
      <c r="J399" s="140"/>
    </row>
    <row r="400" spans="10:10" x14ac:dyDescent="0.4">
      <c r="J400" s="140"/>
    </row>
    <row r="401" spans="10:10" x14ac:dyDescent="0.4">
      <c r="J401" s="140"/>
    </row>
    <row r="402" spans="10:10" x14ac:dyDescent="0.4">
      <c r="J402" s="140"/>
    </row>
    <row r="403" spans="10:10" x14ac:dyDescent="0.4">
      <c r="J403" s="140"/>
    </row>
    <row r="404" spans="10:10" x14ac:dyDescent="0.4">
      <c r="J404" s="140"/>
    </row>
    <row r="405" spans="10:10" x14ac:dyDescent="0.4">
      <c r="J405" s="140"/>
    </row>
    <row r="406" spans="10:10" x14ac:dyDescent="0.4">
      <c r="J406" s="140"/>
    </row>
    <row r="407" spans="10:10" x14ac:dyDescent="0.4">
      <c r="J407" s="140"/>
    </row>
    <row r="408" spans="10:10" x14ac:dyDescent="0.4">
      <c r="J408" s="140"/>
    </row>
    <row r="409" spans="10:10" x14ac:dyDescent="0.4">
      <c r="J409" s="140"/>
    </row>
    <row r="410" spans="10:10" x14ac:dyDescent="0.4">
      <c r="J410" s="140"/>
    </row>
    <row r="411" spans="10:10" x14ac:dyDescent="0.4">
      <c r="J411" s="140"/>
    </row>
    <row r="412" spans="10:10" x14ac:dyDescent="0.4">
      <c r="J412" s="140"/>
    </row>
    <row r="413" spans="10:10" x14ac:dyDescent="0.4">
      <c r="J413" s="140"/>
    </row>
    <row r="414" spans="10:10" x14ac:dyDescent="0.4">
      <c r="J414" s="140"/>
    </row>
    <row r="415" spans="10:10" x14ac:dyDescent="0.4">
      <c r="J415" s="140"/>
    </row>
    <row r="416" spans="10:10" x14ac:dyDescent="0.4">
      <c r="J416" s="140"/>
    </row>
    <row r="417" spans="10:10" x14ac:dyDescent="0.4">
      <c r="J417" s="140"/>
    </row>
    <row r="418" spans="10:10" x14ac:dyDescent="0.4">
      <c r="J418" s="140"/>
    </row>
    <row r="419" spans="10:10" x14ac:dyDescent="0.4">
      <c r="J419" s="140"/>
    </row>
    <row r="420" spans="10:10" x14ac:dyDescent="0.4">
      <c r="J420" s="140"/>
    </row>
    <row r="421" spans="10:10" x14ac:dyDescent="0.4">
      <c r="J421" s="140"/>
    </row>
    <row r="422" spans="10:10" x14ac:dyDescent="0.4">
      <c r="J422" s="140"/>
    </row>
    <row r="423" spans="10:10" x14ac:dyDescent="0.4">
      <c r="J423" s="140"/>
    </row>
    <row r="424" spans="10:10" x14ac:dyDescent="0.4">
      <c r="J424" s="140"/>
    </row>
    <row r="425" spans="10:10" x14ac:dyDescent="0.4">
      <c r="J425" s="140"/>
    </row>
    <row r="426" spans="10:10" x14ac:dyDescent="0.4">
      <c r="J426" s="140"/>
    </row>
    <row r="427" spans="10:10" x14ac:dyDescent="0.4">
      <c r="J427" s="140"/>
    </row>
    <row r="428" spans="10:10" x14ac:dyDescent="0.4">
      <c r="J428" s="140"/>
    </row>
    <row r="429" spans="10:10" x14ac:dyDescent="0.4">
      <c r="J429" s="140"/>
    </row>
    <row r="430" spans="10:10" x14ac:dyDescent="0.4">
      <c r="J430" s="140"/>
    </row>
    <row r="431" spans="10:10" x14ac:dyDescent="0.4">
      <c r="J431" s="140"/>
    </row>
    <row r="432" spans="10:10" x14ac:dyDescent="0.4">
      <c r="J432" s="140"/>
    </row>
    <row r="433" spans="10:10" x14ac:dyDescent="0.4">
      <c r="J433" s="140"/>
    </row>
    <row r="434" spans="10:10" x14ac:dyDescent="0.4">
      <c r="J434" s="140"/>
    </row>
    <row r="435" spans="10:10" x14ac:dyDescent="0.4">
      <c r="J435" s="140"/>
    </row>
    <row r="436" spans="10:10" x14ac:dyDescent="0.4">
      <c r="J436" s="140"/>
    </row>
    <row r="437" spans="10:10" x14ac:dyDescent="0.4">
      <c r="J437" s="140"/>
    </row>
    <row r="438" spans="10:10" x14ac:dyDescent="0.4">
      <c r="J438" s="140"/>
    </row>
    <row r="439" spans="10:10" x14ac:dyDescent="0.4">
      <c r="J439" s="140"/>
    </row>
    <row r="440" spans="10:10" x14ac:dyDescent="0.4">
      <c r="J440" s="140"/>
    </row>
    <row r="441" spans="10:10" x14ac:dyDescent="0.4">
      <c r="J441" s="140"/>
    </row>
    <row r="442" spans="10:10" x14ac:dyDescent="0.4">
      <c r="J442" s="140"/>
    </row>
    <row r="443" spans="10:10" x14ac:dyDescent="0.4">
      <c r="J443" s="140"/>
    </row>
    <row r="444" spans="10:10" x14ac:dyDescent="0.4">
      <c r="J444" s="140"/>
    </row>
    <row r="445" spans="10:10" x14ac:dyDescent="0.4">
      <c r="J445" s="140"/>
    </row>
    <row r="446" spans="10:10" x14ac:dyDescent="0.4">
      <c r="J446" s="140"/>
    </row>
    <row r="447" spans="10:10" x14ac:dyDescent="0.4">
      <c r="J447" s="140"/>
    </row>
    <row r="448" spans="10:10" x14ac:dyDescent="0.4">
      <c r="J448" s="140"/>
    </row>
    <row r="449" spans="10:10" x14ac:dyDescent="0.4">
      <c r="J449" s="140"/>
    </row>
    <row r="450" spans="10:10" x14ac:dyDescent="0.4">
      <c r="J450" s="140"/>
    </row>
    <row r="451" spans="10:10" x14ac:dyDescent="0.4">
      <c r="J451" s="140"/>
    </row>
    <row r="452" spans="10:10" x14ac:dyDescent="0.4">
      <c r="J452" s="140"/>
    </row>
    <row r="453" spans="10:10" x14ac:dyDescent="0.4">
      <c r="J453" s="140"/>
    </row>
    <row r="454" spans="10:10" x14ac:dyDescent="0.4">
      <c r="J454" s="140"/>
    </row>
    <row r="455" spans="10:10" x14ac:dyDescent="0.4">
      <c r="J455" s="140"/>
    </row>
    <row r="456" spans="10:10" x14ac:dyDescent="0.4">
      <c r="J456" s="140"/>
    </row>
    <row r="457" spans="10:10" x14ac:dyDescent="0.4">
      <c r="J457" s="140"/>
    </row>
    <row r="458" spans="10:10" x14ac:dyDescent="0.4">
      <c r="J458" s="140"/>
    </row>
    <row r="459" spans="10:10" x14ac:dyDescent="0.4">
      <c r="J459" s="140"/>
    </row>
    <row r="460" spans="10:10" x14ac:dyDescent="0.4">
      <c r="J460" s="140"/>
    </row>
    <row r="461" spans="10:10" x14ac:dyDescent="0.4">
      <c r="J461" s="140"/>
    </row>
    <row r="462" spans="10:10" x14ac:dyDescent="0.4">
      <c r="J462" s="140"/>
    </row>
    <row r="463" spans="10:10" x14ac:dyDescent="0.4">
      <c r="J463" s="140"/>
    </row>
    <row r="464" spans="10:10" x14ac:dyDescent="0.4">
      <c r="J464" s="140"/>
    </row>
    <row r="465" spans="10:10" x14ac:dyDescent="0.4">
      <c r="J465" s="140"/>
    </row>
    <row r="466" spans="10:10" x14ac:dyDescent="0.4">
      <c r="J466" s="140"/>
    </row>
    <row r="467" spans="10:10" x14ac:dyDescent="0.4">
      <c r="J467" s="140"/>
    </row>
    <row r="468" spans="10:10" x14ac:dyDescent="0.4">
      <c r="J468" s="140"/>
    </row>
    <row r="469" spans="10:10" x14ac:dyDescent="0.4">
      <c r="J469" s="140"/>
    </row>
    <row r="470" spans="10:10" x14ac:dyDescent="0.4">
      <c r="J470" s="140"/>
    </row>
    <row r="471" spans="10:10" x14ac:dyDescent="0.4">
      <c r="J471" s="140"/>
    </row>
    <row r="472" spans="10:10" x14ac:dyDescent="0.4">
      <c r="J472" s="140"/>
    </row>
    <row r="473" spans="10:10" x14ac:dyDescent="0.4">
      <c r="J473" s="140"/>
    </row>
    <row r="474" spans="10:10" x14ac:dyDescent="0.4">
      <c r="J474" s="140"/>
    </row>
    <row r="475" spans="10:10" x14ac:dyDescent="0.4">
      <c r="J475" s="140"/>
    </row>
    <row r="476" spans="10:10" x14ac:dyDescent="0.4">
      <c r="J476" s="140"/>
    </row>
    <row r="477" spans="10:10" x14ac:dyDescent="0.4">
      <c r="J477" s="140"/>
    </row>
    <row r="478" spans="10:10" x14ac:dyDescent="0.4">
      <c r="J478" s="140"/>
    </row>
    <row r="479" spans="10:10" x14ac:dyDescent="0.4">
      <c r="J479" s="140"/>
    </row>
    <row r="480" spans="10:10" x14ac:dyDescent="0.4">
      <c r="J480" s="140"/>
    </row>
    <row r="481" spans="10:10" x14ac:dyDescent="0.4">
      <c r="J481" s="140"/>
    </row>
    <row r="482" spans="10:10" x14ac:dyDescent="0.4">
      <c r="J482" s="140"/>
    </row>
    <row r="483" spans="10:10" x14ac:dyDescent="0.4">
      <c r="J483" s="140"/>
    </row>
    <row r="484" spans="10:10" x14ac:dyDescent="0.4">
      <c r="J484" s="140"/>
    </row>
    <row r="485" spans="10:10" x14ac:dyDescent="0.4">
      <c r="J485" s="140"/>
    </row>
    <row r="486" spans="10:10" x14ac:dyDescent="0.4">
      <c r="J486" s="140"/>
    </row>
    <row r="487" spans="10:10" x14ac:dyDescent="0.4">
      <c r="J487" s="140"/>
    </row>
    <row r="488" spans="10:10" x14ac:dyDescent="0.4">
      <c r="J488" s="140"/>
    </row>
    <row r="489" spans="10:10" x14ac:dyDescent="0.4">
      <c r="J489" s="140"/>
    </row>
    <row r="490" spans="10:10" x14ac:dyDescent="0.4">
      <c r="J490" s="140"/>
    </row>
    <row r="491" spans="10:10" x14ac:dyDescent="0.4">
      <c r="J491" s="140"/>
    </row>
    <row r="492" spans="10:10" x14ac:dyDescent="0.4">
      <c r="J492" s="140"/>
    </row>
    <row r="493" spans="10:10" x14ac:dyDescent="0.4">
      <c r="J493" s="140"/>
    </row>
    <row r="494" spans="10:10" x14ac:dyDescent="0.4">
      <c r="J494" s="140"/>
    </row>
    <row r="495" spans="10:10" x14ac:dyDescent="0.4">
      <c r="J495" s="140"/>
    </row>
    <row r="496" spans="10:10" x14ac:dyDescent="0.4">
      <c r="J496" s="140"/>
    </row>
    <row r="497" spans="10:10" x14ac:dyDescent="0.4">
      <c r="J497" s="140"/>
    </row>
    <row r="498" spans="10:10" x14ac:dyDescent="0.4">
      <c r="J498" s="140"/>
    </row>
    <row r="499" spans="10:10" x14ac:dyDescent="0.4">
      <c r="J499" s="140"/>
    </row>
    <row r="500" spans="10:10" x14ac:dyDescent="0.4">
      <c r="J500" s="140"/>
    </row>
    <row r="501" spans="10:10" x14ac:dyDescent="0.4">
      <c r="J501" s="140"/>
    </row>
    <row r="502" spans="10:10" x14ac:dyDescent="0.4">
      <c r="J502" s="140"/>
    </row>
    <row r="503" spans="10:10" x14ac:dyDescent="0.4">
      <c r="J503" s="140"/>
    </row>
    <row r="504" spans="10:10" x14ac:dyDescent="0.4">
      <c r="J504" s="140"/>
    </row>
    <row r="505" spans="10:10" x14ac:dyDescent="0.4">
      <c r="J505" s="140"/>
    </row>
    <row r="506" spans="10:10" x14ac:dyDescent="0.4">
      <c r="J506" s="140"/>
    </row>
    <row r="507" spans="10:10" x14ac:dyDescent="0.4">
      <c r="J507" s="140"/>
    </row>
    <row r="508" spans="10:10" x14ac:dyDescent="0.4">
      <c r="J508" s="140"/>
    </row>
    <row r="509" spans="10:10" x14ac:dyDescent="0.4">
      <c r="J509" s="140"/>
    </row>
    <row r="510" spans="10:10" x14ac:dyDescent="0.4">
      <c r="J510" s="140"/>
    </row>
    <row r="511" spans="10:10" x14ac:dyDescent="0.4">
      <c r="J511" s="140"/>
    </row>
    <row r="512" spans="10:10" x14ac:dyDescent="0.4">
      <c r="J512" s="140"/>
    </row>
    <row r="513" spans="10:10" x14ac:dyDescent="0.4">
      <c r="J513" s="140"/>
    </row>
    <row r="514" spans="10:10" x14ac:dyDescent="0.4">
      <c r="J514" s="140"/>
    </row>
    <row r="515" spans="10:10" x14ac:dyDescent="0.4">
      <c r="J515" s="140"/>
    </row>
    <row r="516" spans="10:10" x14ac:dyDescent="0.4">
      <c r="J516" s="140"/>
    </row>
    <row r="517" spans="10:10" x14ac:dyDescent="0.4">
      <c r="J517" s="140"/>
    </row>
    <row r="518" spans="10:10" x14ac:dyDescent="0.4">
      <c r="J518" s="140"/>
    </row>
    <row r="519" spans="10:10" x14ac:dyDescent="0.4">
      <c r="J519" s="140"/>
    </row>
    <row r="520" spans="10:10" x14ac:dyDescent="0.4">
      <c r="J520" s="140"/>
    </row>
    <row r="521" spans="10:10" x14ac:dyDescent="0.4">
      <c r="J521" s="140"/>
    </row>
    <row r="522" spans="10:10" x14ac:dyDescent="0.4">
      <c r="J522" s="140"/>
    </row>
    <row r="523" spans="10:10" x14ac:dyDescent="0.4">
      <c r="J523" s="140"/>
    </row>
    <row r="524" spans="10:10" x14ac:dyDescent="0.4">
      <c r="J524" s="140"/>
    </row>
    <row r="525" spans="10:10" x14ac:dyDescent="0.4">
      <c r="J525" s="140"/>
    </row>
    <row r="526" spans="10:10" x14ac:dyDescent="0.4">
      <c r="J526" s="140"/>
    </row>
    <row r="527" spans="10:10" x14ac:dyDescent="0.4">
      <c r="J527" s="140"/>
    </row>
    <row r="528" spans="10:10" x14ac:dyDescent="0.4">
      <c r="J528" s="140"/>
    </row>
    <row r="529" spans="10:10" x14ac:dyDescent="0.4">
      <c r="J529" s="140"/>
    </row>
    <row r="530" spans="10:10" x14ac:dyDescent="0.4">
      <c r="J530" s="140"/>
    </row>
    <row r="531" spans="10:10" x14ac:dyDescent="0.4">
      <c r="J531" s="140"/>
    </row>
    <row r="532" spans="10:10" x14ac:dyDescent="0.4">
      <c r="J532" s="140"/>
    </row>
    <row r="533" spans="10:10" x14ac:dyDescent="0.4">
      <c r="J533" s="140"/>
    </row>
    <row r="534" spans="10:10" x14ac:dyDescent="0.4">
      <c r="J534" s="140"/>
    </row>
    <row r="535" spans="10:10" x14ac:dyDescent="0.4">
      <c r="J535" s="140"/>
    </row>
    <row r="536" spans="10:10" x14ac:dyDescent="0.4">
      <c r="J536" s="140"/>
    </row>
    <row r="537" spans="10:10" x14ac:dyDescent="0.4">
      <c r="J537" s="140"/>
    </row>
    <row r="538" spans="10:10" x14ac:dyDescent="0.4">
      <c r="J538" s="140"/>
    </row>
    <row r="539" spans="10:10" x14ac:dyDescent="0.4">
      <c r="J539" s="140"/>
    </row>
    <row r="540" spans="10:10" x14ac:dyDescent="0.4">
      <c r="J540" s="140"/>
    </row>
    <row r="541" spans="10:10" x14ac:dyDescent="0.4">
      <c r="J541" s="140"/>
    </row>
    <row r="542" spans="10:10" x14ac:dyDescent="0.4">
      <c r="J542" s="140"/>
    </row>
    <row r="543" spans="10:10" x14ac:dyDescent="0.4">
      <c r="J543" s="140"/>
    </row>
    <row r="544" spans="10:10" x14ac:dyDescent="0.4">
      <c r="J544" s="140"/>
    </row>
    <row r="545" spans="10:10" x14ac:dyDescent="0.4">
      <c r="J545" s="140"/>
    </row>
    <row r="546" spans="10:10" x14ac:dyDescent="0.4">
      <c r="J546" s="140"/>
    </row>
    <row r="547" spans="10:10" x14ac:dyDescent="0.4">
      <c r="J547" s="140"/>
    </row>
    <row r="548" spans="10:10" x14ac:dyDescent="0.4">
      <c r="J548" s="140"/>
    </row>
    <row r="549" spans="10:10" x14ac:dyDescent="0.4">
      <c r="J549" s="140"/>
    </row>
    <row r="550" spans="10:10" x14ac:dyDescent="0.4">
      <c r="J550" s="140"/>
    </row>
    <row r="551" spans="10:10" x14ac:dyDescent="0.4">
      <c r="J551" s="140"/>
    </row>
    <row r="552" spans="10:10" x14ac:dyDescent="0.4">
      <c r="J552" s="140"/>
    </row>
    <row r="553" spans="10:10" x14ac:dyDescent="0.4">
      <c r="J553" s="140"/>
    </row>
    <row r="554" spans="10:10" x14ac:dyDescent="0.4">
      <c r="J554" s="140"/>
    </row>
    <row r="555" spans="10:10" x14ac:dyDescent="0.4">
      <c r="J555" s="140"/>
    </row>
    <row r="556" spans="10:10" x14ac:dyDescent="0.4">
      <c r="J556" s="140"/>
    </row>
    <row r="557" spans="10:10" x14ac:dyDescent="0.4">
      <c r="J557" s="140"/>
    </row>
    <row r="558" spans="10:10" x14ac:dyDescent="0.4">
      <c r="J558" s="140"/>
    </row>
    <row r="559" spans="10:10" x14ac:dyDescent="0.4">
      <c r="J559" s="140"/>
    </row>
    <row r="560" spans="10:10" x14ac:dyDescent="0.4">
      <c r="J560" s="140"/>
    </row>
    <row r="561" spans="10:10" x14ac:dyDescent="0.4">
      <c r="J561" s="140"/>
    </row>
    <row r="562" spans="10:10" x14ac:dyDescent="0.4">
      <c r="J562" s="140"/>
    </row>
    <row r="563" spans="10:10" x14ac:dyDescent="0.4">
      <c r="J563" s="140"/>
    </row>
    <row r="564" spans="10:10" x14ac:dyDescent="0.4">
      <c r="J564" s="140"/>
    </row>
    <row r="565" spans="10:10" x14ac:dyDescent="0.4">
      <c r="J565" s="140"/>
    </row>
    <row r="566" spans="10:10" x14ac:dyDescent="0.4">
      <c r="J566" s="140"/>
    </row>
    <row r="567" spans="10:10" x14ac:dyDescent="0.4">
      <c r="J567" s="140"/>
    </row>
    <row r="568" spans="10:10" x14ac:dyDescent="0.4">
      <c r="J568" s="140"/>
    </row>
    <row r="569" spans="10:10" x14ac:dyDescent="0.4">
      <c r="J569" s="140"/>
    </row>
    <row r="570" spans="10:10" x14ac:dyDescent="0.4">
      <c r="J570" s="140"/>
    </row>
    <row r="571" spans="10:10" x14ac:dyDescent="0.4">
      <c r="J571" s="140"/>
    </row>
    <row r="572" spans="10:10" x14ac:dyDescent="0.4">
      <c r="J572" s="140"/>
    </row>
    <row r="573" spans="10:10" x14ac:dyDescent="0.4">
      <c r="J573" s="140"/>
    </row>
    <row r="574" spans="10:10" x14ac:dyDescent="0.4">
      <c r="J574" s="140"/>
    </row>
    <row r="575" spans="10:10" x14ac:dyDescent="0.4">
      <c r="J575" s="140"/>
    </row>
    <row r="576" spans="10:10" x14ac:dyDescent="0.4">
      <c r="J576" s="140"/>
    </row>
    <row r="577" spans="10:10" x14ac:dyDescent="0.4">
      <c r="J577" s="140"/>
    </row>
    <row r="578" spans="10:10" x14ac:dyDescent="0.4">
      <c r="J578" s="140"/>
    </row>
    <row r="579" spans="10:10" x14ac:dyDescent="0.4">
      <c r="J579" s="140"/>
    </row>
    <row r="580" spans="10:10" x14ac:dyDescent="0.4">
      <c r="J580" s="140"/>
    </row>
    <row r="581" spans="10:10" x14ac:dyDescent="0.4">
      <c r="J581" s="140"/>
    </row>
    <row r="582" spans="10:10" x14ac:dyDescent="0.4">
      <c r="J582" s="140"/>
    </row>
    <row r="583" spans="10:10" x14ac:dyDescent="0.4">
      <c r="J583" s="140"/>
    </row>
    <row r="584" spans="10:10" x14ac:dyDescent="0.4">
      <c r="J584" s="140"/>
    </row>
    <row r="585" spans="10:10" x14ac:dyDescent="0.4">
      <c r="J585" s="140"/>
    </row>
    <row r="586" spans="10:10" x14ac:dyDescent="0.4">
      <c r="J586" s="140"/>
    </row>
    <row r="587" spans="10:10" x14ac:dyDescent="0.4">
      <c r="J587" s="140"/>
    </row>
    <row r="588" spans="10:10" x14ac:dyDescent="0.4">
      <c r="J588" s="140"/>
    </row>
    <row r="589" spans="10:10" x14ac:dyDescent="0.4">
      <c r="J589" s="140"/>
    </row>
    <row r="590" spans="10:10" x14ac:dyDescent="0.4">
      <c r="J590" s="140"/>
    </row>
    <row r="591" spans="10:10" x14ac:dyDescent="0.4">
      <c r="J591" s="140"/>
    </row>
    <row r="592" spans="10:10" x14ac:dyDescent="0.4">
      <c r="J592" s="140"/>
    </row>
    <row r="593" spans="10:10" x14ac:dyDescent="0.4">
      <c r="J593" s="140"/>
    </row>
    <row r="594" spans="10:10" x14ac:dyDescent="0.4">
      <c r="J594" s="140"/>
    </row>
    <row r="595" spans="10:10" x14ac:dyDescent="0.4">
      <c r="J595" s="140"/>
    </row>
    <row r="596" spans="10:10" x14ac:dyDescent="0.4">
      <c r="J596" s="140"/>
    </row>
    <row r="597" spans="10:10" x14ac:dyDescent="0.4">
      <c r="J597" s="140"/>
    </row>
    <row r="598" spans="10:10" x14ac:dyDescent="0.4">
      <c r="J598" s="140"/>
    </row>
    <row r="599" spans="10:10" x14ac:dyDescent="0.4">
      <c r="J599" s="140"/>
    </row>
    <row r="600" spans="10:10" x14ac:dyDescent="0.4">
      <c r="J600" s="140"/>
    </row>
    <row r="601" spans="10:10" x14ac:dyDescent="0.4">
      <c r="J601" s="140"/>
    </row>
    <row r="602" spans="10:10" x14ac:dyDescent="0.4">
      <c r="J602" s="140"/>
    </row>
    <row r="603" spans="10:10" x14ac:dyDescent="0.4">
      <c r="J603" s="140"/>
    </row>
    <row r="604" spans="10:10" x14ac:dyDescent="0.4">
      <c r="J604" s="140"/>
    </row>
    <row r="605" spans="10:10" x14ac:dyDescent="0.4">
      <c r="J605" s="140"/>
    </row>
    <row r="606" spans="10:10" x14ac:dyDescent="0.4">
      <c r="J606" s="140"/>
    </row>
    <row r="607" spans="10:10" x14ac:dyDescent="0.4">
      <c r="J607" s="140"/>
    </row>
    <row r="608" spans="10:10" x14ac:dyDescent="0.4">
      <c r="J608" s="140"/>
    </row>
    <row r="609" spans="10:10" x14ac:dyDescent="0.4">
      <c r="J609" s="140"/>
    </row>
    <row r="610" spans="10:10" x14ac:dyDescent="0.4">
      <c r="J610" s="140"/>
    </row>
    <row r="611" spans="10:10" x14ac:dyDescent="0.4">
      <c r="J611" s="140"/>
    </row>
    <row r="612" spans="10:10" x14ac:dyDescent="0.4">
      <c r="J612" s="140"/>
    </row>
    <row r="613" spans="10:10" x14ac:dyDescent="0.4">
      <c r="J613" s="140"/>
    </row>
    <row r="614" spans="10:10" x14ac:dyDescent="0.4">
      <c r="J614" s="140"/>
    </row>
    <row r="615" spans="10:10" x14ac:dyDescent="0.4">
      <c r="J615" s="140"/>
    </row>
    <row r="616" spans="10:10" x14ac:dyDescent="0.4">
      <c r="J616" s="140"/>
    </row>
    <row r="617" spans="10:10" x14ac:dyDescent="0.4">
      <c r="J617" s="140"/>
    </row>
    <row r="618" spans="10:10" x14ac:dyDescent="0.4">
      <c r="J618" s="140"/>
    </row>
    <row r="619" spans="10:10" x14ac:dyDescent="0.4">
      <c r="J619" s="140"/>
    </row>
    <row r="620" spans="10:10" x14ac:dyDescent="0.4">
      <c r="J620" s="140"/>
    </row>
    <row r="621" spans="10:10" x14ac:dyDescent="0.4">
      <c r="J621" s="140"/>
    </row>
    <row r="622" spans="10:10" x14ac:dyDescent="0.4">
      <c r="J622" s="140"/>
    </row>
    <row r="623" spans="10:10" x14ac:dyDescent="0.4">
      <c r="J623" s="140"/>
    </row>
    <row r="624" spans="10:10" x14ac:dyDescent="0.4">
      <c r="J624" s="140"/>
    </row>
    <row r="625" spans="10:10" x14ac:dyDescent="0.4">
      <c r="J625" s="140"/>
    </row>
    <row r="626" spans="10:10" x14ac:dyDescent="0.4">
      <c r="J626" s="140"/>
    </row>
    <row r="627" spans="10:10" x14ac:dyDescent="0.4">
      <c r="J627" s="140"/>
    </row>
    <row r="628" spans="10:10" x14ac:dyDescent="0.4">
      <c r="J628" s="140"/>
    </row>
    <row r="629" spans="10:10" x14ac:dyDescent="0.4">
      <c r="J629" s="140"/>
    </row>
    <row r="630" spans="10:10" x14ac:dyDescent="0.4">
      <c r="J630" s="140"/>
    </row>
    <row r="631" spans="10:10" x14ac:dyDescent="0.4">
      <c r="J631" s="140"/>
    </row>
    <row r="632" spans="10:10" x14ac:dyDescent="0.4">
      <c r="J632" s="140"/>
    </row>
    <row r="633" spans="10:10" x14ac:dyDescent="0.4">
      <c r="J633" s="140"/>
    </row>
    <row r="634" spans="10:10" x14ac:dyDescent="0.4">
      <c r="J634" s="140"/>
    </row>
    <row r="635" spans="10:10" x14ac:dyDescent="0.4">
      <c r="J635" s="140"/>
    </row>
    <row r="636" spans="10:10" x14ac:dyDescent="0.4">
      <c r="J636" s="140"/>
    </row>
    <row r="637" spans="10:10" x14ac:dyDescent="0.4">
      <c r="J637" s="140"/>
    </row>
    <row r="638" spans="10:10" x14ac:dyDescent="0.4">
      <c r="J638" s="140"/>
    </row>
    <row r="639" spans="10:10" x14ac:dyDescent="0.4">
      <c r="J639" s="140"/>
    </row>
    <row r="640" spans="10:10" x14ac:dyDescent="0.4">
      <c r="J640" s="140"/>
    </row>
    <row r="641" spans="10:10" x14ac:dyDescent="0.4">
      <c r="J641" s="140"/>
    </row>
    <row r="642" spans="10:10" x14ac:dyDescent="0.4">
      <c r="J642" s="140"/>
    </row>
    <row r="643" spans="10:10" x14ac:dyDescent="0.4">
      <c r="J643" s="140"/>
    </row>
    <row r="644" spans="10:10" x14ac:dyDescent="0.4">
      <c r="J644" s="140"/>
    </row>
    <row r="645" spans="10:10" x14ac:dyDescent="0.4">
      <c r="J645" s="140"/>
    </row>
    <row r="646" spans="10:10" x14ac:dyDescent="0.4">
      <c r="J646" s="140"/>
    </row>
    <row r="647" spans="10:10" x14ac:dyDescent="0.4">
      <c r="J647" s="140"/>
    </row>
    <row r="648" spans="10:10" x14ac:dyDescent="0.4">
      <c r="J648" s="140"/>
    </row>
    <row r="649" spans="10:10" x14ac:dyDescent="0.4">
      <c r="J649" s="140"/>
    </row>
    <row r="650" spans="10:10" x14ac:dyDescent="0.4">
      <c r="J650" s="140"/>
    </row>
    <row r="651" spans="10:10" x14ac:dyDescent="0.4">
      <c r="J651" s="140"/>
    </row>
    <row r="652" spans="10:10" x14ac:dyDescent="0.4">
      <c r="J652" s="140"/>
    </row>
    <row r="653" spans="10:10" x14ac:dyDescent="0.4">
      <c r="J653" s="140"/>
    </row>
    <row r="654" spans="10:10" x14ac:dyDescent="0.4">
      <c r="J654" s="140"/>
    </row>
    <row r="655" spans="10:10" x14ac:dyDescent="0.4">
      <c r="J655" s="140"/>
    </row>
    <row r="656" spans="10:10" x14ac:dyDescent="0.4">
      <c r="J656" s="140"/>
    </row>
    <row r="657" spans="10:10" x14ac:dyDescent="0.4">
      <c r="J657" s="140"/>
    </row>
    <row r="658" spans="10:10" x14ac:dyDescent="0.4">
      <c r="J658" s="140"/>
    </row>
    <row r="659" spans="10:10" x14ac:dyDescent="0.4">
      <c r="J659" s="140"/>
    </row>
    <row r="660" spans="10:10" x14ac:dyDescent="0.4">
      <c r="J660" s="140"/>
    </row>
    <row r="661" spans="10:10" x14ac:dyDescent="0.4">
      <c r="J661" s="140"/>
    </row>
    <row r="662" spans="10:10" x14ac:dyDescent="0.4">
      <c r="J662" s="140"/>
    </row>
    <row r="663" spans="10:10" x14ac:dyDescent="0.4">
      <c r="J663" s="140"/>
    </row>
    <row r="664" spans="10:10" x14ac:dyDescent="0.4">
      <c r="J664" s="140"/>
    </row>
    <row r="665" spans="10:10" x14ac:dyDescent="0.4">
      <c r="J665" s="140"/>
    </row>
    <row r="666" spans="10:10" x14ac:dyDescent="0.4">
      <c r="J666" s="140"/>
    </row>
    <row r="667" spans="10:10" x14ac:dyDescent="0.4">
      <c r="J667" s="140"/>
    </row>
    <row r="668" spans="10:10" x14ac:dyDescent="0.4">
      <c r="J668" s="140"/>
    </row>
    <row r="669" spans="10:10" x14ac:dyDescent="0.4">
      <c r="J669" s="140"/>
    </row>
    <row r="670" spans="10:10" x14ac:dyDescent="0.4">
      <c r="J670" s="140"/>
    </row>
    <row r="671" spans="10:10" x14ac:dyDescent="0.4">
      <c r="J671" s="140"/>
    </row>
    <row r="672" spans="10:10" x14ac:dyDescent="0.4">
      <c r="J672" s="140"/>
    </row>
    <row r="673" spans="10:10" x14ac:dyDescent="0.4">
      <c r="J673" s="140"/>
    </row>
    <row r="674" spans="10:10" x14ac:dyDescent="0.4">
      <c r="J674" s="140"/>
    </row>
    <row r="675" spans="10:10" x14ac:dyDescent="0.4">
      <c r="J675" s="140"/>
    </row>
    <row r="676" spans="10:10" x14ac:dyDescent="0.4">
      <c r="J676" s="140"/>
    </row>
    <row r="677" spans="10:10" x14ac:dyDescent="0.4">
      <c r="J677" s="140"/>
    </row>
    <row r="678" spans="10:10" x14ac:dyDescent="0.4">
      <c r="J678" s="140"/>
    </row>
    <row r="679" spans="10:10" x14ac:dyDescent="0.4">
      <c r="J679" s="140"/>
    </row>
    <row r="680" spans="10:10" x14ac:dyDescent="0.4">
      <c r="J680" s="140"/>
    </row>
    <row r="681" spans="10:10" x14ac:dyDescent="0.4">
      <c r="J681" s="140"/>
    </row>
    <row r="682" spans="10:10" x14ac:dyDescent="0.4">
      <c r="J682" s="140"/>
    </row>
    <row r="683" spans="10:10" x14ac:dyDescent="0.4">
      <c r="J683" s="140"/>
    </row>
    <row r="684" spans="10:10" x14ac:dyDescent="0.4">
      <c r="J684" s="140"/>
    </row>
    <row r="685" spans="10:10" x14ac:dyDescent="0.4">
      <c r="J685" s="140"/>
    </row>
    <row r="686" spans="10:10" x14ac:dyDescent="0.4">
      <c r="J686" s="140"/>
    </row>
    <row r="687" spans="10:10" x14ac:dyDescent="0.4">
      <c r="J687" s="140"/>
    </row>
    <row r="688" spans="10:10" x14ac:dyDescent="0.4">
      <c r="J688" s="140"/>
    </row>
    <row r="689" spans="10:10" x14ac:dyDescent="0.4">
      <c r="J689" s="140"/>
    </row>
    <row r="690" spans="10:10" x14ac:dyDescent="0.4">
      <c r="J690" s="140"/>
    </row>
    <row r="691" spans="10:10" x14ac:dyDescent="0.4">
      <c r="J691" s="140"/>
    </row>
    <row r="692" spans="10:10" x14ac:dyDescent="0.4">
      <c r="J692" s="140"/>
    </row>
    <row r="693" spans="10:10" x14ac:dyDescent="0.4">
      <c r="J693" s="140"/>
    </row>
    <row r="694" spans="10:10" x14ac:dyDescent="0.4">
      <c r="J694" s="140"/>
    </row>
    <row r="695" spans="10:10" x14ac:dyDescent="0.4">
      <c r="J695" s="140"/>
    </row>
    <row r="696" spans="10:10" x14ac:dyDescent="0.4">
      <c r="J696" s="140"/>
    </row>
    <row r="697" spans="10:10" x14ac:dyDescent="0.4">
      <c r="J697" s="140"/>
    </row>
    <row r="698" spans="10:10" x14ac:dyDescent="0.4">
      <c r="J698" s="140"/>
    </row>
    <row r="699" spans="10:10" x14ac:dyDescent="0.4">
      <c r="J699" s="140"/>
    </row>
    <row r="700" spans="10:10" x14ac:dyDescent="0.4">
      <c r="J700" s="140"/>
    </row>
    <row r="701" spans="10:10" x14ac:dyDescent="0.4">
      <c r="J701" s="140"/>
    </row>
    <row r="702" spans="10:10" x14ac:dyDescent="0.4">
      <c r="J702" s="140"/>
    </row>
    <row r="703" spans="10:10" x14ac:dyDescent="0.4">
      <c r="J703" s="140"/>
    </row>
    <row r="704" spans="10:10" x14ac:dyDescent="0.4">
      <c r="J704" s="140"/>
    </row>
    <row r="705" spans="10:10" x14ac:dyDescent="0.4">
      <c r="J705" s="140"/>
    </row>
    <row r="706" spans="10:10" x14ac:dyDescent="0.4">
      <c r="J706" s="140"/>
    </row>
    <row r="707" spans="10:10" x14ac:dyDescent="0.4">
      <c r="J707" s="140"/>
    </row>
    <row r="708" spans="10:10" x14ac:dyDescent="0.4">
      <c r="J708" s="140"/>
    </row>
    <row r="709" spans="10:10" x14ac:dyDescent="0.4">
      <c r="J709" s="140"/>
    </row>
    <row r="710" spans="10:10" x14ac:dyDescent="0.4">
      <c r="J710" s="140"/>
    </row>
    <row r="711" spans="10:10" x14ac:dyDescent="0.4">
      <c r="J711" s="140"/>
    </row>
    <row r="712" spans="10:10" x14ac:dyDescent="0.4">
      <c r="J712" s="140"/>
    </row>
    <row r="713" spans="10:10" x14ac:dyDescent="0.4">
      <c r="J713" s="140"/>
    </row>
    <row r="714" spans="10:10" x14ac:dyDescent="0.4">
      <c r="J714" s="140"/>
    </row>
    <row r="715" spans="10:10" x14ac:dyDescent="0.4">
      <c r="J715" s="140"/>
    </row>
    <row r="716" spans="10:10" x14ac:dyDescent="0.4">
      <c r="J716" s="140"/>
    </row>
    <row r="717" spans="10:10" x14ac:dyDescent="0.4">
      <c r="J717" s="140"/>
    </row>
    <row r="718" spans="10:10" x14ac:dyDescent="0.4">
      <c r="J718" s="140"/>
    </row>
    <row r="719" spans="10:10" x14ac:dyDescent="0.4">
      <c r="J719" s="140"/>
    </row>
    <row r="720" spans="10:10" x14ac:dyDescent="0.4">
      <c r="J720" s="140"/>
    </row>
    <row r="721" spans="10:10" x14ac:dyDescent="0.4">
      <c r="J721" s="140"/>
    </row>
    <row r="722" spans="10:10" x14ac:dyDescent="0.4">
      <c r="J722" s="140"/>
    </row>
    <row r="723" spans="10:10" x14ac:dyDescent="0.4">
      <c r="J723" s="140"/>
    </row>
    <row r="724" spans="10:10" x14ac:dyDescent="0.4">
      <c r="J724" s="140"/>
    </row>
    <row r="725" spans="10:10" x14ac:dyDescent="0.4">
      <c r="J725" s="140"/>
    </row>
    <row r="726" spans="10:10" x14ac:dyDescent="0.4">
      <c r="J726" s="140"/>
    </row>
    <row r="727" spans="10:10" x14ac:dyDescent="0.4">
      <c r="J727" s="140"/>
    </row>
    <row r="728" spans="10:10" x14ac:dyDescent="0.4">
      <c r="J728" s="140"/>
    </row>
    <row r="729" spans="10:10" x14ac:dyDescent="0.4">
      <c r="J729" s="140"/>
    </row>
    <row r="730" spans="10:10" x14ac:dyDescent="0.4">
      <c r="J730" s="140"/>
    </row>
    <row r="731" spans="10:10" x14ac:dyDescent="0.4">
      <c r="J731" s="140"/>
    </row>
    <row r="732" spans="10:10" x14ac:dyDescent="0.4">
      <c r="J732" s="140"/>
    </row>
    <row r="733" spans="10:10" x14ac:dyDescent="0.4">
      <c r="J733" s="140"/>
    </row>
    <row r="734" spans="10:10" x14ac:dyDescent="0.4">
      <c r="J734" s="140"/>
    </row>
    <row r="735" spans="10:10" x14ac:dyDescent="0.4">
      <c r="J735" s="140"/>
    </row>
    <row r="736" spans="10:10" x14ac:dyDescent="0.4">
      <c r="J736" s="140"/>
    </row>
    <row r="737" spans="10:10" x14ac:dyDescent="0.4">
      <c r="J737" s="140"/>
    </row>
    <row r="738" spans="10:10" x14ac:dyDescent="0.4">
      <c r="J738" s="140"/>
    </row>
    <row r="739" spans="10:10" x14ac:dyDescent="0.4">
      <c r="J739" s="140"/>
    </row>
    <row r="740" spans="10:10" x14ac:dyDescent="0.4">
      <c r="J740" s="140"/>
    </row>
    <row r="741" spans="10:10" x14ac:dyDescent="0.4">
      <c r="J741" s="140"/>
    </row>
    <row r="742" spans="10:10" x14ac:dyDescent="0.4">
      <c r="J742" s="140"/>
    </row>
    <row r="743" spans="10:10" x14ac:dyDescent="0.4">
      <c r="J743" s="140"/>
    </row>
    <row r="744" spans="10:10" x14ac:dyDescent="0.4">
      <c r="J744" s="140"/>
    </row>
    <row r="745" spans="10:10" x14ac:dyDescent="0.4">
      <c r="J745" s="140"/>
    </row>
    <row r="746" spans="10:10" x14ac:dyDescent="0.4">
      <c r="J746" s="140"/>
    </row>
    <row r="747" spans="10:10" x14ac:dyDescent="0.4">
      <c r="J747" s="140"/>
    </row>
    <row r="748" spans="10:10" x14ac:dyDescent="0.4">
      <c r="J748" s="140"/>
    </row>
    <row r="749" spans="10:10" x14ac:dyDescent="0.4">
      <c r="J749" s="140"/>
    </row>
    <row r="750" spans="10:10" x14ac:dyDescent="0.4">
      <c r="J750" s="140"/>
    </row>
    <row r="751" spans="10:10" x14ac:dyDescent="0.4">
      <c r="J751" s="140"/>
    </row>
    <row r="752" spans="10:10" x14ac:dyDescent="0.4">
      <c r="J752" s="140"/>
    </row>
    <row r="753" spans="10:10" x14ac:dyDescent="0.4">
      <c r="J753" s="140"/>
    </row>
    <row r="754" spans="10:10" x14ac:dyDescent="0.4">
      <c r="J754" s="140"/>
    </row>
    <row r="755" spans="10:10" x14ac:dyDescent="0.4">
      <c r="J755" s="140"/>
    </row>
    <row r="756" spans="10:10" x14ac:dyDescent="0.4">
      <c r="J756" s="140"/>
    </row>
    <row r="757" spans="10:10" x14ac:dyDescent="0.4">
      <c r="J757" s="140"/>
    </row>
    <row r="758" spans="10:10" x14ac:dyDescent="0.4">
      <c r="J758" s="140"/>
    </row>
    <row r="759" spans="10:10" x14ac:dyDescent="0.4">
      <c r="J759" s="140"/>
    </row>
    <row r="760" spans="10:10" x14ac:dyDescent="0.4">
      <c r="J760" s="140"/>
    </row>
    <row r="761" spans="10:10" x14ac:dyDescent="0.4">
      <c r="J761" s="140"/>
    </row>
    <row r="762" spans="10:10" x14ac:dyDescent="0.4">
      <c r="J762" s="140"/>
    </row>
    <row r="763" spans="10:10" x14ac:dyDescent="0.4">
      <c r="J763" s="140"/>
    </row>
    <row r="764" spans="10:10" x14ac:dyDescent="0.4">
      <c r="J764" s="140"/>
    </row>
    <row r="765" spans="10:10" x14ac:dyDescent="0.4">
      <c r="J765" s="140"/>
    </row>
    <row r="766" spans="10:10" x14ac:dyDescent="0.4">
      <c r="J766" s="140"/>
    </row>
    <row r="767" spans="10:10" x14ac:dyDescent="0.4">
      <c r="J767" s="140"/>
    </row>
    <row r="768" spans="10:10" x14ac:dyDescent="0.4">
      <c r="J768" s="140"/>
    </row>
    <row r="769" spans="10:10" x14ac:dyDescent="0.4">
      <c r="J769" s="140"/>
    </row>
    <row r="770" spans="10:10" x14ac:dyDescent="0.4">
      <c r="J770" s="140"/>
    </row>
    <row r="771" spans="10:10" x14ac:dyDescent="0.4">
      <c r="J771" s="140"/>
    </row>
    <row r="772" spans="10:10" x14ac:dyDescent="0.4">
      <c r="J772" s="140"/>
    </row>
    <row r="773" spans="10:10" x14ac:dyDescent="0.4">
      <c r="J773" s="140"/>
    </row>
    <row r="774" spans="10:10" x14ac:dyDescent="0.4">
      <c r="J774" s="140"/>
    </row>
    <row r="775" spans="10:10" x14ac:dyDescent="0.4">
      <c r="J775" s="140"/>
    </row>
    <row r="776" spans="10:10" x14ac:dyDescent="0.4">
      <c r="J776" s="140"/>
    </row>
    <row r="777" spans="10:10" x14ac:dyDescent="0.4">
      <c r="J777" s="140"/>
    </row>
    <row r="778" spans="10:10" x14ac:dyDescent="0.4">
      <c r="J778" s="140"/>
    </row>
    <row r="779" spans="10:10" x14ac:dyDescent="0.4">
      <c r="J779" s="140"/>
    </row>
    <row r="780" spans="10:10" x14ac:dyDescent="0.4">
      <c r="J780" s="140"/>
    </row>
    <row r="781" spans="10:10" x14ac:dyDescent="0.4">
      <c r="J781" s="140"/>
    </row>
    <row r="782" spans="10:10" x14ac:dyDescent="0.4">
      <c r="J782" s="140"/>
    </row>
    <row r="783" spans="10:10" x14ac:dyDescent="0.4">
      <c r="J783" s="140"/>
    </row>
    <row r="784" spans="10:10" x14ac:dyDescent="0.4">
      <c r="J784" s="140"/>
    </row>
    <row r="785" spans="10:10" x14ac:dyDescent="0.4">
      <c r="J785" s="140"/>
    </row>
    <row r="786" spans="10:10" x14ac:dyDescent="0.4">
      <c r="J786" s="140"/>
    </row>
    <row r="787" spans="10:10" x14ac:dyDescent="0.4">
      <c r="J787" s="140"/>
    </row>
    <row r="788" spans="10:10" x14ac:dyDescent="0.4">
      <c r="J788" s="140"/>
    </row>
    <row r="789" spans="10:10" x14ac:dyDescent="0.4">
      <c r="J789" s="140"/>
    </row>
    <row r="790" spans="10:10" x14ac:dyDescent="0.4">
      <c r="J790" s="140"/>
    </row>
    <row r="791" spans="10:10" x14ac:dyDescent="0.4">
      <c r="J791" s="140"/>
    </row>
    <row r="792" spans="10:10" x14ac:dyDescent="0.4">
      <c r="J792" s="140"/>
    </row>
    <row r="793" spans="10:10" x14ac:dyDescent="0.4">
      <c r="J793" s="140"/>
    </row>
    <row r="794" spans="10:10" x14ac:dyDescent="0.4">
      <c r="J794" s="140"/>
    </row>
    <row r="795" spans="10:10" x14ac:dyDescent="0.4">
      <c r="J795" s="140"/>
    </row>
    <row r="796" spans="10:10" x14ac:dyDescent="0.4">
      <c r="J796" s="140"/>
    </row>
    <row r="797" spans="10:10" x14ac:dyDescent="0.4">
      <c r="J797" s="140"/>
    </row>
    <row r="798" spans="10:10" x14ac:dyDescent="0.4">
      <c r="J798" s="140"/>
    </row>
    <row r="799" spans="10:10" x14ac:dyDescent="0.4">
      <c r="J799" s="140"/>
    </row>
    <row r="800" spans="10:10" x14ac:dyDescent="0.4">
      <c r="J800" s="140"/>
    </row>
    <row r="801" spans="10:10" x14ac:dyDescent="0.4">
      <c r="J801" s="140"/>
    </row>
    <row r="802" spans="10:10" x14ac:dyDescent="0.4">
      <c r="J802" s="140"/>
    </row>
    <row r="803" spans="10:10" x14ac:dyDescent="0.4">
      <c r="J803" s="140"/>
    </row>
    <row r="804" spans="10:10" x14ac:dyDescent="0.4">
      <c r="J804" s="140"/>
    </row>
    <row r="805" spans="10:10" x14ac:dyDescent="0.4">
      <c r="J805" s="140"/>
    </row>
    <row r="806" spans="10:10" x14ac:dyDescent="0.4">
      <c r="J806" s="140"/>
    </row>
    <row r="807" spans="10:10" x14ac:dyDescent="0.4">
      <c r="J807" s="140"/>
    </row>
    <row r="808" spans="10:10" x14ac:dyDescent="0.4">
      <c r="J808" s="140"/>
    </row>
    <row r="809" spans="10:10" x14ac:dyDescent="0.4">
      <c r="J809" s="140"/>
    </row>
    <row r="810" spans="10:10" x14ac:dyDescent="0.4">
      <c r="J810" s="140"/>
    </row>
    <row r="811" spans="10:10" x14ac:dyDescent="0.4">
      <c r="J811" s="140"/>
    </row>
    <row r="812" spans="10:10" x14ac:dyDescent="0.4">
      <c r="J812" s="140"/>
    </row>
    <row r="813" spans="10:10" x14ac:dyDescent="0.4">
      <c r="J813" s="140"/>
    </row>
    <row r="814" spans="10:10" x14ac:dyDescent="0.4">
      <c r="J814" s="140"/>
    </row>
    <row r="815" spans="10:10" x14ac:dyDescent="0.4">
      <c r="J815" s="140"/>
    </row>
    <row r="816" spans="10:10" x14ac:dyDescent="0.4">
      <c r="J816" s="140"/>
    </row>
    <row r="817" spans="10:10" x14ac:dyDescent="0.4">
      <c r="J817" s="140"/>
    </row>
    <row r="818" spans="10:10" x14ac:dyDescent="0.4">
      <c r="J818" s="140"/>
    </row>
    <row r="819" spans="10:10" x14ac:dyDescent="0.4">
      <c r="J819" s="140"/>
    </row>
    <row r="820" spans="10:10" x14ac:dyDescent="0.4">
      <c r="J820" s="140"/>
    </row>
    <row r="821" spans="10:10" x14ac:dyDescent="0.4">
      <c r="J821" s="140"/>
    </row>
    <row r="822" spans="10:10" x14ac:dyDescent="0.4">
      <c r="J822" s="140"/>
    </row>
    <row r="823" spans="10:10" x14ac:dyDescent="0.4">
      <c r="J823" s="140"/>
    </row>
    <row r="824" spans="10:10" x14ac:dyDescent="0.4">
      <c r="J824" s="140"/>
    </row>
    <row r="825" spans="10:10" x14ac:dyDescent="0.4">
      <c r="J825" s="140"/>
    </row>
    <row r="826" spans="10:10" x14ac:dyDescent="0.4">
      <c r="J826" s="140"/>
    </row>
    <row r="827" spans="10:10" x14ac:dyDescent="0.4">
      <c r="J827" s="140"/>
    </row>
    <row r="828" spans="10:10" x14ac:dyDescent="0.4">
      <c r="J828" s="140"/>
    </row>
    <row r="829" spans="10:10" x14ac:dyDescent="0.4">
      <c r="J829" s="140"/>
    </row>
    <row r="830" spans="10:10" x14ac:dyDescent="0.4">
      <c r="J830" s="140"/>
    </row>
    <row r="831" spans="10:10" x14ac:dyDescent="0.4">
      <c r="J831" s="140"/>
    </row>
    <row r="832" spans="10:10" x14ac:dyDescent="0.4">
      <c r="J832" s="140"/>
    </row>
    <row r="833" spans="10:10" x14ac:dyDescent="0.4">
      <c r="J833" s="140"/>
    </row>
    <row r="834" spans="10:10" x14ac:dyDescent="0.4">
      <c r="J834" s="140"/>
    </row>
    <row r="835" spans="10:10" x14ac:dyDescent="0.4">
      <c r="J835" s="140"/>
    </row>
    <row r="836" spans="10:10" x14ac:dyDescent="0.4">
      <c r="J836" s="140"/>
    </row>
    <row r="837" spans="10:10" x14ac:dyDescent="0.4">
      <c r="J837" s="140"/>
    </row>
    <row r="838" spans="10:10" x14ac:dyDescent="0.4">
      <c r="J838" s="140"/>
    </row>
    <row r="839" spans="10:10" x14ac:dyDescent="0.4">
      <c r="J839" s="140"/>
    </row>
    <row r="840" spans="10:10" x14ac:dyDescent="0.4">
      <c r="J840" s="140"/>
    </row>
    <row r="841" spans="10:10" x14ac:dyDescent="0.4">
      <c r="J841" s="140"/>
    </row>
    <row r="842" spans="10:10" x14ac:dyDescent="0.4">
      <c r="J842" s="140"/>
    </row>
    <row r="843" spans="10:10" x14ac:dyDescent="0.4">
      <c r="J843" s="140"/>
    </row>
    <row r="844" spans="10:10" x14ac:dyDescent="0.4">
      <c r="J844" s="140"/>
    </row>
    <row r="845" spans="10:10" x14ac:dyDescent="0.4">
      <c r="J845" s="140"/>
    </row>
    <row r="846" spans="10:10" x14ac:dyDescent="0.4">
      <c r="J846" s="140"/>
    </row>
    <row r="847" spans="10:10" x14ac:dyDescent="0.4">
      <c r="J847" s="140"/>
    </row>
    <row r="848" spans="10:10" x14ac:dyDescent="0.4">
      <c r="J848" s="140"/>
    </row>
    <row r="849" spans="10:10" x14ac:dyDescent="0.4">
      <c r="J849" s="140"/>
    </row>
    <row r="850" spans="10:10" x14ac:dyDescent="0.4">
      <c r="J850" s="140"/>
    </row>
    <row r="851" spans="10:10" x14ac:dyDescent="0.4">
      <c r="J851" s="140"/>
    </row>
    <row r="852" spans="10:10" x14ac:dyDescent="0.4">
      <c r="J852" s="140"/>
    </row>
    <row r="853" spans="10:10" x14ac:dyDescent="0.4">
      <c r="J853" s="140"/>
    </row>
    <row r="854" spans="10:10" x14ac:dyDescent="0.4">
      <c r="J854" s="140"/>
    </row>
    <row r="855" spans="10:10" x14ac:dyDescent="0.4">
      <c r="J855" s="140"/>
    </row>
    <row r="856" spans="10:10" x14ac:dyDescent="0.4">
      <c r="J856" s="140"/>
    </row>
    <row r="857" spans="10:10" x14ac:dyDescent="0.4">
      <c r="J857" s="140"/>
    </row>
    <row r="858" spans="10:10" x14ac:dyDescent="0.4">
      <c r="J858" s="140"/>
    </row>
    <row r="859" spans="10:10" x14ac:dyDescent="0.4">
      <c r="J859" s="140"/>
    </row>
    <row r="860" spans="10:10" x14ac:dyDescent="0.4">
      <c r="J860" s="140"/>
    </row>
    <row r="861" spans="10:10" x14ac:dyDescent="0.4">
      <c r="J861" s="140"/>
    </row>
    <row r="862" spans="10:10" x14ac:dyDescent="0.4">
      <c r="J862" s="140"/>
    </row>
    <row r="863" spans="10:10" x14ac:dyDescent="0.4">
      <c r="J863" s="140"/>
    </row>
    <row r="864" spans="10:10" x14ac:dyDescent="0.4">
      <c r="J864" s="140"/>
    </row>
    <row r="865" spans="10:10" x14ac:dyDescent="0.4">
      <c r="J865" s="140"/>
    </row>
    <row r="866" spans="10:10" x14ac:dyDescent="0.4">
      <c r="J866" s="140"/>
    </row>
    <row r="867" spans="10:10" x14ac:dyDescent="0.4">
      <c r="J867" s="140"/>
    </row>
    <row r="868" spans="10:10" x14ac:dyDescent="0.4">
      <c r="J868" s="140"/>
    </row>
    <row r="869" spans="10:10" x14ac:dyDescent="0.4">
      <c r="J869" s="140"/>
    </row>
    <row r="870" spans="10:10" x14ac:dyDescent="0.4">
      <c r="J870" s="140"/>
    </row>
    <row r="871" spans="10:10" x14ac:dyDescent="0.4">
      <c r="J871" s="140"/>
    </row>
    <row r="872" spans="10:10" x14ac:dyDescent="0.4">
      <c r="J872" s="140"/>
    </row>
    <row r="873" spans="10:10" x14ac:dyDescent="0.4">
      <c r="J873" s="140"/>
    </row>
    <row r="874" spans="10:10" x14ac:dyDescent="0.4">
      <c r="J874" s="140"/>
    </row>
    <row r="875" spans="10:10" x14ac:dyDescent="0.4">
      <c r="J875" s="140"/>
    </row>
    <row r="876" spans="10:10" x14ac:dyDescent="0.4">
      <c r="J876" s="140"/>
    </row>
    <row r="877" spans="10:10" x14ac:dyDescent="0.4">
      <c r="J877" s="140"/>
    </row>
    <row r="878" spans="10:10" x14ac:dyDescent="0.4">
      <c r="J878" s="140"/>
    </row>
    <row r="879" spans="10:10" x14ac:dyDescent="0.4">
      <c r="J879" s="140"/>
    </row>
    <row r="880" spans="10:10" x14ac:dyDescent="0.4">
      <c r="J880" s="140"/>
    </row>
    <row r="881" spans="10:10" x14ac:dyDescent="0.4">
      <c r="J881" s="140"/>
    </row>
    <row r="882" spans="10:10" x14ac:dyDescent="0.4">
      <c r="J882" s="140"/>
    </row>
    <row r="883" spans="10:10" x14ac:dyDescent="0.4">
      <c r="J883" s="140"/>
    </row>
    <row r="884" spans="10:10" x14ac:dyDescent="0.4">
      <c r="J884" s="140"/>
    </row>
    <row r="885" spans="10:10" x14ac:dyDescent="0.4">
      <c r="J885" s="140"/>
    </row>
    <row r="886" spans="10:10" x14ac:dyDescent="0.4">
      <c r="J886" s="140"/>
    </row>
    <row r="887" spans="10:10" x14ac:dyDescent="0.4">
      <c r="J887" s="140"/>
    </row>
    <row r="888" spans="10:10" x14ac:dyDescent="0.4">
      <c r="J888" s="140"/>
    </row>
    <row r="889" spans="10:10" x14ac:dyDescent="0.4">
      <c r="J889" s="140"/>
    </row>
    <row r="890" spans="10:10" x14ac:dyDescent="0.4">
      <c r="J890" s="140"/>
    </row>
    <row r="891" spans="10:10" x14ac:dyDescent="0.4">
      <c r="J891" s="140"/>
    </row>
    <row r="892" spans="10:10" x14ac:dyDescent="0.4">
      <c r="J892" s="140"/>
    </row>
    <row r="893" spans="10:10" x14ac:dyDescent="0.4">
      <c r="J893" s="140"/>
    </row>
    <row r="894" spans="10:10" x14ac:dyDescent="0.4">
      <c r="J894" s="140"/>
    </row>
    <row r="895" spans="10:10" x14ac:dyDescent="0.4">
      <c r="J895" s="140"/>
    </row>
    <row r="896" spans="10:10" x14ac:dyDescent="0.4">
      <c r="J896" s="140"/>
    </row>
    <row r="897" spans="10:10" x14ac:dyDescent="0.4">
      <c r="J897" s="140"/>
    </row>
    <row r="898" spans="10:10" x14ac:dyDescent="0.4">
      <c r="J898" s="140"/>
    </row>
    <row r="899" spans="10:10" x14ac:dyDescent="0.4">
      <c r="J899" s="140"/>
    </row>
    <row r="900" spans="10:10" x14ac:dyDescent="0.4">
      <c r="J900" s="140"/>
    </row>
    <row r="901" spans="10:10" x14ac:dyDescent="0.4">
      <c r="J901" s="140"/>
    </row>
    <row r="902" spans="10:10" x14ac:dyDescent="0.4">
      <c r="J902" s="140"/>
    </row>
    <row r="903" spans="10:10" x14ac:dyDescent="0.4">
      <c r="J903" s="140"/>
    </row>
    <row r="904" spans="10:10" x14ac:dyDescent="0.4">
      <c r="J904" s="140"/>
    </row>
    <row r="905" spans="10:10" x14ac:dyDescent="0.4">
      <c r="J905" s="140"/>
    </row>
    <row r="906" spans="10:10" x14ac:dyDescent="0.4">
      <c r="J906" s="140"/>
    </row>
    <row r="907" spans="10:10" x14ac:dyDescent="0.4">
      <c r="J907" s="140"/>
    </row>
    <row r="908" spans="10:10" x14ac:dyDescent="0.4">
      <c r="J908" s="140"/>
    </row>
    <row r="909" spans="10:10" x14ac:dyDescent="0.4">
      <c r="J909" s="140"/>
    </row>
    <row r="910" spans="10:10" x14ac:dyDescent="0.4">
      <c r="J910" s="140"/>
    </row>
    <row r="911" spans="10:10" x14ac:dyDescent="0.4">
      <c r="J911" s="140"/>
    </row>
    <row r="912" spans="10:10" x14ac:dyDescent="0.4">
      <c r="J912" s="140"/>
    </row>
    <row r="913" spans="10:10" x14ac:dyDescent="0.4">
      <c r="J913" s="140"/>
    </row>
    <row r="914" spans="10:10" x14ac:dyDescent="0.4">
      <c r="J914" s="140"/>
    </row>
    <row r="915" spans="10:10" x14ac:dyDescent="0.4">
      <c r="J915" s="140"/>
    </row>
    <row r="916" spans="10:10" x14ac:dyDescent="0.4">
      <c r="J916" s="140"/>
    </row>
    <row r="917" spans="10:10" x14ac:dyDescent="0.4">
      <c r="J917" s="140"/>
    </row>
    <row r="918" spans="10:10" x14ac:dyDescent="0.4">
      <c r="J918" s="140"/>
    </row>
    <row r="919" spans="10:10" x14ac:dyDescent="0.4">
      <c r="J919" s="140"/>
    </row>
    <row r="920" spans="10:10" x14ac:dyDescent="0.4">
      <c r="J920" s="140"/>
    </row>
    <row r="921" spans="10:10" x14ac:dyDescent="0.4">
      <c r="J921" s="140"/>
    </row>
    <row r="922" spans="10:10" x14ac:dyDescent="0.4">
      <c r="J922" s="140"/>
    </row>
    <row r="923" spans="10:10" x14ac:dyDescent="0.4">
      <c r="J923" s="140"/>
    </row>
    <row r="924" spans="10:10" x14ac:dyDescent="0.4">
      <c r="J924" s="140"/>
    </row>
    <row r="925" spans="10:10" x14ac:dyDescent="0.4">
      <c r="J925" s="140"/>
    </row>
    <row r="926" spans="10:10" x14ac:dyDescent="0.4">
      <c r="J926" s="140"/>
    </row>
    <row r="927" spans="10:10" x14ac:dyDescent="0.4">
      <c r="J927" s="140"/>
    </row>
    <row r="928" spans="10:10" x14ac:dyDescent="0.4">
      <c r="J928" s="140"/>
    </row>
    <row r="929" spans="10:10" x14ac:dyDescent="0.4">
      <c r="J929" s="140"/>
    </row>
    <row r="930" spans="10:10" x14ac:dyDescent="0.4">
      <c r="J930" s="140"/>
    </row>
    <row r="931" spans="10:10" x14ac:dyDescent="0.4">
      <c r="J931" s="140"/>
    </row>
    <row r="932" spans="10:10" x14ac:dyDescent="0.4">
      <c r="J932" s="140"/>
    </row>
    <row r="933" spans="10:10" x14ac:dyDescent="0.4">
      <c r="J933" s="140"/>
    </row>
    <row r="934" spans="10:10" x14ac:dyDescent="0.4">
      <c r="J934" s="140"/>
    </row>
    <row r="935" spans="10:10" x14ac:dyDescent="0.4">
      <c r="J935" s="140"/>
    </row>
    <row r="936" spans="10:10" x14ac:dyDescent="0.4">
      <c r="J936" s="140"/>
    </row>
    <row r="937" spans="10:10" x14ac:dyDescent="0.4">
      <c r="J937" s="140"/>
    </row>
    <row r="938" spans="10:10" x14ac:dyDescent="0.4">
      <c r="J938" s="140"/>
    </row>
    <row r="939" spans="10:10" x14ac:dyDescent="0.4">
      <c r="J939" s="140"/>
    </row>
    <row r="940" spans="10:10" x14ac:dyDescent="0.4">
      <c r="J940" s="140"/>
    </row>
    <row r="941" spans="10:10" x14ac:dyDescent="0.4">
      <c r="J941" s="140"/>
    </row>
    <row r="942" spans="10:10" x14ac:dyDescent="0.4">
      <c r="J942" s="140"/>
    </row>
    <row r="943" spans="10:10" x14ac:dyDescent="0.4">
      <c r="J943" s="140"/>
    </row>
    <row r="944" spans="10:10" x14ac:dyDescent="0.4">
      <c r="J944" s="140"/>
    </row>
    <row r="945" spans="10:10" x14ac:dyDescent="0.4">
      <c r="J945" s="140"/>
    </row>
    <row r="946" spans="10:10" x14ac:dyDescent="0.4">
      <c r="J946" s="140"/>
    </row>
    <row r="947" spans="10:10" x14ac:dyDescent="0.4">
      <c r="J947" s="140"/>
    </row>
    <row r="948" spans="10:10" x14ac:dyDescent="0.4">
      <c r="J948" s="140"/>
    </row>
    <row r="949" spans="10:10" x14ac:dyDescent="0.4">
      <c r="J949" s="140"/>
    </row>
    <row r="950" spans="10:10" x14ac:dyDescent="0.4">
      <c r="J950" s="140"/>
    </row>
    <row r="951" spans="10:10" x14ac:dyDescent="0.4">
      <c r="J951" s="140"/>
    </row>
    <row r="952" spans="10:10" x14ac:dyDescent="0.4">
      <c r="J952" s="140"/>
    </row>
    <row r="953" spans="10:10" x14ac:dyDescent="0.4">
      <c r="J953" s="140"/>
    </row>
    <row r="954" spans="10:10" x14ac:dyDescent="0.4">
      <c r="J954" s="140"/>
    </row>
    <row r="955" spans="10:10" x14ac:dyDescent="0.4">
      <c r="J955" s="140"/>
    </row>
    <row r="956" spans="10:10" x14ac:dyDescent="0.4">
      <c r="J956" s="140"/>
    </row>
    <row r="957" spans="10:10" x14ac:dyDescent="0.4">
      <c r="J957" s="140"/>
    </row>
    <row r="958" spans="10:10" x14ac:dyDescent="0.4">
      <c r="J958" s="140"/>
    </row>
    <row r="959" spans="10:10" x14ac:dyDescent="0.4">
      <c r="J959" s="140"/>
    </row>
    <row r="960" spans="10:10" x14ac:dyDescent="0.4">
      <c r="J960" s="140"/>
    </row>
    <row r="961" spans="10:10" x14ac:dyDescent="0.4">
      <c r="J961" s="140"/>
    </row>
    <row r="962" spans="10:10" x14ac:dyDescent="0.4">
      <c r="J962" s="140"/>
    </row>
    <row r="963" spans="10:10" x14ac:dyDescent="0.4">
      <c r="J963" s="140"/>
    </row>
    <row r="964" spans="10:10" x14ac:dyDescent="0.4">
      <c r="J964" s="140"/>
    </row>
    <row r="965" spans="10:10" x14ac:dyDescent="0.4">
      <c r="J965" s="140"/>
    </row>
    <row r="966" spans="10:10" x14ac:dyDescent="0.4">
      <c r="J966" s="140"/>
    </row>
    <row r="967" spans="10:10" x14ac:dyDescent="0.4">
      <c r="J967" s="140"/>
    </row>
    <row r="968" spans="10:10" x14ac:dyDescent="0.4">
      <c r="J968" s="140"/>
    </row>
    <row r="969" spans="10:10" x14ac:dyDescent="0.4">
      <c r="J969" s="140"/>
    </row>
    <row r="970" spans="10:10" x14ac:dyDescent="0.4">
      <c r="J970" s="140"/>
    </row>
    <row r="971" spans="10:10" x14ac:dyDescent="0.4">
      <c r="J971" s="140"/>
    </row>
    <row r="972" spans="10:10" x14ac:dyDescent="0.4">
      <c r="J972" s="140"/>
    </row>
    <row r="973" spans="10:10" x14ac:dyDescent="0.4">
      <c r="J973" s="140"/>
    </row>
    <row r="974" spans="10:10" x14ac:dyDescent="0.4">
      <c r="J974" s="140"/>
    </row>
    <row r="975" spans="10:10" x14ac:dyDescent="0.4">
      <c r="J975" s="140"/>
    </row>
    <row r="976" spans="10:10" x14ac:dyDescent="0.4">
      <c r="J976" s="140"/>
    </row>
    <row r="977" spans="10:10" x14ac:dyDescent="0.4">
      <c r="J977" s="140"/>
    </row>
    <row r="978" spans="10:10" x14ac:dyDescent="0.4">
      <c r="J978" s="140"/>
    </row>
    <row r="979" spans="10:10" x14ac:dyDescent="0.4">
      <c r="J979" s="140"/>
    </row>
    <row r="980" spans="10:10" x14ac:dyDescent="0.4">
      <c r="J980" s="140"/>
    </row>
    <row r="981" spans="10:10" x14ac:dyDescent="0.4">
      <c r="J981" s="140"/>
    </row>
    <row r="982" spans="10:10" x14ac:dyDescent="0.4">
      <c r="J982" s="140"/>
    </row>
    <row r="983" spans="10:10" x14ac:dyDescent="0.4">
      <c r="J983" s="140"/>
    </row>
    <row r="984" spans="10:10" x14ac:dyDescent="0.4">
      <c r="J984" s="140"/>
    </row>
    <row r="985" spans="10:10" x14ac:dyDescent="0.4">
      <c r="J985" s="140"/>
    </row>
    <row r="986" spans="10:10" x14ac:dyDescent="0.4">
      <c r="J986" s="140"/>
    </row>
    <row r="987" spans="10:10" x14ac:dyDescent="0.4">
      <c r="J987" s="140"/>
    </row>
    <row r="988" spans="10:10" x14ac:dyDescent="0.4">
      <c r="J988" s="140"/>
    </row>
    <row r="989" spans="10:10" x14ac:dyDescent="0.4">
      <c r="J989" s="140"/>
    </row>
    <row r="990" spans="10:10" x14ac:dyDescent="0.4">
      <c r="J990" s="140"/>
    </row>
    <row r="991" spans="10:10" x14ac:dyDescent="0.4">
      <c r="J991" s="140"/>
    </row>
    <row r="992" spans="10:10" x14ac:dyDescent="0.4">
      <c r="J992" s="140"/>
    </row>
    <row r="993" spans="10:10" x14ac:dyDescent="0.4">
      <c r="J993" s="140"/>
    </row>
    <row r="994" spans="10:10" x14ac:dyDescent="0.4">
      <c r="J994" s="140"/>
    </row>
    <row r="995" spans="10:10" x14ac:dyDescent="0.4">
      <c r="J995" s="140"/>
    </row>
    <row r="996" spans="10:10" x14ac:dyDescent="0.4">
      <c r="J996" s="140"/>
    </row>
    <row r="997" spans="10:10" x14ac:dyDescent="0.4">
      <c r="J997" s="140"/>
    </row>
    <row r="998" spans="10:10" x14ac:dyDescent="0.4">
      <c r="J998" s="140"/>
    </row>
    <row r="999" spans="10:10" x14ac:dyDescent="0.4">
      <c r="J999" s="140"/>
    </row>
    <row r="1000" spans="10:10" x14ac:dyDescent="0.4">
      <c r="J1000" s="140"/>
    </row>
    <row r="1001" spans="10:10" x14ac:dyDescent="0.4">
      <c r="J1001" s="140"/>
    </row>
    <row r="1002" spans="10:10" x14ac:dyDescent="0.4">
      <c r="J1002" s="140"/>
    </row>
    <row r="1003" spans="10:10" x14ac:dyDescent="0.4">
      <c r="J1003" s="140"/>
    </row>
    <row r="1004" spans="10:10" x14ac:dyDescent="0.4">
      <c r="J1004" s="140"/>
    </row>
    <row r="1005" spans="10:10" x14ac:dyDescent="0.4">
      <c r="J1005" s="140"/>
    </row>
    <row r="1006" spans="10:10" x14ac:dyDescent="0.4">
      <c r="J1006" s="140"/>
    </row>
    <row r="1007" spans="10:10" x14ac:dyDescent="0.4">
      <c r="J1007" s="140"/>
    </row>
    <row r="1008" spans="10:10" x14ac:dyDescent="0.4">
      <c r="J1008" s="140"/>
    </row>
    <row r="1009" spans="10:10" x14ac:dyDescent="0.4">
      <c r="J1009" s="140"/>
    </row>
    <row r="1010" spans="10:10" x14ac:dyDescent="0.4">
      <c r="J1010" s="140"/>
    </row>
    <row r="1011" spans="10:10" x14ac:dyDescent="0.4">
      <c r="J1011" s="140"/>
    </row>
    <row r="1012" spans="10:10" x14ac:dyDescent="0.4">
      <c r="J1012" s="140"/>
    </row>
    <row r="1013" spans="10:10" x14ac:dyDescent="0.4">
      <c r="J1013" s="140"/>
    </row>
    <row r="1014" spans="10:10" x14ac:dyDescent="0.4">
      <c r="J1014" s="140"/>
    </row>
    <row r="1015" spans="10:10" x14ac:dyDescent="0.4">
      <c r="J1015" s="140"/>
    </row>
    <row r="1016" spans="10:10" x14ac:dyDescent="0.4">
      <c r="J1016" s="140"/>
    </row>
    <row r="1017" spans="10:10" x14ac:dyDescent="0.4">
      <c r="J1017" s="140"/>
    </row>
    <row r="1018" spans="10:10" x14ac:dyDescent="0.4">
      <c r="J1018" s="140"/>
    </row>
    <row r="1019" spans="10:10" x14ac:dyDescent="0.4">
      <c r="J1019" s="140"/>
    </row>
    <row r="1020" spans="10:10" x14ac:dyDescent="0.4">
      <c r="J1020" s="140"/>
    </row>
    <row r="1021" spans="10:10" x14ac:dyDescent="0.4">
      <c r="J1021" s="140"/>
    </row>
    <row r="1022" spans="10:10" x14ac:dyDescent="0.4">
      <c r="J1022" s="140"/>
    </row>
    <row r="1023" spans="10:10" x14ac:dyDescent="0.4">
      <c r="J1023" s="140"/>
    </row>
    <row r="1024" spans="10:10" x14ac:dyDescent="0.4">
      <c r="J1024" s="140"/>
    </row>
    <row r="1025" spans="10:10" x14ac:dyDescent="0.4">
      <c r="J1025" s="140"/>
    </row>
    <row r="1026" spans="10:10" x14ac:dyDescent="0.4">
      <c r="J1026" s="140"/>
    </row>
    <row r="1027" spans="10:10" x14ac:dyDescent="0.4">
      <c r="J1027" s="140"/>
    </row>
    <row r="1028" spans="10:10" x14ac:dyDescent="0.4">
      <c r="J1028" s="140"/>
    </row>
    <row r="1029" spans="10:10" x14ac:dyDescent="0.4">
      <c r="J1029" s="140"/>
    </row>
    <row r="1030" spans="10:10" x14ac:dyDescent="0.4">
      <c r="J1030" s="140"/>
    </row>
    <row r="1031" spans="10:10" x14ac:dyDescent="0.4">
      <c r="J1031" s="140"/>
    </row>
    <row r="1032" spans="10:10" x14ac:dyDescent="0.4">
      <c r="J1032" s="140"/>
    </row>
    <row r="1033" spans="10:10" x14ac:dyDescent="0.4">
      <c r="J1033" s="140"/>
    </row>
    <row r="1034" spans="10:10" x14ac:dyDescent="0.4">
      <c r="J1034" s="140"/>
    </row>
    <row r="1035" spans="10:10" x14ac:dyDescent="0.4">
      <c r="J1035" s="140"/>
    </row>
    <row r="1036" spans="10:10" x14ac:dyDescent="0.4">
      <c r="J1036" s="140"/>
    </row>
    <row r="1037" spans="10:10" x14ac:dyDescent="0.4">
      <c r="J1037" s="140"/>
    </row>
    <row r="1038" spans="10:10" x14ac:dyDescent="0.4">
      <c r="J1038" s="140"/>
    </row>
    <row r="1039" spans="10:10" x14ac:dyDescent="0.4">
      <c r="J1039" s="140"/>
    </row>
    <row r="1040" spans="10:10" x14ac:dyDescent="0.4">
      <c r="J1040" s="140"/>
    </row>
    <row r="1041" spans="10:10" x14ac:dyDescent="0.4">
      <c r="J1041" s="140"/>
    </row>
    <row r="1042" spans="10:10" x14ac:dyDescent="0.4">
      <c r="J1042" s="140"/>
    </row>
    <row r="1043" spans="10:10" x14ac:dyDescent="0.4">
      <c r="J1043" s="140"/>
    </row>
    <row r="1044" spans="10:10" x14ac:dyDescent="0.4">
      <c r="J1044" s="140"/>
    </row>
    <row r="1045" spans="10:10" x14ac:dyDescent="0.4">
      <c r="J1045" s="140"/>
    </row>
    <row r="1046" spans="10:10" x14ac:dyDescent="0.4">
      <c r="J1046" s="140"/>
    </row>
    <row r="1047" spans="10:10" x14ac:dyDescent="0.4">
      <c r="J1047" s="140"/>
    </row>
    <row r="1048" spans="10:10" x14ac:dyDescent="0.4">
      <c r="J1048" s="140"/>
    </row>
    <row r="1049" spans="10:10" x14ac:dyDescent="0.4">
      <c r="J1049" s="140"/>
    </row>
    <row r="1050" spans="10:10" x14ac:dyDescent="0.4">
      <c r="J1050" s="140"/>
    </row>
    <row r="1051" spans="10:10" x14ac:dyDescent="0.4">
      <c r="J1051" s="140"/>
    </row>
    <row r="1052" spans="10:10" x14ac:dyDescent="0.4">
      <c r="J1052" s="140"/>
    </row>
    <row r="1053" spans="10:10" x14ac:dyDescent="0.4">
      <c r="J1053" s="140"/>
    </row>
    <row r="1054" spans="10:10" x14ac:dyDescent="0.4">
      <c r="J1054" s="140"/>
    </row>
    <row r="1055" spans="10:10" x14ac:dyDescent="0.4">
      <c r="J1055" s="140"/>
    </row>
    <row r="1056" spans="10:10" x14ac:dyDescent="0.4">
      <c r="J1056" s="140"/>
    </row>
    <row r="1057" spans="10:10" x14ac:dyDescent="0.4">
      <c r="J1057" s="140"/>
    </row>
    <row r="1058" spans="10:10" x14ac:dyDescent="0.4">
      <c r="J1058" s="140"/>
    </row>
    <row r="1059" spans="10:10" x14ac:dyDescent="0.4">
      <c r="J1059" s="140"/>
    </row>
    <row r="1060" spans="10:10" x14ac:dyDescent="0.4">
      <c r="J1060" s="140"/>
    </row>
    <row r="1061" spans="10:10" x14ac:dyDescent="0.4">
      <c r="J1061" s="140"/>
    </row>
    <row r="1062" spans="10:10" x14ac:dyDescent="0.4">
      <c r="J1062" s="140"/>
    </row>
    <row r="1063" spans="10:10" x14ac:dyDescent="0.4">
      <c r="J1063" s="140"/>
    </row>
    <row r="1064" spans="10:10" x14ac:dyDescent="0.4">
      <c r="J1064" s="140"/>
    </row>
    <row r="1065" spans="10:10" x14ac:dyDescent="0.4">
      <c r="J1065" s="140"/>
    </row>
    <row r="1066" spans="10:10" x14ac:dyDescent="0.4">
      <c r="J1066" s="140"/>
    </row>
    <row r="1067" spans="10:10" x14ac:dyDescent="0.4">
      <c r="J1067" s="140"/>
    </row>
    <row r="1068" spans="10:10" x14ac:dyDescent="0.4">
      <c r="J1068" s="140"/>
    </row>
    <row r="1069" spans="10:10" x14ac:dyDescent="0.4">
      <c r="J1069" s="140"/>
    </row>
    <row r="1070" spans="10:10" x14ac:dyDescent="0.4">
      <c r="J1070" s="140"/>
    </row>
    <row r="1071" spans="10:10" x14ac:dyDescent="0.4">
      <c r="J1071" s="140"/>
    </row>
    <row r="1072" spans="10:10" x14ac:dyDescent="0.4">
      <c r="J1072" s="140"/>
    </row>
    <row r="1073" spans="10:10" x14ac:dyDescent="0.4">
      <c r="J1073" s="140"/>
    </row>
    <row r="1074" spans="10:10" x14ac:dyDescent="0.4">
      <c r="J1074" s="140"/>
    </row>
    <row r="1075" spans="10:10" x14ac:dyDescent="0.4">
      <c r="J1075" s="140"/>
    </row>
    <row r="1076" spans="10:10" x14ac:dyDescent="0.4">
      <c r="J1076" s="140"/>
    </row>
    <row r="1077" spans="10:10" x14ac:dyDescent="0.4">
      <c r="J1077" s="140"/>
    </row>
    <row r="1078" spans="10:10" x14ac:dyDescent="0.4">
      <c r="J1078" s="140"/>
    </row>
    <row r="1079" spans="10:10" x14ac:dyDescent="0.4">
      <c r="J1079" s="140"/>
    </row>
    <row r="1080" spans="10:10" x14ac:dyDescent="0.4">
      <c r="J1080" s="140"/>
    </row>
    <row r="1081" spans="10:10" x14ac:dyDescent="0.4">
      <c r="J1081" s="140"/>
    </row>
    <row r="1082" spans="10:10" x14ac:dyDescent="0.4">
      <c r="J1082" s="140"/>
    </row>
    <row r="1083" spans="10:10" x14ac:dyDescent="0.4">
      <c r="J1083" s="140"/>
    </row>
    <row r="1084" spans="10:10" x14ac:dyDescent="0.4">
      <c r="J1084" s="140"/>
    </row>
    <row r="1085" spans="10:10" x14ac:dyDescent="0.4">
      <c r="J1085" s="140"/>
    </row>
    <row r="1086" spans="10:10" x14ac:dyDescent="0.4">
      <c r="J1086" s="140"/>
    </row>
    <row r="1087" spans="10:10" x14ac:dyDescent="0.4">
      <c r="J1087" s="140"/>
    </row>
    <row r="1088" spans="10:10" x14ac:dyDescent="0.4">
      <c r="J1088" s="140"/>
    </row>
    <row r="1089" spans="10:10" x14ac:dyDescent="0.4">
      <c r="J1089" s="140"/>
    </row>
    <row r="1090" spans="10:10" x14ac:dyDescent="0.4">
      <c r="J1090" s="140"/>
    </row>
    <row r="1091" spans="10:10" x14ac:dyDescent="0.4">
      <c r="J1091" s="140"/>
    </row>
    <row r="1092" spans="10:10" x14ac:dyDescent="0.4">
      <c r="J1092" s="140"/>
    </row>
    <row r="1093" spans="10:10" x14ac:dyDescent="0.4">
      <c r="J1093" s="140"/>
    </row>
    <row r="1094" spans="10:10" x14ac:dyDescent="0.4">
      <c r="J1094" s="140"/>
    </row>
    <row r="1095" spans="10:10" x14ac:dyDescent="0.4">
      <c r="J1095" s="140"/>
    </row>
    <row r="1096" spans="10:10" x14ac:dyDescent="0.4">
      <c r="J1096" s="140"/>
    </row>
    <row r="1097" spans="10:10" x14ac:dyDescent="0.4">
      <c r="J1097" s="140"/>
    </row>
    <row r="1098" spans="10:10" x14ac:dyDescent="0.4">
      <c r="J1098" s="140"/>
    </row>
    <row r="1099" spans="10:10" x14ac:dyDescent="0.4">
      <c r="J1099" s="140"/>
    </row>
    <row r="1100" spans="10:10" x14ac:dyDescent="0.4">
      <c r="J1100" s="140"/>
    </row>
    <row r="1101" spans="10:10" x14ac:dyDescent="0.4">
      <c r="J1101" s="140"/>
    </row>
    <row r="1102" spans="10:10" x14ac:dyDescent="0.4">
      <c r="J1102" s="140"/>
    </row>
    <row r="1103" spans="10:10" x14ac:dyDescent="0.4">
      <c r="J1103" s="140"/>
    </row>
    <row r="1104" spans="10:10" x14ac:dyDescent="0.4">
      <c r="J1104" s="140"/>
    </row>
    <row r="1105" spans="10:10" x14ac:dyDescent="0.4">
      <c r="J1105" s="140"/>
    </row>
    <row r="1106" spans="10:10" x14ac:dyDescent="0.4">
      <c r="J1106" s="140"/>
    </row>
    <row r="1107" spans="10:10" x14ac:dyDescent="0.4">
      <c r="J1107" s="140"/>
    </row>
    <row r="1108" spans="10:10" x14ac:dyDescent="0.4">
      <c r="J1108" s="140"/>
    </row>
    <row r="1109" spans="10:10" x14ac:dyDescent="0.4">
      <c r="J1109" s="140"/>
    </row>
    <row r="1110" spans="10:10" x14ac:dyDescent="0.4">
      <c r="J1110" s="140"/>
    </row>
    <row r="1111" spans="10:10" x14ac:dyDescent="0.4">
      <c r="J1111" s="140"/>
    </row>
    <row r="1112" spans="10:10" x14ac:dyDescent="0.4">
      <c r="J1112" s="140"/>
    </row>
    <row r="1113" spans="10:10" x14ac:dyDescent="0.4">
      <c r="J1113" s="140"/>
    </row>
    <row r="1114" spans="10:10" x14ac:dyDescent="0.4">
      <c r="J1114" s="140"/>
    </row>
    <row r="1115" spans="10:10" x14ac:dyDescent="0.4">
      <c r="J1115" s="140"/>
    </row>
    <row r="1116" spans="10:10" x14ac:dyDescent="0.4">
      <c r="J1116" s="140"/>
    </row>
    <row r="1117" spans="10:10" x14ac:dyDescent="0.4">
      <c r="J1117" s="140"/>
    </row>
    <row r="1118" spans="10:10" x14ac:dyDescent="0.4">
      <c r="J1118" s="140"/>
    </row>
    <row r="1119" spans="10:10" x14ac:dyDescent="0.4">
      <c r="J1119" s="140"/>
    </row>
    <row r="1120" spans="10:10" x14ac:dyDescent="0.4">
      <c r="J1120" s="140"/>
    </row>
    <row r="1121" spans="10:10" x14ac:dyDescent="0.4">
      <c r="J1121" s="140"/>
    </row>
    <row r="1122" spans="10:10" x14ac:dyDescent="0.4">
      <c r="J1122" s="140"/>
    </row>
    <row r="1123" spans="10:10" x14ac:dyDescent="0.4">
      <c r="J1123" s="140"/>
    </row>
    <row r="1124" spans="10:10" x14ac:dyDescent="0.4">
      <c r="J1124" s="140"/>
    </row>
    <row r="1125" spans="10:10" x14ac:dyDescent="0.4">
      <c r="J1125" s="140"/>
    </row>
    <row r="1126" spans="10:10" x14ac:dyDescent="0.4">
      <c r="J1126" s="140"/>
    </row>
    <row r="1127" spans="10:10" x14ac:dyDescent="0.4">
      <c r="J1127" s="140"/>
    </row>
    <row r="1128" spans="10:10" x14ac:dyDescent="0.4">
      <c r="J1128" s="140"/>
    </row>
    <row r="1129" spans="10:10" x14ac:dyDescent="0.4">
      <c r="J1129" s="140"/>
    </row>
    <row r="1130" spans="10:10" x14ac:dyDescent="0.4">
      <c r="J1130" s="140"/>
    </row>
    <row r="1131" spans="10:10" x14ac:dyDescent="0.4">
      <c r="J1131" s="140"/>
    </row>
    <row r="1132" spans="10:10" x14ac:dyDescent="0.4">
      <c r="J1132" s="140"/>
    </row>
    <row r="1133" spans="10:10" x14ac:dyDescent="0.4">
      <c r="J1133" s="140"/>
    </row>
    <row r="1134" spans="10:10" x14ac:dyDescent="0.4">
      <c r="J1134" s="140"/>
    </row>
    <row r="1135" spans="10:10" x14ac:dyDescent="0.4">
      <c r="J1135" s="140"/>
    </row>
    <row r="1136" spans="10:10" x14ac:dyDescent="0.4">
      <c r="J1136" s="140"/>
    </row>
    <row r="1137" spans="10:10" x14ac:dyDescent="0.4">
      <c r="J1137" s="140"/>
    </row>
    <row r="1138" spans="10:10" x14ac:dyDescent="0.4">
      <c r="J1138" s="140"/>
    </row>
    <row r="1139" spans="10:10" x14ac:dyDescent="0.4">
      <c r="J1139" s="140"/>
    </row>
    <row r="1140" spans="10:10" x14ac:dyDescent="0.4">
      <c r="J1140" s="140"/>
    </row>
    <row r="1141" spans="10:10" x14ac:dyDescent="0.4">
      <c r="J1141" s="140"/>
    </row>
    <row r="1142" spans="10:10" x14ac:dyDescent="0.4">
      <c r="J1142" s="140"/>
    </row>
    <row r="1143" spans="10:10" x14ac:dyDescent="0.4">
      <c r="J1143" s="140"/>
    </row>
    <row r="1144" spans="10:10" x14ac:dyDescent="0.4">
      <c r="J1144" s="140"/>
    </row>
    <row r="1145" spans="10:10" x14ac:dyDescent="0.4">
      <c r="J1145" s="140"/>
    </row>
    <row r="1146" spans="10:10" x14ac:dyDescent="0.4">
      <c r="J1146" s="140"/>
    </row>
    <row r="1147" spans="10:10" x14ac:dyDescent="0.4">
      <c r="J1147" s="140"/>
    </row>
    <row r="1148" spans="10:10" x14ac:dyDescent="0.4">
      <c r="J1148" s="140"/>
    </row>
    <row r="1149" spans="10:10" x14ac:dyDescent="0.4">
      <c r="J1149" s="140"/>
    </row>
    <row r="1150" spans="10:10" x14ac:dyDescent="0.4">
      <c r="J1150" s="140"/>
    </row>
    <row r="1151" spans="10:10" x14ac:dyDescent="0.4">
      <c r="J1151" s="140"/>
    </row>
    <row r="1152" spans="10:10" x14ac:dyDescent="0.4">
      <c r="J1152" s="140"/>
    </row>
    <row r="1153" spans="10:10" x14ac:dyDescent="0.4">
      <c r="J1153" s="140"/>
    </row>
    <row r="1154" spans="10:10" x14ac:dyDescent="0.4">
      <c r="J1154" s="140"/>
    </row>
    <row r="1155" spans="10:10" x14ac:dyDescent="0.4">
      <c r="J1155" s="140"/>
    </row>
    <row r="1156" spans="10:10" x14ac:dyDescent="0.4">
      <c r="J1156" s="140"/>
    </row>
    <row r="1157" spans="10:10" x14ac:dyDescent="0.4">
      <c r="J1157" s="140"/>
    </row>
    <row r="1158" spans="10:10" x14ac:dyDescent="0.4">
      <c r="J1158" s="140"/>
    </row>
    <row r="1159" spans="10:10" x14ac:dyDescent="0.4">
      <c r="J1159" s="140"/>
    </row>
    <row r="1160" spans="10:10" x14ac:dyDescent="0.4">
      <c r="J1160" s="140"/>
    </row>
    <row r="1161" spans="10:10" x14ac:dyDescent="0.4">
      <c r="J1161" s="140"/>
    </row>
    <row r="1162" spans="10:10" x14ac:dyDescent="0.4">
      <c r="J1162" s="140"/>
    </row>
    <row r="1163" spans="10:10" x14ac:dyDescent="0.4">
      <c r="J1163" s="140"/>
    </row>
    <row r="1164" spans="10:10" x14ac:dyDescent="0.4">
      <c r="J1164" s="140"/>
    </row>
    <row r="1165" spans="10:10" x14ac:dyDescent="0.4">
      <c r="J1165" s="140"/>
    </row>
    <row r="1166" spans="10:10" x14ac:dyDescent="0.4">
      <c r="J1166" s="140"/>
    </row>
    <row r="1167" spans="10:10" x14ac:dyDescent="0.4">
      <c r="J1167" s="140"/>
    </row>
    <row r="1168" spans="10:10" x14ac:dyDescent="0.4">
      <c r="J1168" s="140"/>
    </row>
    <row r="1169" spans="10:10" x14ac:dyDescent="0.4">
      <c r="J1169" s="140"/>
    </row>
    <row r="1170" spans="10:10" x14ac:dyDescent="0.4">
      <c r="J1170" s="140"/>
    </row>
    <row r="1171" spans="10:10" x14ac:dyDescent="0.4">
      <c r="J1171" s="140"/>
    </row>
    <row r="1172" spans="10:10" x14ac:dyDescent="0.4">
      <c r="J1172" s="140"/>
    </row>
    <row r="1173" spans="10:10" x14ac:dyDescent="0.4">
      <c r="J1173" s="140"/>
    </row>
    <row r="1174" spans="10:10" x14ac:dyDescent="0.4">
      <c r="J1174" s="140"/>
    </row>
    <row r="1175" spans="10:10" x14ac:dyDescent="0.4">
      <c r="J1175" s="140"/>
    </row>
    <row r="1176" spans="10:10" x14ac:dyDescent="0.4">
      <c r="J1176" s="140"/>
    </row>
    <row r="1177" spans="10:10" x14ac:dyDescent="0.4">
      <c r="J1177" s="140"/>
    </row>
    <row r="1178" spans="10:10" x14ac:dyDescent="0.4">
      <c r="J1178" s="140"/>
    </row>
    <row r="1179" spans="10:10" x14ac:dyDescent="0.4">
      <c r="J1179" s="140"/>
    </row>
    <row r="1180" spans="10:10" x14ac:dyDescent="0.4">
      <c r="J1180" s="140"/>
    </row>
    <row r="1181" spans="10:10" x14ac:dyDescent="0.4">
      <c r="J1181" s="140"/>
    </row>
    <row r="1182" spans="10:10" x14ac:dyDescent="0.4">
      <c r="J1182" s="140"/>
    </row>
    <row r="1183" spans="10:10" x14ac:dyDescent="0.4">
      <c r="J1183" s="140"/>
    </row>
    <row r="1184" spans="10:10" x14ac:dyDescent="0.4">
      <c r="J1184" s="140"/>
    </row>
    <row r="1185" spans="10:10" x14ac:dyDescent="0.4">
      <c r="J1185" s="140"/>
    </row>
    <row r="1186" spans="10:10" x14ac:dyDescent="0.4">
      <c r="J1186" s="140"/>
    </row>
    <row r="1187" spans="10:10" x14ac:dyDescent="0.4">
      <c r="J1187" s="140"/>
    </row>
    <row r="1188" spans="10:10" x14ac:dyDescent="0.4">
      <c r="J1188" s="140"/>
    </row>
    <row r="1189" spans="10:10" x14ac:dyDescent="0.4">
      <c r="J1189" s="140"/>
    </row>
    <row r="1190" spans="10:10" x14ac:dyDescent="0.4">
      <c r="J1190" s="140"/>
    </row>
    <row r="1191" spans="10:10" x14ac:dyDescent="0.4">
      <c r="J1191" s="140"/>
    </row>
    <row r="1192" spans="10:10" x14ac:dyDescent="0.4">
      <c r="J1192" s="140"/>
    </row>
    <row r="1193" spans="10:10" x14ac:dyDescent="0.4">
      <c r="J1193" s="140"/>
    </row>
    <row r="1194" spans="10:10" x14ac:dyDescent="0.4">
      <c r="J1194" s="140"/>
    </row>
    <row r="1195" spans="10:10" x14ac:dyDescent="0.4">
      <c r="J1195" s="140"/>
    </row>
    <row r="1196" spans="10:10" x14ac:dyDescent="0.4">
      <c r="J1196" s="140"/>
    </row>
    <row r="1197" spans="10:10" x14ac:dyDescent="0.4">
      <c r="J1197" s="140"/>
    </row>
    <row r="1198" spans="10:10" x14ac:dyDescent="0.4">
      <c r="J1198" s="140"/>
    </row>
    <row r="1199" spans="10:10" x14ac:dyDescent="0.4">
      <c r="J1199" s="140"/>
    </row>
    <row r="1200" spans="10:10" x14ac:dyDescent="0.4">
      <c r="J1200" s="140"/>
    </row>
    <row r="1201" spans="10:10" x14ac:dyDescent="0.4">
      <c r="J1201" s="140"/>
    </row>
    <row r="1202" spans="10:10" x14ac:dyDescent="0.4">
      <c r="J1202" s="140"/>
    </row>
    <row r="1203" spans="10:10" x14ac:dyDescent="0.4">
      <c r="J1203" s="140"/>
    </row>
    <row r="1204" spans="10:10" x14ac:dyDescent="0.4">
      <c r="J1204" s="140"/>
    </row>
    <row r="1205" spans="10:10" x14ac:dyDescent="0.4">
      <c r="J1205" s="140"/>
    </row>
    <row r="1206" spans="10:10" x14ac:dyDescent="0.4">
      <c r="J1206" s="140"/>
    </row>
    <row r="1207" spans="10:10" x14ac:dyDescent="0.4">
      <c r="J1207" s="140"/>
    </row>
    <row r="1208" spans="10:10" x14ac:dyDescent="0.4">
      <c r="J1208" s="140"/>
    </row>
    <row r="1209" spans="10:10" x14ac:dyDescent="0.4">
      <c r="J1209" s="140"/>
    </row>
    <row r="1210" spans="10:10" x14ac:dyDescent="0.4">
      <c r="J1210" s="140"/>
    </row>
    <row r="1211" spans="10:10" x14ac:dyDescent="0.4">
      <c r="J1211" s="140"/>
    </row>
    <row r="1212" spans="10:10" x14ac:dyDescent="0.4">
      <c r="J1212" s="140"/>
    </row>
    <row r="1213" spans="10:10" x14ac:dyDescent="0.4">
      <c r="J1213" s="140"/>
    </row>
    <row r="1214" spans="10:10" x14ac:dyDescent="0.4">
      <c r="J1214" s="140"/>
    </row>
    <row r="1215" spans="10:10" x14ac:dyDescent="0.4">
      <c r="J1215" s="140"/>
    </row>
    <row r="1216" spans="10:10" x14ac:dyDescent="0.4">
      <c r="J1216" s="140"/>
    </row>
    <row r="1217" spans="10:10" x14ac:dyDescent="0.4">
      <c r="J1217" s="140"/>
    </row>
    <row r="1218" spans="10:10" x14ac:dyDescent="0.4">
      <c r="J1218" s="140"/>
    </row>
    <row r="1219" spans="10:10" x14ac:dyDescent="0.4">
      <c r="J1219" s="140"/>
    </row>
    <row r="1220" spans="10:10" x14ac:dyDescent="0.4">
      <c r="J1220" s="140"/>
    </row>
    <row r="1221" spans="10:10" x14ac:dyDescent="0.4">
      <c r="J1221" s="140"/>
    </row>
    <row r="1222" spans="10:10" x14ac:dyDescent="0.4">
      <c r="J1222" s="140"/>
    </row>
    <row r="1223" spans="10:10" x14ac:dyDescent="0.4">
      <c r="J1223" s="140"/>
    </row>
    <row r="1224" spans="10:10" x14ac:dyDescent="0.4">
      <c r="J1224" s="140"/>
    </row>
    <row r="1225" spans="10:10" x14ac:dyDescent="0.4">
      <c r="J1225" s="140"/>
    </row>
    <row r="1226" spans="10:10" x14ac:dyDescent="0.4">
      <c r="J1226" s="140"/>
    </row>
    <row r="1227" spans="10:10" x14ac:dyDescent="0.4">
      <c r="J1227" s="140"/>
    </row>
    <row r="1228" spans="10:10" x14ac:dyDescent="0.4">
      <c r="J1228" s="140"/>
    </row>
    <row r="1229" spans="10:10" x14ac:dyDescent="0.4">
      <c r="J1229" s="140"/>
    </row>
    <row r="1230" spans="10:10" x14ac:dyDescent="0.4">
      <c r="J1230" s="140"/>
    </row>
    <row r="1231" spans="10:10" x14ac:dyDescent="0.4">
      <c r="J1231" s="140"/>
    </row>
    <row r="1232" spans="10:10" x14ac:dyDescent="0.4">
      <c r="J1232" s="140"/>
    </row>
    <row r="1233" spans="10:10" x14ac:dyDescent="0.4">
      <c r="J1233" s="140"/>
    </row>
    <row r="1234" spans="10:10" x14ac:dyDescent="0.4">
      <c r="J1234" s="140"/>
    </row>
    <row r="1235" spans="10:10" x14ac:dyDescent="0.4">
      <c r="J1235" s="140"/>
    </row>
    <row r="1236" spans="10:10" x14ac:dyDescent="0.4">
      <c r="J1236" s="140"/>
    </row>
    <row r="1237" spans="10:10" x14ac:dyDescent="0.4">
      <c r="J1237" s="140"/>
    </row>
    <row r="1238" spans="10:10" x14ac:dyDescent="0.4">
      <c r="J1238" s="140"/>
    </row>
    <row r="1239" spans="10:10" x14ac:dyDescent="0.4">
      <c r="J1239" s="140"/>
    </row>
    <row r="1240" spans="10:10" x14ac:dyDescent="0.4">
      <c r="J1240" s="140"/>
    </row>
    <row r="1241" spans="10:10" x14ac:dyDescent="0.4">
      <c r="J1241" s="140"/>
    </row>
    <row r="1242" spans="10:10" x14ac:dyDescent="0.4">
      <c r="J1242" s="140"/>
    </row>
    <row r="1243" spans="10:10" x14ac:dyDescent="0.4">
      <c r="J1243" s="140"/>
    </row>
    <row r="1244" spans="10:10" x14ac:dyDescent="0.4">
      <c r="J1244" s="140"/>
    </row>
    <row r="1245" spans="10:10" x14ac:dyDescent="0.4">
      <c r="J1245" s="140"/>
    </row>
    <row r="1246" spans="10:10" x14ac:dyDescent="0.4">
      <c r="J1246" s="140"/>
    </row>
    <row r="1247" spans="10:10" x14ac:dyDescent="0.4">
      <c r="J1247" s="140"/>
    </row>
    <row r="1248" spans="10:10" x14ac:dyDescent="0.4">
      <c r="J1248" s="140"/>
    </row>
    <row r="1249" spans="10:10" x14ac:dyDescent="0.4">
      <c r="J1249" s="140"/>
    </row>
    <row r="1250" spans="10:10" x14ac:dyDescent="0.4">
      <c r="J1250" s="140"/>
    </row>
    <row r="1251" spans="10:10" x14ac:dyDescent="0.4">
      <c r="J1251" s="140"/>
    </row>
    <row r="1252" spans="10:10" x14ac:dyDescent="0.4">
      <c r="J1252" s="140"/>
    </row>
    <row r="1253" spans="10:10" x14ac:dyDescent="0.4">
      <c r="J1253" s="140"/>
    </row>
    <row r="1254" spans="10:10" x14ac:dyDescent="0.4">
      <c r="J1254" s="140"/>
    </row>
    <row r="1255" spans="10:10" x14ac:dyDescent="0.4">
      <c r="J1255" s="140"/>
    </row>
    <row r="1256" spans="10:10" x14ac:dyDescent="0.4">
      <c r="J1256" s="140"/>
    </row>
    <row r="1257" spans="10:10" x14ac:dyDescent="0.4">
      <c r="J1257" s="140"/>
    </row>
    <row r="1258" spans="10:10" x14ac:dyDescent="0.4">
      <c r="J1258" s="140"/>
    </row>
    <row r="1259" spans="10:10" x14ac:dyDescent="0.4">
      <c r="J1259" s="140"/>
    </row>
    <row r="1260" spans="10:10" x14ac:dyDescent="0.4">
      <c r="J1260" s="140"/>
    </row>
    <row r="1261" spans="10:10" x14ac:dyDescent="0.4">
      <c r="J1261" s="140"/>
    </row>
    <row r="1262" spans="10:10" x14ac:dyDescent="0.4">
      <c r="J1262" s="140"/>
    </row>
    <row r="1263" spans="10:10" x14ac:dyDescent="0.4">
      <c r="J1263" s="140"/>
    </row>
    <row r="1264" spans="10:10" x14ac:dyDescent="0.4">
      <c r="J1264" s="140"/>
    </row>
    <row r="1265" spans="10:10" x14ac:dyDescent="0.4">
      <c r="J1265" s="140"/>
    </row>
    <row r="1266" spans="10:10" x14ac:dyDescent="0.4">
      <c r="J1266" s="140"/>
    </row>
    <row r="1267" spans="10:10" x14ac:dyDescent="0.4">
      <c r="J1267" s="140"/>
    </row>
    <row r="1268" spans="10:10" x14ac:dyDescent="0.4">
      <c r="J1268" s="140"/>
    </row>
    <row r="1269" spans="10:10" x14ac:dyDescent="0.4">
      <c r="J1269" s="140"/>
    </row>
    <row r="1270" spans="10:10" x14ac:dyDescent="0.4">
      <c r="J1270" s="140"/>
    </row>
    <row r="1271" spans="10:10" x14ac:dyDescent="0.4">
      <c r="J1271" s="140"/>
    </row>
    <row r="1272" spans="10:10" x14ac:dyDescent="0.4">
      <c r="J1272" s="140"/>
    </row>
    <row r="1273" spans="10:10" x14ac:dyDescent="0.4">
      <c r="J1273" s="140"/>
    </row>
    <row r="1274" spans="10:10" x14ac:dyDescent="0.4">
      <c r="J1274" s="140"/>
    </row>
    <row r="1275" spans="10:10" x14ac:dyDescent="0.4">
      <c r="J1275" s="140"/>
    </row>
    <row r="1276" spans="10:10" x14ac:dyDescent="0.4">
      <c r="J1276" s="140"/>
    </row>
    <row r="1277" spans="10:10" x14ac:dyDescent="0.4">
      <c r="J1277" s="140"/>
    </row>
    <row r="1278" spans="10:10" x14ac:dyDescent="0.4">
      <c r="J1278" s="140"/>
    </row>
    <row r="1279" spans="10:10" x14ac:dyDescent="0.4">
      <c r="J1279" s="140"/>
    </row>
    <row r="1280" spans="10:10" x14ac:dyDescent="0.4">
      <c r="J1280" s="140"/>
    </row>
    <row r="1281" spans="10:10" x14ac:dyDescent="0.4">
      <c r="J1281" s="140"/>
    </row>
    <row r="1282" spans="10:10" x14ac:dyDescent="0.4">
      <c r="J1282" s="140"/>
    </row>
    <row r="1283" spans="10:10" x14ac:dyDescent="0.4">
      <c r="J1283" s="140"/>
    </row>
    <row r="1284" spans="10:10" x14ac:dyDescent="0.4">
      <c r="J1284" s="140"/>
    </row>
    <row r="1285" spans="10:10" x14ac:dyDescent="0.4">
      <c r="J1285" s="140"/>
    </row>
    <row r="1286" spans="10:10" x14ac:dyDescent="0.4">
      <c r="J1286" s="140"/>
    </row>
    <row r="1287" spans="10:10" x14ac:dyDescent="0.4">
      <c r="J1287" s="140"/>
    </row>
    <row r="1288" spans="10:10" x14ac:dyDescent="0.4">
      <c r="J1288" s="140"/>
    </row>
    <row r="1289" spans="10:10" x14ac:dyDescent="0.4">
      <c r="J1289" s="140"/>
    </row>
    <row r="1290" spans="10:10" x14ac:dyDescent="0.4">
      <c r="J1290" s="140"/>
    </row>
    <row r="1291" spans="10:10" x14ac:dyDescent="0.4">
      <c r="J1291" s="140"/>
    </row>
    <row r="1292" spans="10:10" x14ac:dyDescent="0.4">
      <c r="J1292" s="140"/>
    </row>
    <row r="1293" spans="10:10" x14ac:dyDescent="0.4">
      <c r="J1293" s="140"/>
    </row>
    <row r="1294" spans="10:10" x14ac:dyDescent="0.4">
      <c r="J1294" s="140"/>
    </row>
    <row r="1295" spans="10:10" x14ac:dyDescent="0.4">
      <c r="J1295" s="140"/>
    </row>
    <row r="1296" spans="10:10" x14ac:dyDescent="0.4">
      <c r="J1296" s="140"/>
    </row>
    <row r="1297" spans="10:10" x14ac:dyDescent="0.4">
      <c r="J1297" s="140"/>
    </row>
    <row r="1298" spans="10:10" x14ac:dyDescent="0.4">
      <c r="J1298" s="140"/>
    </row>
    <row r="1299" spans="10:10" x14ac:dyDescent="0.4">
      <c r="J1299" s="140"/>
    </row>
    <row r="1300" spans="10:10" x14ac:dyDescent="0.4">
      <c r="J1300" s="140"/>
    </row>
    <row r="1301" spans="10:10" x14ac:dyDescent="0.4">
      <c r="J1301" s="140"/>
    </row>
    <row r="1302" spans="10:10" x14ac:dyDescent="0.4">
      <c r="J1302" s="140"/>
    </row>
    <row r="1303" spans="10:10" x14ac:dyDescent="0.4">
      <c r="J1303" s="140"/>
    </row>
    <row r="1304" spans="10:10" x14ac:dyDescent="0.4">
      <c r="J1304" s="140"/>
    </row>
    <row r="1305" spans="10:10" x14ac:dyDescent="0.4">
      <c r="J1305" s="140"/>
    </row>
    <row r="1306" spans="10:10" x14ac:dyDescent="0.4">
      <c r="J1306" s="140"/>
    </row>
    <row r="1307" spans="10:10" x14ac:dyDescent="0.4">
      <c r="J1307" s="140"/>
    </row>
    <row r="1308" spans="10:10" x14ac:dyDescent="0.4">
      <c r="J1308" s="140"/>
    </row>
    <row r="1309" spans="10:10" x14ac:dyDescent="0.4">
      <c r="J1309" s="140"/>
    </row>
    <row r="1310" spans="10:10" x14ac:dyDescent="0.4">
      <c r="J1310" s="140"/>
    </row>
    <row r="1311" spans="10:10" x14ac:dyDescent="0.4">
      <c r="J1311" s="140"/>
    </row>
    <row r="1312" spans="10:10" x14ac:dyDescent="0.4">
      <c r="J1312" s="140"/>
    </row>
    <row r="1313" spans="10:10" x14ac:dyDescent="0.4">
      <c r="J1313" s="140"/>
    </row>
    <row r="1314" spans="10:10" x14ac:dyDescent="0.4">
      <c r="J1314" s="140"/>
    </row>
    <row r="1315" spans="10:10" x14ac:dyDescent="0.4">
      <c r="J1315" s="140"/>
    </row>
    <row r="1316" spans="10:10" x14ac:dyDescent="0.4">
      <c r="J1316" s="140"/>
    </row>
    <row r="1317" spans="10:10" x14ac:dyDescent="0.4">
      <c r="J1317" s="140"/>
    </row>
    <row r="1318" spans="10:10" x14ac:dyDescent="0.4">
      <c r="J1318" s="140"/>
    </row>
    <row r="1319" spans="10:10" x14ac:dyDescent="0.4">
      <c r="J1319" s="140"/>
    </row>
    <row r="1320" spans="10:10" x14ac:dyDescent="0.4">
      <c r="J1320" s="140"/>
    </row>
    <row r="1321" spans="10:10" x14ac:dyDescent="0.4">
      <c r="J1321" s="140"/>
    </row>
    <row r="1322" spans="10:10" x14ac:dyDescent="0.4">
      <c r="J1322" s="140"/>
    </row>
    <row r="1323" spans="10:10" x14ac:dyDescent="0.4">
      <c r="J1323" s="140"/>
    </row>
    <row r="1324" spans="10:10" x14ac:dyDescent="0.4">
      <c r="J1324" s="140"/>
    </row>
    <row r="1325" spans="10:10" x14ac:dyDescent="0.4">
      <c r="J1325" s="140"/>
    </row>
    <row r="1326" spans="10:10" x14ac:dyDescent="0.4">
      <c r="J1326" s="140"/>
    </row>
    <row r="1327" spans="10:10" x14ac:dyDescent="0.4">
      <c r="J1327" s="140"/>
    </row>
    <row r="1328" spans="10:10" x14ac:dyDescent="0.4">
      <c r="J1328" s="140"/>
    </row>
    <row r="1329" spans="10:10" x14ac:dyDescent="0.4">
      <c r="J1329" s="140"/>
    </row>
    <row r="1330" spans="10:10" x14ac:dyDescent="0.4">
      <c r="J1330" s="140"/>
    </row>
    <row r="1331" spans="10:10" x14ac:dyDescent="0.4">
      <c r="J1331" s="140"/>
    </row>
    <row r="1332" spans="10:10" x14ac:dyDescent="0.4">
      <c r="J1332" s="140"/>
    </row>
    <row r="1333" spans="10:10" x14ac:dyDescent="0.4">
      <c r="J1333" s="140"/>
    </row>
    <row r="1334" spans="10:10" x14ac:dyDescent="0.4">
      <c r="J1334" s="140"/>
    </row>
    <row r="1335" spans="10:10" x14ac:dyDescent="0.4">
      <c r="J1335" s="140"/>
    </row>
    <row r="1336" spans="10:10" x14ac:dyDescent="0.4">
      <c r="J1336" s="140"/>
    </row>
    <row r="1337" spans="10:10" x14ac:dyDescent="0.4">
      <c r="J1337" s="140"/>
    </row>
    <row r="1338" spans="10:10" x14ac:dyDescent="0.4">
      <c r="J1338" s="140"/>
    </row>
    <row r="1339" spans="10:10" x14ac:dyDescent="0.4">
      <c r="J1339" s="140"/>
    </row>
    <row r="1340" spans="10:10" x14ac:dyDescent="0.4">
      <c r="J1340" s="140"/>
    </row>
    <row r="1341" spans="10:10" x14ac:dyDescent="0.4">
      <c r="J1341" s="140"/>
    </row>
    <row r="1342" spans="10:10" x14ac:dyDescent="0.4">
      <c r="J1342" s="140"/>
    </row>
    <row r="1343" spans="10:10" x14ac:dyDescent="0.4">
      <c r="J1343" s="140"/>
    </row>
    <row r="1344" spans="10:10" x14ac:dyDescent="0.4">
      <c r="J1344" s="140"/>
    </row>
    <row r="1345" spans="10:10" x14ac:dyDescent="0.4">
      <c r="J1345" s="140"/>
    </row>
    <row r="1346" spans="10:10" x14ac:dyDescent="0.4">
      <c r="J1346" s="140"/>
    </row>
    <row r="1347" spans="10:10" x14ac:dyDescent="0.4">
      <c r="J1347" s="140"/>
    </row>
    <row r="1348" spans="10:10" x14ac:dyDescent="0.4">
      <c r="J1348" s="140"/>
    </row>
    <row r="1349" spans="10:10" x14ac:dyDescent="0.4">
      <c r="J1349" s="140"/>
    </row>
    <row r="1350" spans="10:10" x14ac:dyDescent="0.4">
      <c r="J1350" s="140"/>
    </row>
    <row r="1351" spans="10:10" x14ac:dyDescent="0.4">
      <c r="J1351" s="140"/>
    </row>
    <row r="1352" spans="10:10" x14ac:dyDescent="0.4">
      <c r="J1352" s="140"/>
    </row>
    <row r="1353" spans="10:10" x14ac:dyDescent="0.4">
      <c r="J1353" s="140"/>
    </row>
    <row r="1354" spans="10:10" x14ac:dyDescent="0.4">
      <c r="J1354" s="140"/>
    </row>
    <row r="1355" spans="10:10" x14ac:dyDescent="0.4">
      <c r="J1355" s="140"/>
    </row>
    <row r="1356" spans="10:10" x14ac:dyDescent="0.4">
      <c r="J1356" s="140"/>
    </row>
    <row r="1357" spans="10:10" x14ac:dyDescent="0.4">
      <c r="J1357" s="140"/>
    </row>
    <row r="1358" spans="10:10" x14ac:dyDescent="0.4">
      <c r="J1358" s="140"/>
    </row>
    <row r="1359" spans="10:10" x14ac:dyDescent="0.4">
      <c r="J1359" s="140"/>
    </row>
    <row r="1360" spans="10:10" x14ac:dyDescent="0.4">
      <c r="J1360" s="140"/>
    </row>
    <row r="1361" spans="10:10" x14ac:dyDescent="0.4">
      <c r="J1361" s="140"/>
    </row>
    <row r="1362" spans="10:10" x14ac:dyDescent="0.4">
      <c r="J1362" s="140"/>
    </row>
    <row r="1363" spans="10:10" x14ac:dyDescent="0.4">
      <c r="J1363" s="140"/>
    </row>
    <row r="1364" spans="10:10" x14ac:dyDescent="0.4">
      <c r="J1364" s="140"/>
    </row>
    <row r="1365" spans="10:10" x14ac:dyDescent="0.4">
      <c r="J1365" s="140"/>
    </row>
    <row r="1366" spans="10:10" x14ac:dyDescent="0.4">
      <c r="J1366" s="140"/>
    </row>
    <row r="1367" spans="10:10" x14ac:dyDescent="0.4">
      <c r="J1367" s="140"/>
    </row>
    <row r="1368" spans="10:10" x14ac:dyDescent="0.4">
      <c r="J1368" s="140"/>
    </row>
    <row r="1369" spans="10:10" x14ac:dyDescent="0.4">
      <c r="J1369" s="140"/>
    </row>
    <row r="1370" spans="10:10" x14ac:dyDescent="0.4">
      <c r="J1370" s="140"/>
    </row>
    <row r="1371" spans="10:10" x14ac:dyDescent="0.4">
      <c r="J1371" s="140"/>
    </row>
    <row r="1372" spans="10:10" x14ac:dyDescent="0.4">
      <c r="J1372" s="140"/>
    </row>
    <row r="1373" spans="10:10" x14ac:dyDescent="0.4">
      <c r="J1373" s="140"/>
    </row>
    <row r="1374" spans="10:10" x14ac:dyDescent="0.4">
      <c r="J1374" s="140"/>
    </row>
    <row r="1375" spans="10:10" x14ac:dyDescent="0.4">
      <c r="J1375" s="140"/>
    </row>
    <row r="1376" spans="10:10" x14ac:dyDescent="0.4">
      <c r="J1376" s="140"/>
    </row>
    <row r="1377" spans="10:10" x14ac:dyDescent="0.4">
      <c r="J1377" s="140"/>
    </row>
    <row r="1378" spans="10:10" x14ac:dyDescent="0.4">
      <c r="J1378" s="140"/>
    </row>
    <row r="1379" spans="10:10" x14ac:dyDescent="0.4">
      <c r="J1379" s="140"/>
    </row>
    <row r="1380" spans="10:10" x14ac:dyDescent="0.4">
      <c r="J1380" s="140"/>
    </row>
    <row r="1381" spans="10:10" x14ac:dyDescent="0.4">
      <c r="J1381" s="140"/>
    </row>
    <row r="1382" spans="10:10" x14ac:dyDescent="0.4">
      <c r="J1382" s="140"/>
    </row>
    <row r="1383" spans="10:10" x14ac:dyDescent="0.4">
      <c r="J1383" s="140"/>
    </row>
    <row r="1384" spans="10:10" x14ac:dyDescent="0.4">
      <c r="J1384" s="140"/>
    </row>
    <row r="1385" spans="10:10" x14ac:dyDescent="0.4">
      <c r="J1385" s="140"/>
    </row>
    <row r="1386" spans="10:10" x14ac:dyDescent="0.4">
      <c r="J1386" s="140"/>
    </row>
    <row r="1387" spans="10:10" x14ac:dyDescent="0.4">
      <c r="J1387" s="140"/>
    </row>
    <row r="1388" spans="10:10" x14ac:dyDescent="0.4">
      <c r="J1388" s="140"/>
    </row>
    <row r="1389" spans="10:10" x14ac:dyDescent="0.4">
      <c r="J1389" s="140"/>
    </row>
    <row r="1390" spans="10:10" x14ac:dyDescent="0.4">
      <c r="J1390" s="140"/>
    </row>
    <row r="1391" spans="10:10" x14ac:dyDescent="0.4">
      <c r="J1391" s="140"/>
    </row>
    <row r="1392" spans="10:10" x14ac:dyDescent="0.4">
      <c r="J1392" s="140"/>
    </row>
    <row r="1393" spans="10:10" x14ac:dyDescent="0.4">
      <c r="J1393" s="140"/>
    </row>
    <row r="1394" spans="10:10" x14ac:dyDescent="0.4">
      <c r="J1394" s="140"/>
    </row>
    <row r="1395" spans="10:10" x14ac:dyDescent="0.4">
      <c r="J1395" s="140"/>
    </row>
    <row r="1396" spans="10:10" x14ac:dyDescent="0.4">
      <c r="J1396" s="140"/>
    </row>
    <row r="1397" spans="10:10" x14ac:dyDescent="0.4">
      <c r="J1397" s="140"/>
    </row>
    <row r="1398" spans="10:10" x14ac:dyDescent="0.4">
      <c r="J1398" s="140"/>
    </row>
    <row r="1399" spans="10:10" x14ac:dyDescent="0.4">
      <c r="J1399" s="140"/>
    </row>
    <row r="1400" spans="10:10" x14ac:dyDescent="0.4">
      <c r="J1400" s="140"/>
    </row>
    <row r="1401" spans="10:10" x14ac:dyDescent="0.4">
      <c r="J1401" s="140"/>
    </row>
    <row r="1402" spans="10:10" x14ac:dyDescent="0.4">
      <c r="J1402" s="140"/>
    </row>
    <row r="1403" spans="10:10" x14ac:dyDescent="0.4">
      <c r="J1403" s="140"/>
    </row>
    <row r="1404" spans="10:10" x14ac:dyDescent="0.4">
      <c r="J1404" s="140"/>
    </row>
    <row r="1405" spans="10:10" x14ac:dyDescent="0.4">
      <c r="J1405" s="140"/>
    </row>
    <row r="1406" spans="10:10" x14ac:dyDescent="0.4">
      <c r="J1406" s="140"/>
    </row>
    <row r="1407" spans="10:10" x14ac:dyDescent="0.4">
      <c r="J1407" s="140"/>
    </row>
    <row r="1408" spans="10:10" x14ac:dyDescent="0.4">
      <c r="J1408" s="140"/>
    </row>
    <row r="1409" spans="10:10" x14ac:dyDescent="0.4">
      <c r="J1409" s="140"/>
    </row>
    <row r="1410" spans="10:10" x14ac:dyDescent="0.4">
      <c r="J1410" s="140"/>
    </row>
    <row r="1411" spans="10:10" x14ac:dyDescent="0.4">
      <c r="J1411" s="140"/>
    </row>
    <row r="1412" spans="10:10" x14ac:dyDescent="0.4">
      <c r="J1412" s="140"/>
    </row>
    <row r="1413" spans="10:10" x14ac:dyDescent="0.4">
      <c r="J1413" s="140"/>
    </row>
    <row r="1414" spans="10:10" x14ac:dyDescent="0.4">
      <c r="J1414" s="140"/>
    </row>
    <row r="1415" spans="10:10" x14ac:dyDescent="0.4">
      <c r="J1415" s="140"/>
    </row>
    <row r="1416" spans="10:10" x14ac:dyDescent="0.4">
      <c r="J1416" s="140"/>
    </row>
    <row r="1417" spans="10:10" x14ac:dyDescent="0.4">
      <c r="J1417" s="140"/>
    </row>
    <row r="1418" spans="10:10" x14ac:dyDescent="0.4">
      <c r="J1418" s="140"/>
    </row>
    <row r="1419" spans="10:10" x14ac:dyDescent="0.4">
      <c r="J1419" s="140"/>
    </row>
    <row r="1420" spans="10:10" x14ac:dyDescent="0.4">
      <c r="J1420" s="140"/>
    </row>
    <row r="1421" spans="10:10" x14ac:dyDescent="0.4">
      <c r="J1421" s="140"/>
    </row>
    <row r="1422" spans="10:10" x14ac:dyDescent="0.4">
      <c r="J1422" s="140"/>
    </row>
    <row r="1423" spans="10:10" x14ac:dyDescent="0.4">
      <c r="J1423" s="140"/>
    </row>
    <row r="1424" spans="10:10" x14ac:dyDescent="0.4">
      <c r="J1424" s="140"/>
    </row>
    <row r="1425" spans="10:10" x14ac:dyDescent="0.4">
      <c r="J1425" s="140"/>
    </row>
    <row r="1426" spans="10:10" x14ac:dyDescent="0.4">
      <c r="J1426" s="140"/>
    </row>
    <row r="1427" spans="10:10" x14ac:dyDescent="0.4">
      <c r="J1427" s="140"/>
    </row>
    <row r="1428" spans="10:10" x14ac:dyDescent="0.4">
      <c r="J1428" s="140"/>
    </row>
    <row r="1429" spans="10:10" x14ac:dyDescent="0.4">
      <c r="J1429" s="140"/>
    </row>
    <row r="1430" spans="10:10" x14ac:dyDescent="0.4">
      <c r="J1430" s="140"/>
    </row>
    <row r="1431" spans="10:10" x14ac:dyDescent="0.4">
      <c r="J1431" s="140"/>
    </row>
    <row r="1432" spans="10:10" x14ac:dyDescent="0.4">
      <c r="J1432" s="140"/>
    </row>
    <row r="1433" spans="10:10" x14ac:dyDescent="0.4">
      <c r="J1433" s="140"/>
    </row>
    <row r="1434" spans="10:10" x14ac:dyDescent="0.4">
      <c r="J1434" s="140"/>
    </row>
    <row r="1435" spans="10:10" x14ac:dyDescent="0.4">
      <c r="J1435" s="140"/>
    </row>
    <row r="1436" spans="10:10" x14ac:dyDescent="0.4">
      <c r="J1436" s="140"/>
    </row>
    <row r="1437" spans="10:10" x14ac:dyDescent="0.4">
      <c r="J1437" s="140"/>
    </row>
    <row r="1438" spans="10:10" x14ac:dyDescent="0.4">
      <c r="J1438" s="140"/>
    </row>
    <row r="1439" spans="10:10" x14ac:dyDescent="0.4">
      <c r="J1439" s="140"/>
    </row>
    <row r="1440" spans="10:10" x14ac:dyDescent="0.4">
      <c r="J1440" s="140"/>
    </row>
    <row r="1441" spans="10:10" x14ac:dyDescent="0.4">
      <c r="J1441" s="140"/>
    </row>
    <row r="1442" spans="10:10" x14ac:dyDescent="0.4">
      <c r="J1442" s="140"/>
    </row>
    <row r="1443" spans="10:10" x14ac:dyDescent="0.4">
      <c r="J1443" s="140"/>
    </row>
    <row r="1444" spans="10:10" x14ac:dyDescent="0.4">
      <c r="J1444" s="140"/>
    </row>
    <row r="1445" spans="10:10" x14ac:dyDescent="0.4">
      <c r="J1445" s="140"/>
    </row>
    <row r="1446" spans="10:10" x14ac:dyDescent="0.4">
      <c r="J1446" s="140"/>
    </row>
    <row r="1447" spans="10:10" x14ac:dyDescent="0.4">
      <c r="J1447" s="140"/>
    </row>
    <row r="1448" spans="10:10" x14ac:dyDescent="0.4">
      <c r="J1448" s="140"/>
    </row>
    <row r="1449" spans="10:10" x14ac:dyDescent="0.4">
      <c r="J1449" s="140"/>
    </row>
    <row r="1450" spans="10:10" x14ac:dyDescent="0.4">
      <c r="J1450" s="140"/>
    </row>
    <row r="1451" spans="10:10" x14ac:dyDescent="0.4">
      <c r="J1451" s="140"/>
    </row>
    <row r="1452" spans="10:10" x14ac:dyDescent="0.4">
      <c r="J1452" s="140"/>
    </row>
    <row r="1453" spans="10:10" x14ac:dyDescent="0.4">
      <c r="J1453" s="140"/>
    </row>
    <row r="1454" spans="10:10" x14ac:dyDescent="0.4">
      <c r="J1454" s="140"/>
    </row>
    <row r="1455" spans="10:10" x14ac:dyDescent="0.4">
      <c r="J1455" s="140"/>
    </row>
    <row r="1456" spans="10:10" x14ac:dyDescent="0.4">
      <c r="J1456" s="140"/>
    </row>
    <row r="1457" spans="10:10" x14ac:dyDescent="0.4">
      <c r="J1457" s="140"/>
    </row>
    <row r="1458" spans="10:10" x14ac:dyDescent="0.4">
      <c r="J1458" s="140"/>
    </row>
    <row r="1459" spans="10:10" x14ac:dyDescent="0.4">
      <c r="J1459" s="140"/>
    </row>
    <row r="1460" spans="10:10" x14ac:dyDescent="0.4">
      <c r="J1460" s="140"/>
    </row>
    <row r="1461" spans="10:10" x14ac:dyDescent="0.4">
      <c r="J1461" s="140"/>
    </row>
    <row r="1462" spans="10:10" x14ac:dyDescent="0.4">
      <c r="J1462" s="140"/>
    </row>
    <row r="1463" spans="10:10" x14ac:dyDescent="0.4">
      <c r="J1463" s="140"/>
    </row>
    <row r="1464" spans="10:10" x14ac:dyDescent="0.4">
      <c r="J1464" s="140"/>
    </row>
    <row r="1465" spans="10:10" x14ac:dyDescent="0.4">
      <c r="J1465" s="140"/>
    </row>
    <row r="1466" spans="10:10" x14ac:dyDescent="0.4">
      <c r="J1466" s="140"/>
    </row>
    <row r="1467" spans="10:10" x14ac:dyDescent="0.4">
      <c r="J1467" s="140"/>
    </row>
    <row r="1468" spans="10:10" x14ac:dyDescent="0.4">
      <c r="J1468" s="140"/>
    </row>
    <row r="1469" spans="10:10" x14ac:dyDescent="0.4">
      <c r="J1469" s="140"/>
    </row>
    <row r="1470" spans="10:10" x14ac:dyDescent="0.4">
      <c r="J1470" s="140"/>
    </row>
    <row r="1471" spans="10:10" x14ac:dyDescent="0.4">
      <c r="J1471" s="140"/>
    </row>
    <row r="1472" spans="10:10" x14ac:dyDescent="0.4">
      <c r="J1472" s="140"/>
    </row>
    <row r="1473" spans="10:10" x14ac:dyDescent="0.4">
      <c r="J1473" s="140"/>
    </row>
    <row r="1474" spans="10:10" x14ac:dyDescent="0.4">
      <c r="J1474" s="140"/>
    </row>
    <row r="1475" spans="10:10" x14ac:dyDescent="0.4">
      <c r="J1475" s="140"/>
    </row>
    <row r="1476" spans="10:10" x14ac:dyDescent="0.4">
      <c r="J1476" s="140"/>
    </row>
    <row r="1477" spans="10:10" x14ac:dyDescent="0.4">
      <c r="J1477" s="140"/>
    </row>
    <row r="1478" spans="10:10" x14ac:dyDescent="0.4">
      <c r="J1478" s="140"/>
    </row>
    <row r="1479" spans="10:10" x14ac:dyDescent="0.4">
      <c r="J1479" s="140"/>
    </row>
    <row r="1480" spans="10:10" x14ac:dyDescent="0.4">
      <c r="J1480" s="140"/>
    </row>
    <row r="1481" spans="10:10" x14ac:dyDescent="0.4">
      <c r="J1481" s="140"/>
    </row>
    <row r="1482" spans="10:10" x14ac:dyDescent="0.4">
      <c r="J1482" s="140"/>
    </row>
    <row r="1483" spans="10:10" x14ac:dyDescent="0.4">
      <c r="J1483" s="140"/>
    </row>
    <row r="1484" spans="10:10" x14ac:dyDescent="0.4">
      <c r="J1484" s="140"/>
    </row>
    <row r="1485" spans="10:10" x14ac:dyDescent="0.4">
      <c r="J1485" s="140"/>
    </row>
    <row r="1486" spans="10:10" x14ac:dyDescent="0.4">
      <c r="J1486" s="140"/>
    </row>
    <row r="1487" spans="10:10" x14ac:dyDescent="0.4">
      <c r="J1487" s="140"/>
    </row>
    <row r="1488" spans="10:10" x14ac:dyDescent="0.4">
      <c r="J1488" s="140"/>
    </row>
    <row r="1489" spans="10:10" x14ac:dyDescent="0.4">
      <c r="J1489" s="140"/>
    </row>
    <row r="1490" spans="10:10" x14ac:dyDescent="0.4">
      <c r="J1490" s="140"/>
    </row>
    <row r="1491" spans="10:10" x14ac:dyDescent="0.4">
      <c r="J1491" s="140"/>
    </row>
    <row r="1492" spans="10:10" x14ac:dyDescent="0.4">
      <c r="J1492" s="140"/>
    </row>
    <row r="1493" spans="10:10" x14ac:dyDescent="0.4">
      <c r="J1493" s="140"/>
    </row>
    <row r="1494" spans="10:10" x14ac:dyDescent="0.4">
      <c r="J1494" s="140"/>
    </row>
    <row r="1495" spans="10:10" x14ac:dyDescent="0.4">
      <c r="J1495" s="140"/>
    </row>
    <row r="1496" spans="10:10" x14ac:dyDescent="0.4">
      <c r="J1496" s="140"/>
    </row>
    <row r="1497" spans="10:10" x14ac:dyDescent="0.4">
      <c r="J1497" s="140"/>
    </row>
    <row r="1498" spans="10:10" x14ac:dyDescent="0.4">
      <c r="J1498" s="140"/>
    </row>
    <row r="1499" spans="10:10" x14ac:dyDescent="0.4">
      <c r="J1499" s="140"/>
    </row>
    <row r="1500" spans="10:10" x14ac:dyDescent="0.4">
      <c r="J1500" s="140"/>
    </row>
    <row r="1501" spans="10:10" x14ac:dyDescent="0.4">
      <c r="J1501" s="140"/>
    </row>
    <row r="1502" spans="10:10" x14ac:dyDescent="0.4">
      <c r="J1502" s="140"/>
    </row>
    <row r="1503" spans="10:10" x14ac:dyDescent="0.4">
      <c r="J1503" s="140"/>
    </row>
    <row r="1504" spans="10:10" x14ac:dyDescent="0.4">
      <c r="J1504" s="140"/>
    </row>
    <row r="1505" spans="10:10" x14ac:dyDescent="0.4">
      <c r="J1505" s="140"/>
    </row>
    <row r="1506" spans="10:10" x14ac:dyDescent="0.4">
      <c r="J1506" s="140"/>
    </row>
    <row r="1507" spans="10:10" x14ac:dyDescent="0.4">
      <c r="J1507" s="140"/>
    </row>
    <row r="1508" spans="10:10" x14ac:dyDescent="0.4">
      <c r="J1508" s="140"/>
    </row>
    <row r="1509" spans="10:10" x14ac:dyDescent="0.4">
      <c r="J1509" s="140"/>
    </row>
    <row r="1510" spans="10:10" x14ac:dyDescent="0.4">
      <c r="J1510" s="140"/>
    </row>
    <row r="1511" spans="10:10" x14ac:dyDescent="0.4">
      <c r="J1511" s="140"/>
    </row>
    <row r="1512" spans="10:10" x14ac:dyDescent="0.4">
      <c r="J1512" s="140"/>
    </row>
    <row r="1513" spans="10:10" x14ac:dyDescent="0.4">
      <c r="J1513" s="140"/>
    </row>
    <row r="1514" spans="10:10" x14ac:dyDescent="0.4">
      <c r="J1514" s="140"/>
    </row>
    <row r="1515" spans="10:10" x14ac:dyDescent="0.4">
      <c r="J1515" s="140"/>
    </row>
    <row r="1516" spans="10:10" x14ac:dyDescent="0.4">
      <c r="J1516" s="140"/>
    </row>
    <row r="1517" spans="10:10" x14ac:dyDescent="0.4">
      <c r="J1517" s="140"/>
    </row>
    <row r="1518" spans="10:10" x14ac:dyDescent="0.4">
      <c r="J1518" s="140"/>
    </row>
    <row r="1519" spans="10:10" x14ac:dyDescent="0.4">
      <c r="J1519" s="140"/>
    </row>
    <row r="1520" spans="10:10" x14ac:dyDescent="0.4">
      <c r="J1520" s="140"/>
    </row>
    <row r="1521" spans="10:10" x14ac:dyDescent="0.4">
      <c r="J1521" s="140"/>
    </row>
    <row r="1522" spans="10:10" x14ac:dyDescent="0.4">
      <c r="J1522" s="140"/>
    </row>
    <row r="1523" spans="10:10" x14ac:dyDescent="0.4">
      <c r="J1523" s="140"/>
    </row>
    <row r="1524" spans="10:10" x14ac:dyDescent="0.4">
      <c r="J1524" s="140"/>
    </row>
    <row r="1525" spans="10:10" x14ac:dyDescent="0.4">
      <c r="J1525" s="140"/>
    </row>
    <row r="1526" spans="10:10" x14ac:dyDescent="0.4">
      <c r="J1526" s="140"/>
    </row>
    <row r="1527" spans="10:10" x14ac:dyDescent="0.4">
      <c r="J1527" s="140"/>
    </row>
    <row r="1528" spans="10:10" x14ac:dyDescent="0.4">
      <c r="J1528" s="140"/>
    </row>
    <row r="1529" spans="10:10" x14ac:dyDescent="0.4">
      <c r="J1529" s="140"/>
    </row>
    <row r="1530" spans="10:10" x14ac:dyDescent="0.4">
      <c r="J1530" s="140"/>
    </row>
    <row r="1531" spans="10:10" x14ac:dyDescent="0.4">
      <c r="J1531" s="140"/>
    </row>
    <row r="1532" spans="10:10" x14ac:dyDescent="0.4">
      <c r="J1532" s="140"/>
    </row>
    <row r="1533" spans="10:10" x14ac:dyDescent="0.4">
      <c r="J1533" s="140"/>
    </row>
    <row r="1534" spans="10:10" x14ac:dyDescent="0.4">
      <c r="J1534" s="140"/>
    </row>
    <row r="1535" spans="10:10" x14ac:dyDescent="0.4">
      <c r="J1535" s="140"/>
    </row>
    <row r="1536" spans="10:10" x14ac:dyDescent="0.4">
      <c r="J1536" s="140"/>
    </row>
    <row r="1537" spans="10:10" x14ac:dyDescent="0.4">
      <c r="J1537" s="140"/>
    </row>
    <row r="1538" spans="10:10" x14ac:dyDescent="0.4">
      <c r="J1538" s="140"/>
    </row>
    <row r="1539" spans="10:10" x14ac:dyDescent="0.4">
      <c r="J1539" s="140"/>
    </row>
    <row r="1540" spans="10:10" x14ac:dyDescent="0.4">
      <c r="J1540" s="140"/>
    </row>
    <row r="1541" spans="10:10" x14ac:dyDescent="0.4">
      <c r="J1541" s="140"/>
    </row>
    <row r="1542" spans="10:10" x14ac:dyDescent="0.4">
      <c r="J1542" s="140"/>
    </row>
    <row r="1543" spans="10:10" x14ac:dyDescent="0.4">
      <c r="J1543" s="140"/>
    </row>
    <row r="1544" spans="10:10" x14ac:dyDescent="0.4">
      <c r="J1544" s="140"/>
    </row>
    <row r="1545" spans="10:10" x14ac:dyDescent="0.4">
      <c r="J1545" s="140"/>
    </row>
    <row r="1546" spans="10:10" x14ac:dyDescent="0.4">
      <c r="J1546" s="140"/>
    </row>
    <row r="1547" spans="10:10" x14ac:dyDescent="0.4">
      <c r="J1547" s="140"/>
    </row>
    <row r="1548" spans="10:10" x14ac:dyDescent="0.4">
      <c r="J1548" s="140"/>
    </row>
    <row r="1549" spans="10:10" x14ac:dyDescent="0.4">
      <c r="J1549" s="140"/>
    </row>
    <row r="1550" spans="10:10" x14ac:dyDescent="0.4">
      <c r="J1550" s="140"/>
    </row>
    <row r="1551" spans="10:10" x14ac:dyDescent="0.4">
      <c r="J1551" s="140"/>
    </row>
    <row r="1552" spans="10:10" x14ac:dyDescent="0.4">
      <c r="J1552" s="140"/>
    </row>
    <row r="1553" spans="10:10" x14ac:dyDescent="0.4">
      <c r="J1553" s="140"/>
    </row>
    <row r="1554" spans="10:10" x14ac:dyDescent="0.4">
      <c r="J1554" s="140"/>
    </row>
    <row r="1555" spans="10:10" x14ac:dyDescent="0.4">
      <c r="J1555" s="140"/>
    </row>
    <row r="1556" spans="10:10" x14ac:dyDescent="0.4">
      <c r="J1556" s="140"/>
    </row>
    <row r="1557" spans="10:10" x14ac:dyDescent="0.4">
      <c r="J1557" s="140"/>
    </row>
    <row r="1558" spans="10:10" x14ac:dyDescent="0.4">
      <c r="J1558" s="140"/>
    </row>
    <row r="1559" spans="10:10" x14ac:dyDescent="0.4">
      <c r="J1559" s="140"/>
    </row>
    <row r="1560" spans="10:10" x14ac:dyDescent="0.4">
      <c r="J1560" s="140"/>
    </row>
    <row r="1561" spans="10:10" x14ac:dyDescent="0.4">
      <c r="J1561" s="140"/>
    </row>
    <row r="1562" spans="10:10" x14ac:dyDescent="0.4">
      <c r="J1562" s="140"/>
    </row>
    <row r="1563" spans="10:10" x14ac:dyDescent="0.4">
      <c r="J1563" s="140"/>
    </row>
    <row r="1564" spans="10:10" x14ac:dyDescent="0.4">
      <c r="J1564" s="140"/>
    </row>
    <row r="1565" spans="10:10" x14ac:dyDescent="0.4">
      <c r="J1565" s="140"/>
    </row>
    <row r="1566" spans="10:10" x14ac:dyDescent="0.4">
      <c r="J1566" s="140"/>
    </row>
    <row r="1567" spans="10:10" x14ac:dyDescent="0.4">
      <c r="J1567" s="140"/>
    </row>
    <row r="1568" spans="10:10" x14ac:dyDescent="0.4">
      <c r="J1568" s="140"/>
    </row>
    <row r="1569" spans="10:10" x14ac:dyDescent="0.4">
      <c r="J1569" s="140"/>
    </row>
    <row r="1570" spans="10:10" x14ac:dyDescent="0.4">
      <c r="J1570" s="140"/>
    </row>
    <row r="1571" spans="10:10" x14ac:dyDescent="0.4">
      <c r="J1571" s="140"/>
    </row>
    <row r="1572" spans="10:10" x14ac:dyDescent="0.4">
      <c r="J1572" s="140"/>
    </row>
    <row r="1573" spans="10:10" x14ac:dyDescent="0.4">
      <c r="J1573" s="140"/>
    </row>
    <row r="1574" spans="10:10" x14ac:dyDescent="0.4">
      <c r="J1574" s="140"/>
    </row>
    <row r="1575" spans="10:10" x14ac:dyDescent="0.4">
      <c r="J1575" s="140"/>
    </row>
    <row r="1576" spans="10:10" x14ac:dyDescent="0.4">
      <c r="J1576" s="140"/>
    </row>
    <row r="1577" spans="10:10" x14ac:dyDescent="0.4">
      <c r="J1577" s="140"/>
    </row>
    <row r="1578" spans="10:10" x14ac:dyDescent="0.4">
      <c r="J1578" s="140"/>
    </row>
    <row r="1579" spans="10:10" x14ac:dyDescent="0.4">
      <c r="J1579" s="140"/>
    </row>
    <row r="1580" spans="10:10" x14ac:dyDescent="0.4">
      <c r="J1580" s="140"/>
    </row>
    <row r="1581" spans="10:10" x14ac:dyDescent="0.4">
      <c r="J1581" s="140"/>
    </row>
    <row r="1582" spans="10:10" x14ac:dyDescent="0.4">
      <c r="J1582" s="140"/>
    </row>
    <row r="1583" spans="10:10" x14ac:dyDescent="0.4">
      <c r="J1583" s="140"/>
    </row>
    <row r="1584" spans="10:10" x14ac:dyDescent="0.4">
      <c r="J1584" s="140"/>
    </row>
    <row r="1585" spans="10:10" x14ac:dyDescent="0.4">
      <c r="J1585" s="140"/>
    </row>
    <row r="1586" spans="10:10" x14ac:dyDescent="0.4">
      <c r="J1586" s="140"/>
    </row>
    <row r="1587" spans="10:10" x14ac:dyDescent="0.4">
      <c r="J1587" s="140"/>
    </row>
    <row r="1588" spans="10:10" x14ac:dyDescent="0.4">
      <c r="J1588" s="140"/>
    </row>
    <row r="1589" spans="10:10" x14ac:dyDescent="0.4">
      <c r="J1589" s="140"/>
    </row>
    <row r="1590" spans="10:10" x14ac:dyDescent="0.4">
      <c r="J1590" s="140"/>
    </row>
    <row r="1591" spans="10:10" x14ac:dyDescent="0.4">
      <c r="J1591" s="140"/>
    </row>
    <row r="1592" spans="10:10" x14ac:dyDescent="0.4">
      <c r="J1592" s="140"/>
    </row>
    <row r="1593" spans="10:10" x14ac:dyDescent="0.4">
      <c r="J1593" s="140"/>
    </row>
    <row r="1594" spans="10:10" x14ac:dyDescent="0.4">
      <c r="J1594" s="140"/>
    </row>
    <row r="1595" spans="10:10" x14ac:dyDescent="0.4">
      <c r="J1595" s="140"/>
    </row>
    <row r="1596" spans="10:10" x14ac:dyDescent="0.4">
      <c r="J1596" s="140"/>
    </row>
    <row r="1597" spans="10:10" x14ac:dyDescent="0.4">
      <c r="J1597" s="140"/>
    </row>
    <row r="1598" spans="10:10" x14ac:dyDescent="0.4">
      <c r="J1598" s="140"/>
    </row>
    <row r="1599" spans="10:10" x14ac:dyDescent="0.4">
      <c r="J1599" s="140"/>
    </row>
    <row r="1600" spans="10:10" x14ac:dyDescent="0.4">
      <c r="J1600" s="140"/>
    </row>
    <row r="1601" spans="10:10" x14ac:dyDescent="0.4">
      <c r="J1601" s="140"/>
    </row>
    <row r="1602" spans="10:10" x14ac:dyDescent="0.4">
      <c r="J1602" s="140"/>
    </row>
    <row r="1603" spans="10:10" x14ac:dyDescent="0.4">
      <c r="J1603" s="140"/>
    </row>
    <row r="1604" spans="10:10" x14ac:dyDescent="0.4">
      <c r="J1604" s="140"/>
    </row>
    <row r="1605" spans="10:10" x14ac:dyDescent="0.4">
      <c r="J1605" s="140"/>
    </row>
    <row r="1606" spans="10:10" x14ac:dyDescent="0.4">
      <c r="J1606" s="140"/>
    </row>
    <row r="1607" spans="10:10" x14ac:dyDescent="0.4">
      <c r="J1607" s="140"/>
    </row>
    <row r="1608" spans="10:10" x14ac:dyDescent="0.4">
      <c r="J1608" s="140"/>
    </row>
    <row r="1609" spans="10:10" x14ac:dyDescent="0.4">
      <c r="J1609" s="140"/>
    </row>
    <row r="1610" spans="10:10" x14ac:dyDescent="0.4">
      <c r="J1610" s="140"/>
    </row>
    <row r="1611" spans="10:10" x14ac:dyDescent="0.4">
      <c r="J1611" s="140"/>
    </row>
    <row r="1612" spans="10:10" x14ac:dyDescent="0.4">
      <c r="J1612" s="140"/>
    </row>
    <row r="1613" spans="10:10" x14ac:dyDescent="0.4">
      <c r="J1613" s="140"/>
    </row>
    <row r="1614" spans="10:10" x14ac:dyDescent="0.4">
      <c r="J1614" s="140"/>
    </row>
    <row r="1615" spans="10:10" x14ac:dyDescent="0.4">
      <c r="J1615" s="140"/>
    </row>
    <row r="1616" spans="10:10" x14ac:dyDescent="0.4">
      <c r="J1616" s="140"/>
    </row>
    <row r="1617" spans="10:10" x14ac:dyDescent="0.4">
      <c r="J1617" s="140"/>
    </row>
    <row r="1618" spans="10:10" x14ac:dyDescent="0.4">
      <c r="J1618" s="140"/>
    </row>
    <row r="1619" spans="10:10" x14ac:dyDescent="0.4">
      <c r="J1619" s="140"/>
    </row>
    <row r="1620" spans="10:10" x14ac:dyDescent="0.4">
      <c r="J1620" s="140"/>
    </row>
    <row r="1621" spans="10:10" x14ac:dyDescent="0.4">
      <c r="J1621" s="140"/>
    </row>
    <row r="1622" spans="10:10" x14ac:dyDescent="0.4">
      <c r="J1622" s="140"/>
    </row>
    <row r="1623" spans="10:10" x14ac:dyDescent="0.4">
      <c r="J1623" s="140"/>
    </row>
    <row r="1624" spans="10:10" x14ac:dyDescent="0.4">
      <c r="J1624" s="140"/>
    </row>
    <row r="1625" spans="10:10" x14ac:dyDescent="0.4">
      <c r="J1625" s="140"/>
    </row>
    <row r="1626" spans="10:10" x14ac:dyDescent="0.4">
      <c r="J1626" s="140"/>
    </row>
    <row r="1627" spans="10:10" x14ac:dyDescent="0.4">
      <c r="J1627" s="140"/>
    </row>
    <row r="1628" spans="10:10" x14ac:dyDescent="0.4">
      <c r="J1628" s="140"/>
    </row>
    <row r="1629" spans="10:10" x14ac:dyDescent="0.4">
      <c r="J1629" s="140"/>
    </row>
    <row r="1630" spans="10:10" x14ac:dyDescent="0.4">
      <c r="J1630" s="140"/>
    </row>
    <row r="1631" spans="10:10" x14ac:dyDescent="0.4">
      <c r="J1631" s="140"/>
    </row>
    <row r="1632" spans="10:10" x14ac:dyDescent="0.4">
      <c r="J1632" s="140"/>
    </row>
    <row r="1633" spans="10:10" x14ac:dyDescent="0.4">
      <c r="J1633" s="140"/>
    </row>
    <row r="1634" spans="10:10" x14ac:dyDescent="0.4">
      <c r="J1634" s="140"/>
    </row>
    <row r="1635" spans="10:10" x14ac:dyDescent="0.4">
      <c r="J1635" s="140"/>
    </row>
    <row r="1636" spans="10:10" x14ac:dyDescent="0.4">
      <c r="J1636" s="140"/>
    </row>
    <row r="1637" spans="10:10" x14ac:dyDescent="0.4">
      <c r="J1637" s="140"/>
    </row>
    <row r="1638" spans="10:10" x14ac:dyDescent="0.4">
      <c r="J1638" s="140"/>
    </row>
    <row r="1639" spans="10:10" x14ac:dyDescent="0.4">
      <c r="J1639" s="140"/>
    </row>
    <row r="1640" spans="10:10" x14ac:dyDescent="0.4">
      <c r="J1640" s="140"/>
    </row>
    <row r="1641" spans="10:10" x14ac:dyDescent="0.4">
      <c r="J1641" s="140"/>
    </row>
    <row r="1642" spans="10:10" x14ac:dyDescent="0.4">
      <c r="J1642" s="140"/>
    </row>
    <row r="1643" spans="10:10" x14ac:dyDescent="0.4">
      <c r="J1643" s="140"/>
    </row>
    <row r="1644" spans="10:10" x14ac:dyDescent="0.4">
      <c r="J1644" s="140"/>
    </row>
    <row r="1645" spans="10:10" x14ac:dyDescent="0.4">
      <c r="J1645" s="140"/>
    </row>
    <row r="1646" spans="10:10" x14ac:dyDescent="0.4">
      <c r="J1646" s="140"/>
    </row>
    <row r="1647" spans="10:10" x14ac:dyDescent="0.4">
      <c r="J1647" s="140"/>
    </row>
    <row r="1648" spans="10:10" x14ac:dyDescent="0.4">
      <c r="J1648" s="140"/>
    </row>
    <row r="1649" spans="10:10" x14ac:dyDescent="0.4">
      <c r="J1649" s="140"/>
    </row>
    <row r="1650" spans="10:10" x14ac:dyDescent="0.4">
      <c r="J1650" s="140"/>
    </row>
    <row r="1651" spans="10:10" x14ac:dyDescent="0.4">
      <c r="J1651" s="140"/>
    </row>
    <row r="1652" spans="10:10" x14ac:dyDescent="0.4">
      <c r="J1652" s="140"/>
    </row>
    <row r="1653" spans="10:10" x14ac:dyDescent="0.4">
      <c r="J1653" s="140"/>
    </row>
    <row r="1654" spans="10:10" x14ac:dyDescent="0.4">
      <c r="J1654" s="140"/>
    </row>
    <row r="1655" spans="10:10" x14ac:dyDescent="0.4">
      <c r="J1655" s="140"/>
    </row>
    <row r="1656" spans="10:10" x14ac:dyDescent="0.4">
      <c r="J1656" s="140"/>
    </row>
    <row r="1657" spans="10:10" x14ac:dyDescent="0.4">
      <c r="J1657" s="140"/>
    </row>
    <row r="1658" spans="10:10" x14ac:dyDescent="0.4">
      <c r="J1658" s="140"/>
    </row>
    <row r="1659" spans="10:10" x14ac:dyDescent="0.4">
      <c r="J1659" s="140"/>
    </row>
    <row r="1660" spans="10:10" x14ac:dyDescent="0.4">
      <c r="J1660" s="140"/>
    </row>
    <row r="1661" spans="10:10" x14ac:dyDescent="0.4">
      <c r="J1661" s="140"/>
    </row>
    <row r="1662" spans="10:10" x14ac:dyDescent="0.4">
      <c r="J1662" s="140"/>
    </row>
    <row r="1663" spans="10:10" x14ac:dyDescent="0.4">
      <c r="J1663" s="140"/>
    </row>
    <row r="1664" spans="10:10" x14ac:dyDescent="0.4">
      <c r="J1664" s="140"/>
    </row>
    <row r="1665" spans="10:10" x14ac:dyDescent="0.4">
      <c r="J1665" s="140"/>
    </row>
    <row r="1666" spans="10:10" x14ac:dyDescent="0.4">
      <c r="J1666" s="140"/>
    </row>
    <row r="1667" spans="10:10" x14ac:dyDescent="0.4">
      <c r="J1667" s="140"/>
    </row>
    <row r="1668" spans="10:10" x14ac:dyDescent="0.4">
      <c r="J1668" s="140"/>
    </row>
    <row r="1669" spans="10:10" x14ac:dyDescent="0.4">
      <c r="J1669" s="140"/>
    </row>
    <row r="1670" spans="10:10" x14ac:dyDescent="0.4">
      <c r="J1670" s="140"/>
    </row>
    <row r="1671" spans="10:10" x14ac:dyDescent="0.4">
      <c r="J1671" s="140"/>
    </row>
    <row r="1672" spans="10:10" x14ac:dyDescent="0.4">
      <c r="J1672" s="140"/>
    </row>
    <row r="1673" spans="10:10" x14ac:dyDescent="0.4">
      <c r="J1673" s="140"/>
    </row>
    <row r="1674" spans="10:10" x14ac:dyDescent="0.4">
      <c r="J1674" s="140"/>
    </row>
    <row r="1675" spans="10:10" x14ac:dyDescent="0.4">
      <c r="J1675" s="140"/>
    </row>
    <row r="1676" spans="10:10" x14ac:dyDescent="0.4">
      <c r="J1676" s="140"/>
    </row>
    <row r="1677" spans="10:10" x14ac:dyDescent="0.4">
      <c r="J1677" s="140"/>
    </row>
    <row r="1678" spans="10:10" x14ac:dyDescent="0.4">
      <c r="J1678" s="140"/>
    </row>
    <row r="1679" spans="10:10" x14ac:dyDescent="0.4">
      <c r="J1679" s="140"/>
    </row>
    <row r="1680" spans="10:10" x14ac:dyDescent="0.4">
      <c r="J1680" s="140"/>
    </row>
    <row r="1681" spans="10:10" x14ac:dyDescent="0.4">
      <c r="J1681" s="140"/>
    </row>
    <row r="1682" spans="10:10" x14ac:dyDescent="0.4">
      <c r="J1682" s="140"/>
    </row>
    <row r="1683" spans="10:10" x14ac:dyDescent="0.4">
      <c r="J1683" s="140"/>
    </row>
    <row r="1684" spans="10:10" x14ac:dyDescent="0.4">
      <c r="J1684" s="140"/>
    </row>
    <row r="1685" spans="10:10" x14ac:dyDescent="0.4">
      <c r="J1685" s="140"/>
    </row>
    <row r="1686" spans="10:10" x14ac:dyDescent="0.4">
      <c r="J1686" s="140"/>
    </row>
    <row r="1687" spans="10:10" x14ac:dyDescent="0.4">
      <c r="J1687" s="140"/>
    </row>
    <row r="1688" spans="10:10" x14ac:dyDescent="0.4">
      <c r="J1688" s="140"/>
    </row>
    <row r="1689" spans="10:10" x14ac:dyDescent="0.4">
      <c r="J1689" s="140"/>
    </row>
    <row r="1690" spans="10:10" x14ac:dyDescent="0.4">
      <c r="J1690" s="140"/>
    </row>
    <row r="1691" spans="10:10" x14ac:dyDescent="0.4">
      <c r="J1691" s="140"/>
    </row>
    <row r="1692" spans="10:10" x14ac:dyDescent="0.4">
      <c r="J1692" s="140"/>
    </row>
    <row r="1693" spans="10:10" x14ac:dyDescent="0.4">
      <c r="J1693" s="140"/>
    </row>
    <row r="1694" spans="10:10" x14ac:dyDescent="0.4">
      <c r="J1694" s="140"/>
    </row>
    <row r="1695" spans="10:10" x14ac:dyDescent="0.4">
      <c r="J1695" s="140"/>
    </row>
    <row r="1696" spans="10:10" x14ac:dyDescent="0.4">
      <c r="J1696" s="140"/>
    </row>
    <row r="1697" spans="10:10" x14ac:dyDescent="0.4">
      <c r="J1697" s="140"/>
    </row>
    <row r="1698" spans="10:10" x14ac:dyDescent="0.4">
      <c r="J1698" s="140"/>
    </row>
    <row r="1699" spans="10:10" x14ac:dyDescent="0.4">
      <c r="J1699" s="140"/>
    </row>
    <row r="1700" spans="10:10" x14ac:dyDescent="0.4">
      <c r="J1700" s="140"/>
    </row>
    <row r="1701" spans="10:10" x14ac:dyDescent="0.4">
      <c r="J1701" s="140"/>
    </row>
    <row r="1702" spans="10:10" x14ac:dyDescent="0.4">
      <c r="J1702" s="140"/>
    </row>
    <row r="1703" spans="10:10" x14ac:dyDescent="0.4">
      <c r="J1703" s="140"/>
    </row>
    <row r="1704" spans="10:10" x14ac:dyDescent="0.4">
      <c r="J1704" s="140"/>
    </row>
    <row r="1705" spans="10:10" x14ac:dyDescent="0.4">
      <c r="J1705" s="140"/>
    </row>
    <row r="1706" spans="10:10" x14ac:dyDescent="0.4">
      <c r="J1706" s="140"/>
    </row>
    <row r="1707" spans="10:10" x14ac:dyDescent="0.4">
      <c r="J1707" s="140"/>
    </row>
    <row r="1708" spans="10:10" x14ac:dyDescent="0.4">
      <c r="J1708" s="140"/>
    </row>
    <row r="1709" spans="10:10" x14ac:dyDescent="0.4">
      <c r="J1709" s="140"/>
    </row>
    <row r="1710" spans="10:10" x14ac:dyDescent="0.4">
      <c r="J1710" s="140"/>
    </row>
    <row r="1711" spans="10:10" x14ac:dyDescent="0.4">
      <c r="J1711" s="140"/>
    </row>
    <row r="1712" spans="10:10" x14ac:dyDescent="0.4">
      <c r="J1712" s="140"/>
    </row>
    <row r="1713" spans="10:10" x14ac:dyDescent="0.4">
      <c r="J1713" s="140"/>
    </row>
    <row r="1714" spans="10:10" x14ac:dyDescent="0.4">
      <c r="J1714" s="140"/>
    </row>
    <row r="1715" spans="10:10" x14ac:dyDescent="0.4">
      <c r="J1715" s="140"/>
    </row>
    <row r="1716" spans="10:10" x14ac:dyDescent="0.4">
      <c r="J1716" s="140"/>
    </row>
    <row r="1717" spans="10:10" x14ac:dyDescent="0.4">
      <c r="J1717" s="140"/>
    </row>
    <row r="1718" spans="10:10" x14ac:dyDescent="0.4">
      <c r="J1718" s="140"/>
    </row>
    <row r="1719" spans="10:10" x14ac:dyDescent="0.4">
      <c r="J1719" s="140"/>
    </row>
    <row r="1720" spans="10:10" x14ac:dyDescent="0.4">
      <c r="J1720" s="140"/>
    </row>
    <row r="1721" spans="10:10" x14ac:dyDescent="0.4">
      <c r="J1721" s="140"/>
    </row>
    <row r="1722" spans="10:10" x14ac:dyDescent="0.4">
      <c r="J1722" s="140"/>
    </row>
    <row r="1723" spans="10:10" x14ac:dyDescent="0.4">
      <c r="J1723" s="140"/>
    </row>
    <row r="1724" spans="10:10" x14ac:dyDescent="0.4">
      <c r="J1724" s="140"/>
    </row>
    <row r="1725" spans="10:10" x14ac:dyDescent="0.4">
      <c r="J1725" s="140"/>
    </row>
    <row r="1726" spans="10:10" x14ac:dyDescent="0.4">
      <c r="J1726" s="140"/>
    </row>
    <row r="1727" spans="10:10" x14ac:dyDescent="0.4">
      <c r="J1727" s="140"/>
    </row>
    <row r="1728" spans="10:10" x14ac:dyDescent="0.4">
      <c r="J1728" s="140"/>
    </row>
    <row r="1729" spans="10:10" x14ac:dyDescent="0.4">
      <c r="J1729" s="140"/>
    </row>
    <row r="1730" spans="10:10" x14ac:dyDescent="0.4">
      <c r="J1730" s="140"/>
    </row>
    <row r="1731" spans="10:10" x14ac:dyDescent="0.4">
      <c r="J1731" s="140"/>
    </row>
    <row r="1732" spans="10:10" x14ac:dyDescent="0.4">
      <c r="J1732" s="140"/>
    </row>
    <row r="1733" spans="10:10" x14ac:dyDescent="0.4">
      <c r="J1733" s="140"/>
    </row>
    <row r="1734" spans="10:10" x14ac:dyDescent="0.4">
      <c r="J1734" s="140"/>
    </row>
    <row r="1735" spans="10:10" x14ac:dyDescent="0.4">
      <c r="J1735" s="140"/>
    </row>
    <row r="1736" spans="10:10" x14ac:dyDescent="0.4">
      <c r="J1736" s="140"/>
    </row>
    <row r="1737" spans="10:10" x14ac:dyDescent="0.4">
      <c r="J1737" s="140"/>
    </row>
    <row r="1738" spans="10:10" x14ac:dyDescent="0.4">
      <c r="J1738" s="140"/>
    </row>
    <row r="1739" spans="10:10" x14ac:dyDescent="0.4">
      <c r="J1739" s="140"/>
    </row>
    <row r="1740" spans="10:10" x14ac:dyDescent="0.4">
      <c r="J1740" s="140"/>
    </row>
    <row r="1741" spans="10:10" x14ac:dyDescent="0.4">
      <c r="J1741" s="140"/>
    </row>
    <row r="1742" spans="10:10" x14ac:dyDescent="0.4">
      <c r="J1742" s="140"/>
    </row>
    <row r="1743" spans="10:10" x14ac:dyDescent="0.4">
      <c r="J1743" s="140"/>
    </row>
    <row r="1744" spans="10:10" x14ac:dyDescent="0.4">
      <c r="J1744" s="140"/>
    </row>
    <row r="1745" spans="10:10" x14ac:dyDescent="0.4">
      <c r="J1745" s="140"/>
    </row>
    <row r="1746" spans="10:10" x14ac:dyDescent="0.4">
      <c r="J1746" s="140"/>
    </row>
    <row r="1747" spans="10:10" x14ac:dyDescent="0.4">
      <c r="J1747" s="140"/>
    </row>
    <row r="1748" spans="10:10" x14ac:dyDescent="0.4">
      <c r="J1748" s="140"/>
    </row>
    <row r="1749" spans="10:10" x14ac:dyDescent="0.4">
      <c r="J1749" s="140"/>
    </row>
    <row r="1750" spans="10:10" x14ac:dyDescent="0.4">
      <c r="J1750" s="140"/>
    </row>
    <row r="1751" spans="10:10" x14ac:dyDescent="0.4">
      <c r="J1751" s="140"/>
    </row>
    <row r="1752" spans="10:10" x14ac:dyDescent="0.4">
      <c r="J1752" s="140"/>
    </row>
    <row r="1753" spans="10:10" x14ac:dyDescent="0.4">
      <c r="J1753" s="140"/>
    </row>
    <row r="1754" spans="10:10" x14ac:dyDescent="0.4">
      <c r="J1754" s="140"/>
    </row>
    <row r="1755" spans="10:10" x14ac:dyDescent="0.4">
      <c r="J1755" s="140"/>
    </row>
    <row r="1756" spans="10:10" x14ac:dyDescent="0.4">
      <c r="J1756" s="140"/>
    </row>
    <row r="1757" spans="10:10" x14ac:dyDescent="0.4">
      <c r="J1757" s="140"/>
    </row>
    <row r="1758" spans="10:10" x14ac:dyDescent="0.4">
      <c r="J1758" s="140"/>
    </row>
    <row r="1759" spans="10:10" x14ac:dyDescent="0.4">
      <c r="J1759" s="140"/>
    </row>
    <row r="1760" spans="10:10" x14ac:dyDescent="0.4">
      <c r="J1760" s="140"/>
    </row>
    <row r="1761" spans="10:10" x14ac:dyDescent="0.4">
      <c r="J1761" s="140"/>
    </row>
    <row r="1762" spans="10:10" x14ac:dyDescent="0.4">
      <c r="J1762" s="140"/>
    </row>
    <row r="1763" spans="10:10" x14ac:dyDescent="0.4">
      <c r="J1763" s="140"/>
    </row>
    <row r="1764" spans="10:10" x14ac:dyDescent="0.4">
      <c r="J1764" s="140"/>
    </row>
    <row r="1765" spans="10:10" x14ac:dyDescent="0.4">
      <c r="J1765" s="140"/>
    </row>
    <row r="1766" spans="10:10" x14ac:dyDescent="0.4">
      <c r="J1766" s="140"/>
    </row>
    <row r="1767" spans="10:10" x14ac:dyDescent="0.4">
      <c r="J1767" s="140"/>
    </row>
    <row r="1768" spans="10:10" x14ac:dyDescent="0.4">
      <c r="J1768" s="140"/>
    </row>
    <row r="1769" spans="10:10" x14ac:dyDescent="0.4">
      <c r="J1769" s="140"/>
    </row>
    <row r="1770" spans="10:10" x14ac:dyDescent="0.4">
      <c r="J1770" s="140"/>
    </row>
    <row r="1771" spans="10:10" x14ac:dyDescent="0.4">
      <c r="J1771" s="140"/>
    </row>
    <row r="1772" spans="10:10" x14ac:dyDescent="0.4">
      <c r="J1772" s="140"/>
    </row>
    <row r="1773" spans="10:10" x14ac:dyDescent="0.4">
      <c r="J1773" s="140"/>
    </row>
    <row r="1774" spans="10:10" x14ac:dyDescent="0.4">
      <c r="J1774" s="140"/>
    </row>
    <row r="1775" spans="10:10" x14ac:dyDescent="0.4">
      <c r="J1775" s="140"/>
    </row>
    <row r="1776" spans="10:10" x14ac:dyDescent="0.4">
      <c r="J1776" s="140"/>
    </row>
    <row r="1777" spans="10:10" x14ac:dyDescent="0.4">
      <c r="J1777" s="140"/>
    </row>
    <row r="1778" spans="10:10" x14ac:dyDescent="0.4">
      <c r="J1778" s="140"/>
    </row>
    <row r="1779" spans="10:10" x14ac:dyDescent="0.4">
      <c r="J1779" s="140"/>
    </row>
    <row r="1780" spans="10:10" x14ac:dyDescent="0.4">
      <c r="J1780" s="140"/>
    </row>
    <row r="1781" spans="10:10" x14ac:dyDescent="0.4">
      <c r="J1781" s="140"/>
    </row>
    <row r="1782" spans="10:10" x14ac:dyDescent="0.4">
      <c r="J1782" s="140"/>
    </row>
    <row r="1783" spans="10:10" x14ac:dyDescent="0.4">
      <c r="J1783" s="140"/>
    </row>
    <row r="1784" spans="10:10" x14ac:dyDescent="0.4">
      <c r="J1784" s="140"/>
    </row>
    <row r="1785" spans="10:10" x14ac:dyDescent="0.4">
      <c r="J1785" s="140"/>
    </row>
    <row r="1786" spans="10:10" x14ac:dyDescent="0.4">
      <c r="J1786" s="140"/>
    </row>
    <row r="1787" spans="10:10" x14ac:dyDescent="0.4">
      <c r="J1787" s="140"/>
    </row>
    <row r="1788" spans="10:10" x14ac:dyDescent="0.4">
      <c r="J1788" s="140"/>
    </row>
    <row r="1789" spans="10:10" x14ac:dyDescent="0.4">
      <c r="J1789" s="140"/>
    </row>
    <row r="1790" spans="10:10" x14ac:dyDescent="0.4">
      <c r="J1790" s="140"/>
    </row>
    <row r="1791" spans="10:10" x14ac:dyDescent="0.4">
      <c r="J1791" s="140"/>
    </row>
    <row r="1792" spans="10:10" x14ac:dyDescent="0.4">
      <c r="J1792" s="140"/>
    </row>
    <row r="1793" spans="10:10" x14ac:dyDescent="0.4">
      <c r="J1793" s="140"/>
    </row>
    <row r="1794" spans="10:10" x14ac:dyDescent="0.4">
      <c r="J1794" s="140"/>
    </row>
    <row r="1795" spans="10:10" x14ac:dyDescent="0.4">
      <c r="J1795" s="140"/>
    </row>
    <row r="1796" spans="10:10" x14ac:dyDescent="0.4">
      <c r="J1796" s="140"/>
    </row>
    <row r="1797" spans="10:10" x14ac:dyDescent="0.4">
      <c r="J1797" s="140"/>
    </row>
    <row r="1798" spans="10:10" x14ac:dyDescent="0.4">
      <c r="J1798" s="140"/>
    </row>
    <row r="1799" spans="10:10" x14ac:dyDescent="0.4">
      <c r="J1799" s="140"/>
    </row>
    <row r="1800" spans="10:10" x14ac:dyDescent="0.4">
      <c r="J1800" s="140"/>
    </row>
    <row r="1801" spans="10:10" x14ac:dyDescent="0.4">
      <c r="J1801" s="140"/>
    </row>
    <row r="1802" spans="10:10" x14ac:dyDescent="0.4">
      <c r="J1802" s="140"/>
    </row>
    <row r="1803" spans="10:10" x14ac:dyDescent="0.4">
      <c r="J1803" s="140"/>
    </row>
    <row r="1804" spans="10:10" x14ac:dyDescent="0.4">
      <c r="J1804" s="140"/>
    </row>
    <row r="1805" spans="10:10" x14ac:dyDescent="0.4">
      <c r="J1805" s="140"/>
    </row>
    <row r="1806" spans="10:10" x14ac:dyDescent="0.4">
      <c r="J1806" s="140"/>
    </row>
    <row r="1807" spans="10:10" x14ac:dyDescent="0.4">
      <c r="J1807" s="140"/>
    </row>
    <row r="1808" spans="10:10" x14ac:dyDescent="0.4">
      <c r="J1808" s="140"/>
    </row>
    <row r="1809" spans="10:10" x14ac:dyDescent="0.4">
      <c r="J1809" s="140"/>
    </row>
    <row r="1810" spans="10:10" x14ac:dyDescent="0.4">
      <c r="J1810" s="140"/>
    </row>
    <row r="1811" spans="10:10" x14ac:dyDescent="0.4">
      <c r="J1811" s="140"/>
    </row>
    <row r="1812" spans="10:10" x14ac:dyDescent="0.4">
      <c r="J1812" s="140"/>
    </row>
    <row r="1813" spans="10:10" x14ac:dyDescent="0.4">
      <c r="J1813" s="140"/>
    </row>
    <row r="1814" spans="10:10" x14ac:dyDescent="0.4">
      <c r="J1814" s="140"/>
    </row>
    <row r="1815" spans="10:10" x14ac:dyDescent="0.4">
      <c r="J1815" s="140"/>
    </row>
    <row r="1816" spans="10:10" x14ac:dyDescent="0.4">
      <c r="J1816" s="140"/>
    </row>
    <row r="1817" spans="10:10" x14ac:dyDescent="0.4">
      <c r="J1817" s="140"/>
    </row>
    <row r="1818" spans="10:10" x14ac:dyDescent="0.4">
      <c r="J1818" s="140"/>
    </row>
    <row r="1819" spans="10:10" x14ac:dyDescent="0.4">
      <c r="J1819" s="140"/>
    </row>
    <row r="1820" spans="10:10" x14ac:dyDescent="0.4">
      <c r="J1820" s="140"/>
    </row>
    <row r="1821" spans="10:10" x14ac:dyDescent="0.4">
      <c r="J1821" s="140"/>
    </row>
    <row r="1822" spans="10:10" x14ac:dyDescent="0.4">
      <c r="J1822" s="140"/>
    </row>
    <row r="1823" spans="10:10" x14ac:dyDescent="0.4">
      <c r="J1823" s="140"/>
    </row>
    <row r="1824" spans="10:10" x14ac:dyDescent="0.4">
      <c r="J1824" s="140"/>
    </row>
    <row r="1825" spans="10:10" x14ac:dyDescent="0.4">
      <c r="J1825" s="140"/>
    </row>
    <row r="1826" spans="10:10" x14ac:dyDescent="0.4">
      <c r="J1826" s="140"/>
    </row>
    <row r="1827" spans="10:10" x14ac:dyDescent="0.4">
      <c r="J1827" s="140"/>
    </row>
    <row r="1828" spans="10:10" x14ac:dyDescent="0.4">
      <c r="J1828" s="140"/>
    </row>
    <row r="1829" spans="10:10" x14ac:dyDescent="0.4">
      <c r="J1829" s="140"/>
    </row>
    <row r="1830" spans="10:10" x14ac:dyDescent="0.4">
      <c r="J1830" s="140"/>
    </row>
    <row r="1831" spans="10:10" x14ac:dyDescent="0.4">
      <c r="J1831" s="140"/>
    </row>
    <row r="1832" spans="10:10" x14ac:dyDescent="0.4">
      <c r="J1832" s="140"/>
    </row>
    <row r="1833" spans="10:10" x14ac:dyDescent="0.4">
      <c r="J1833" s="140"/>
    </row>
    <row r="1834" spans="10:10" x14ac:dyDescent="0.4">
      <c r="J1834" s="140"/>
    </row>
    <row r="1835" spans="10:10" x14ac:dyDescent="0.4">
      <c r="J1835" s="140"/>
    </row>
    <row r="1836" spans="10:10" x14ac:dyDescent="0.4">
      <c r="J1836" s="140"/>
    </row>
    <row r="1837" spans="10:10" x14ac:dyDescent="0.4">
      <c r="J1837" s="140"/>
    </row>
    <row r="1838" spans="10:10" x14ac:dyDescent="0.4">
      <c r="J1838" s="140"/>
    </row>
    <row r="1839" spans="10:10" x14ac:dyDescent="0.4">
      <c r="J1839" s="140"/>
    </row>
    <row r="1840" spans="10:10" x14ac:dyDescent="0.4">
      <c r="J1840" s="140"/>
    </row>
    <row r="1841" spans="10:10" x14ac:dyDescent="0.4">
      <c r="J1841" s="140"/>
    </row>
    <row r="1842" spans="10:10" x14ac:dyDescent="0.4">
      <c r="J1842" s="140"/>
    </row>
    <row r="1843" spans="10:10" x14ac:dyDescent="0.4">
      <c r="J1843" s="140"/>
    </row>
    <row r="1844" spans="10:10" x14ac:dyDescent="0.4">
      <c r="J1844" s="140"/>
    </row>
    <row r="1845" spans="10:10" x14ac:dyDescent="0.4">
      <c r="J1845" s="140"/>
    </row>
    <row r="1846" spans="10:10" x14ac:dyDescent="0.4">
      <c r="J1846" s="140"/>
    </row>
    <row r="1847" spans="10:10" x14ac:dyDescent="0.4">
      <c r="J1847" s="140"/>
    </row>
    <row r="1848" spans="10:10" x14ac:dyDescent="0.4">
      <c r="J1848" s="140"/>
    </row>
    <row r="1849" spans="10:10" x14ac:dyDescent="0.4">
      <c r="J1849" s="140"/>
    </row>
    <row r="1850" spans="10:10" x14ac:dyDescent="0.4">
      <c r="J1850" s="140"/>
    </row>
    <row r="1851" spans="10:10" x14ac:dyDescent="0.4">
      <c r="J1851" s="140"/>
    </row>
    <row r="1852" spans="10:10" x14ac:dyDescent="0.4">
      <c r="J1852" s="140"/>
    </row>
    <row r="1853" spans="10:10" x14ac:dyDescent="0.4">
      <c r="J1853" s="140"/>
    </row>
    <row r="1854" spans="10:10" x14ac:dyDescent="0.4">
      <c r="J1854" s="140"/>
    </row>
    <row r="1855" spans="10:10" x14ac:dyDescent="0.4">
      <c r="J1855" s="140"/>
    </row>
    <row r="1856" spans="10:10" x14ac:dyDescent="0.4">
      <c r="J1856" s="140"/>
    </row>
    <row r="1857" spans="10:10" x14ac:dyDescent="0.4">
      <c r="J1857" s="140"/>
    </row>
    <row r="1858" spans="10:10" x14ac:dyDescent="0.4">
      <c r="J1858" s="140"/>
    </row>
    <row r="1859" spans="10:10" x14ac:dyDescent="0.4">
      <c r="J1859" s="140"/>
    </row>
    <row r="1860" spans="10:10" x14ac:dyDescent="0.4">
      <c r="J1860" s="140"/>
    </row>
    <row r="1861" spans="10:10" x14ac:dyDescent="0.4">
      <c r="J1861" s="140"/>
    </row>
    <row r="1862" spans="10:10" x14ac:dyDescent="0.4">
      <c r="J1862" s="140"/>
    </row>
    <row r="1863" spans="10:10" x14ac:dyDescent="0.4">
      <c r="J1863" s="140"/>
    </row>
    <row r="1864" spans="10:10" x14ac:dyDescent="0.4">
      <c r="J1864" s="140"/>
    </row>
    <row r="1865" spans="10:10" x14ac:dyDescent="0.4">
      <c r="J1865" s="140"/>
    </row>
    <row r="1866" spans="10:10" x14ac:dyDescent="0.4">
      <c r="J1866" s="140"/>
    </row>
    <row r="1867" spans="10:10" x14ac:dyDescent="0.4">
      <c r="J1867" s="140"/>
    </row>
    <row r="1868" spans="10:10" x14ac:dyDescent="0.4">
      <c r="J1868" s="140"/>
    </row>
    <row r="1869" spans="10:10" x14ac:dyDescent="0.4">
      <c r="J1869" s="140"/>
    </row>
    <row r="1870" spans="10:10" x14ac:dyDescent="0.4">
      <c r="J1870" s="140"/>
    </row>
    <row r="1871" spans="10:10" x14ac:dyDescent="0.4">
      <c r="J1871" s="140"/>
    </row>
    <row r="1872" spans="10:10" x14ac:dyDescent="0.4">
      <c r="J1872" s="140"/>
    </row>
    <row r="1873" spans="10:10" x14ac:dyDescent="0.4">
      <c r="J1873" s="140"/>
    </row>
    <row r="1874" spans="10:10" x14ac:dyDescent="0.4">
      <c r="J1874" s="140"/>
    </row>
    <row r="1875" spans="10:10" x14ac:dyDescent="0.4">
      <c r="J1875" s="140"/>
    </row>
    <row r="1876" spans="10:10" x14ac:dyDescent="0.4">
      <c r="J1876" s="140"/>
    </row>
    <row r="1877" spans="10:10" x14ac:dyDescent="0.4">
      <c r="J1877" s="140"/>
    </row>
    <row r="1878" spans="10:10" x14ac:dyDescent="0.4">
      <c r="J1878" s="140"/>
    </row>
    <row r="1879" spans="10:10" x14ac:dyDescent="0.4">
      <c r="J1879" s="140"/>
    </row>
    <row r="1880" spans="10:10" x14ac:dyDescent="0.4">
      <c r="J1880" s="140"/>
    </row>
    <row r="1881" spans="10:10" x14ac:dyDescent="0.4">
      <c r="J1881" s="140"/>
    </row>
    <row r="1882" spans="10:10" x14ac:dyDescent="0.4">
      <c r="J1882" s="140"/>
    </row>
    <row r="1883" spans="10:10" x14ac:dyDescent="0.4">
      <c r="J1883" s="140"/>
    </row>
    <row r="1884" spans="10:10" x14ac:dyDescent="0.4">
      <c r="J1884" s="140"/>
    </row>
    <row r="1885" spans="10:10" x14ac:dyDescent="0.4">
      <c r="J1885" s="140"/>
    </row>
    <row r="1886" spans="10:10" x14ac:dyDescent="0.4">
      <c r="J1886" s="140"/>
    </row>
    <row r="1887" spans="10:10" x14ac:dyDescent="0.4">
      <c r="J1887" s="140"/>
    </row>
    <row r="1888" spans="10:10" x14ac:dyDescent="0.4">
      <c r="J1888" s="140"/>
    </row>
    <row r="1889" spans="10:10" x14ac:dyDescent="0.4">
      <c r="J1889" s="140"/>
    </row>
    <row r="1890" spans="10:10" x14ac:dyDescent="0.4">
      <c r="J1890" s="140"/>
    </row>
    <row r="1891" spans="10:10" x14ac:dyDescent="0.4">
      <c r="J1891" s="140"/>
    </row>
    <row r="1892" spans="10:10" x14ac:dyDescent="0.4">
      <c r="J1892" s="140"/>
    </row>
    <row r="1893" spans="10:10" x14ac:dyDescent="0.4">
      <c r="J1893" s="140"/>
    </row>
    <row r="1894" spans="10:10" x14ac:dyDescent="0.4">
      <c r="J1894" s="140"/>
    </row>
    <row r="1895" spans="10:10" x14ac:dyDescent="0.4">
      <c r="J1895" s="140"/>
    </row>
    <row r="1896" spans="10:10" x14ac:dyDescent="0.4">
      <c r="J1896" s="140"/>
    </row>
    <row r="1897" spans="10:10" x14ac:dyDescent="0.4">
      <c r="J1897" s="140"/>
    </row>
    <row r="1898" spans="10:10" x14ac:dyDescent="0.4">
      <c r="J1898" s="140"/>
    </row>
    <row r="1899" spans="10:10" x14ac:dyDescent="0.4">
      <c r="J1899" s="140"/>
    </row>
    <row r="1900" spans="10:10" x14ac:dyDescent="0.4">
      <c r="J1900" s="140"/>
    </row>
    <row r="1901" spans="10:10" x14ac:dyDescent="0.4">
      <c r="J1901" s="140"/>
    </row>
    <row r="1902" spans="10:10" x14ac:dyDescent="0.4">
      <c r="J1902" s="140"/>
    </row>
    <row r="1903" spans="10:10" x14ac:dyDescent="0.4">
      <c r="J1903" s="140"/>
    </row>
    <row r="1904" spans="10:10" x14ac:dyDescent="0.4">
      <c r="J1904" s="140"/>
    </row>
    <row r="1905" spans="10:10" x14ac:dyDescent="0.4">
      <c r="J1905" s="140"/>
    </row>
    <row r="1906" spans="10:10" x14ac:dyDescent="0.4">
      <c r="J1906" s="140"/>
    </row>
    <row r="1907" spans="10:10" x14ac:dyDescent="0.4">
      <c r="J1907" s="140"/>
    </row>
    <row r="1908" spans="10:10" x14ac:dyDescent="0.4">
      <c r="J1908" s="140"/>
    </row>
    <row r="1909" spans="10:10" x14ac:dyDescent="0.4">
      <c r="J1909" s="140"/>
    </row>
    <row r="1910" spans="10:10" x14ac:dyDescent="0.4">
      <c r="J1910" s="140"/>
    </row>
    <row r="1911" spans="10:10" x14ac:dyDescent="0.4">
      <c r="J1911" s="140"/>
    </row>
    <row r="1912" spans="10:10" x14ac:dyDescent="0.4">
      <c r="J1912" s="140"/>
    </row>
    <row r="1913" spans="10:10" x14ac:dyDescent="0.4">
      <c r="J1913" s="140"/>
    </row>
    <row r="1914" spans="10:10" x14ac:dyDescent="0.4">
      <c r="J1914" s="140"/>
    </row>
    <row r="1915" spans="10:10" x14ac:dyDescent="0.4">
      <c r="J1915" s="140"/>
    </row>
    <row r="1916" spans="10:10" x14ac:dyDescent="0.4">
      <c r="J1916" s="140"/>
    </row>
    <row r="1917" spans="10:10" x14ac:dyDescent="0.4">
      <c r="J1917" s="140"/>
    </row>
    <row r="1918" spans="10:10" x14ac:dyDescent="0.4">
      <c r="J1918" s="140"/>
    </row>
    <row r="1919" spans="10:10" x14ac:dyDescent="0.4">
      <c r="J1919" s="140"/>
    </row>
    <row r="1920" spans="10:10" x14ac:dyDescent="0.4">
      <c r="J1920" s="140"/>
    </row>
    <row r="1921" spans="10:10" x14ac:dyDescent="0.4">
      <c r="J1921" s="140"/>
    </row>
    <row r="1922" spans="10:10" x14ac:dyDescent="0.4">
      <c r="J1922" s="140"/>
    </row>
    <row r="1923" spans="10:10" x14ac:dyDescent="0.4">
      <c r="J1923" s="140"/>
    </row>
    <row r="1924" spans="10:10" x14ac:dyDescent="0.4">
      <c r="J1924" s="140"/>
    </row>
    <row r="1925" spans="10:10" x14ac:dyDescent="0.4">
      <c r="J1925" s="140"/>
    </row>
    <row r="1926" spans="10:10" x14ac:dyDescent="0.4">
      <c r="J1926" s="140"/>
    </row>
    <row r="1927" spans="10:10" x14ac:dyDescent="0.4">
      <c r="J1927" s="140"/>
    </row>
    <row r="1928" spans="10:10" x14ac:dyDescent="0.4">
      <c r="J1928" s="140"/>
    </row>
    <row r="1929" spans="10:10" x14ac:dyDescent="0.4">
      <c r="J1929" s="140"/>
    </row>
    <row r="1930" spans="10:10" x14ac:dyDescent="0.4">
      <c r="J1930" s="140"/>
    </row>
    <row r="1931" spans="10:10" x14ac:dyDescent="0.4">
      <c r="J1931" s="140"/>
    </row>
    <row r="1932" spans="10:10" x14ac:dyDescent="0.4">
      <c r="J1932" s="140"/>
    </row>
    <row r="1933" spans="10:10" x14ac:dyDescent="0.4">
      <c r="J1933" s="140"/>
    </row>
    <row r="1934" spans="10:10" x14ac:dyDescent="0.4">
      <c r="J1934" s="140"/>
    </row>
    <row r="1935" spans="10:10" x14ac:dyDescent="0.4">
      <c r="J1935" s="140"/>
    </row>
    <row r="1936" spans="10:10" x14ac:dyDescent="0.4">
      <c r="J1936" s="140"/>
    </row>
    <row r="1937" spans="10:10" x14ac:dyDescent="0.4">
      <c r="J1937" s="140"/>
    </row>
    <row r="1938" spans="10:10" x14ac:dyDescent="0.4">
      <c r="J1938" s="140"/>
    </row>
    <row r="1939" spans="10:10" x14ac:dyDescent="0.4">
      <c r="J1939" s="140"/>
    </row>
    <row r="1940" spans="10:10" x14ac:dyDescent="0.4">
      <c r="J1940" s="140"/>
    </row>
    <row r="1941" spans="10:10" x14ac:dyDescent="0.4">
      <c r="J1941" s="140"/>
    </row>
    <row r="1942" spans="10:10" x14ac:dyDescent="0.4">
      <c r="J1942" s="140"/>
    </row>
    <row r="1943" spans="10:10" x14ac:dyDescent="0.4">
      <c r="J1943" s="140"/>
    </row>
    <row r="1944" spans="10:10" x14ac:dyDescent="0.4">
      <c r="J1944" s="140"/>
    </row>
    <row r="1945" spans="10:10" x14ac:dyDescent="0.4">
      <c r="J1945" s="140"/>
    </row>
    <row r="1946" spans="10:10" x14ac:dyDescent="0.4">
      <c r="J1946" s="140"/>
    </row>
    <row r="1947" spans="10:10" x14ac:dyDescent="0.4">
      <c r="J1947" s="140"/>
    </row>
    <row r="1948" spans="10:10" x14ac:dyDescent="0.4">
      <c r="J1948" s="140"/>
    </row>
    <row r="1949" spans="10:10" x14ac:dyDescent="0.4">
      <c r="J1949" s="140"/>
    </row>
    <row r="1950" spans="10:10" x14ac:dyDescent="0.4">
      <c r="J1950" s="140"/>
    </row>
    <row r="1951" spans="10:10" x14ac:dyDescent="0.4">
      <c r="J1951" s="140"/>
    </row>
    <row r="1952" spans="10:10" x14ac:dyDescent="0.4">
      <c r="J1952" s="140"/>
    </row>
    <row r="1953" spans="10:10" x14ac:dyDescent="0.4">
      <c r="J1953" s="140"/>
    </row>
    <row r="1954" spans="10:10" x14ac:dyDescent="0.4">
      <c r="J1954" s="140"/>
    </row>
    <row r="1955" spans="10:10" x14ac:dyDescent="0.4">
      <c r="J1955" s="140"/>
    </row>
    <row r="1956" spans="10:10" x14ac:dyDescent="0.4">
      <c r="J1956" s="140"/>
    </row>
    <row r="1957" spans="10:10" x14ac:dyDescent="0.4">
      <c r="J1957" s="140"/>
    </row>
    <row r="1958" spans="10:10" x14ac:dyDescent="0.4">
      <c r="J1958" s="140"/>
    </row>
    <row r="1959" spans="10:10" x14ac:dyDescent="0.4">
      <c r="J1959" s="140"/>
    </row>
    <row r="1960" spans="10:10" x14ac:dyDescent="0.4">
      <c r="J1960" s="140"/>
    </row>
    <row r="1961" spans="10:10" x14ac:dyDescent="0.4">
      <c r="J1961" s="140"/>
    </row>
    <row r="1962" spans="10:10" x14ac:dyDescent="0.4">
      <c r="J1962" s="140"/>
    </row>
    <row r="1963" spans="10:10" x14ac:dyDescent="0.4">
      <c r="J1963" s="140"/>
    </row>
    <row r="1964" spans="10:10" x14ac:dyDescent="0.4">
      <c r="J1964" s="140"/>
    </row>
    <row r="1965" spans="10:10" x14ac:dyDescent="0.4">
      <c r="J1965" s="140"/>
    </row>
    <row r="1966" spans="10:10" x14ac:dyDescent="0.4">
      <c r="J1966" s="140"/>
    </row>
    <row r="1967" spans="10:10" x14ac:dyDescent="0.4">
      <c r="J1967" s="140"/>
    </row>
    <row r="1968" spans="10:10" x14ac:dyDescent="0.4">
      <c r="J1968" s="140"/>
    </row>
    <row r="1969" spans="10:10" x14ac:dyDescent="0.4">
      <c r="J1969" s="140"/>
    </row>
    <row r="1970" spans="10:10" x14ac:dyDescent="0.4">
      <c r="J1970" s="140"/>
    </row>
    <row r="1971" spans="10:10" x14ac:dyDescent="0.4">
      <c r="J1971" s="140"/>
    </row>
    <row r="1972" spans="10:10" x14ac:dyDescent="0.4">
      <c r="J1972" s="140"/>
    </row>
    <row r="1973" spans="10:10" x14ac:dyDescent="0.4">
      <c r="J1973" s="140"/>
    </row>
    <row r="1974" spans="10:10" x14ac:dyDescent="0.4">
      <c r="J1974" s="140"/>
    </row>
    <row r="1975" spans="10:10" x14ac:dyDescent="0.4">
      <c r="J1975" s="140"/>
    </row>
    <row r="1976" spans="10:10" x14ac:dyDescent="0.4">
      <c r="J1976" s="140"/>
    </row>
    <row r="1977" spans="10:10" x14ac:dyDescent="0.4">
      <c r="J1977" s="140"/>
    </row>
    <row r="1978" spans="10:10" x14ac:dyDescent="0.4">
      <c r="J1978" s="140"/>
    </row>
    <row r="1979" spans="10:10" x14ac:dyDescent="0.4">
      <c r="J1979" s="140"/>
    </row>
    <row r="1980" spans="10:10" x14ac:dyDescent="0.4">
      <c r="J1980" s="140"/>
    </row>
    <row r="1981" spans="10:10" x14ac:dyDescent="0.4">
      <c r="J1981" s="140"/>
    </row>
    <row r="1982" spans="10:10" x14ac:dyDescent="0.4">
      <c r="J1982" s="140"/>
    </row>
    <row r="1983" spans="10:10" x14ac:dyDescent="0.4">
      <c r="J1983" s="140"/>
    </row>
    <row r="1984" spans="10:10" x14ac:dyDescent="0.4">
      <c r="J1984" s="140"/>
    </row>
    <row r="1985" spans="10:10" x14ac:dyDescent="0.4">
      <c r="J1985" s="140"/>
    </row>
    <row r="1986" spans="10:10" x14ac:dyDescent="0.4">
      <c r="J1986" s="140"/>
    </row>
    <row r="1987" spans="10:10" x14ac:dyDescent="0.4">
      <c r="J1987" s="140"/>
    </row>
    <row r="1988" spans="10:10" x14ac:dyDescent="0.4">
      <c r="J1988" s="140"/>
    </row>
    <row r="1989" spans="10:10" x14ac:dyDescent="0.4">
      <c r="J1989" s="140"/>
    </row>
    <row r="1990" spans="10:10" x14ac:dyDescent="0.4">
      <c r="J1990" s="140"/>
    </row>
    <row r="1991" spans="10:10" x14ac:dyDescent="0.4">
      <c r="J1991" s="140"/>
    </row>
    <row r="1992" spans="10:10" x14ac:dyDescent="0.4">
      <c r="J1992" s="140"/>
    </row>
    <row r="1993" spans="10:10" x14ac:dyDescent="0.4">
      <c r="J1993" s="140"/>
    </row>
    <row r="1994" spans="10:10" x14ac:dyDescent="0.4">
      <c r="J1994" s="140"/>
    </row>
    <row r="1995" spans="10:10" x14ac:dyDescent="0.4">
      <c r="J1995" s="140"/>
    </row>
    <row r="1996" spans="10:10" x14ac:dyDescent="0.4">
      <c r="J1996" s="140"/>
    </row>
    <row r="1997" spans="10:10" x14ac:dyDescent="0.4">
      <c r="J1997" s="140"/>
    </row>
    <row r="1998" spans="10:10" x14ac:dyDescent="0.4">
      <c r="J1998" s="140"/>
    </row>
    <row r="1999" spans="10:10" x14ac:dyDescent="0.4">
      <c r="J1999" s="140"/>
    </row>
    <row r="2000" spans="10:10" x14ac:dyDescent="0.4">
      <c r="J2000" s="140"/>
    </row>
    <row r="2001" spans="10:10" x14ac:dyDescent="0.4">
      <c r="J2001" s="140"/>
    </row>
    <row r="2002" spans="10:10" x14ac:dyDescent="0.4">
      <c r="J2002" s="140"/>
    </row>
    <row r="2003" spans="10:10" x14ac:dyDescent="0.4">
      <c r="J2003" s="140"/>
    </row>
    <row r="2004" spans="10:10" x14ac:dyDescent="0.4">
      <c r="J2004" s="140"/>
    </row>
    <row r="2005" spans="10:10" x14ac:dyDescent="0.4">
      <c r="J2005" s="140"/>
    </row>
    <row r="2006" spans="10:10" x14ac:dyDescent="0.4">
      <c r="J2006" s="140"/>
    </row>
    <row r="2007" spans="10:10" x14ac:dyDescent="0.4">
      <c r="J2007" s="140"/>
    </row>
    <row r="2008" spans="10:10" x14ac:dyDescent="0.4">
      <c r="J2008" s="140"/>
    </row>
    <row r="2009" spans="10:10" x14ac:dyDescent="0.4">
      <c r="J2009" s="140"/>
    </row>
    <row r="2010" spans="10:10" x14ac:dyDescent="0.4">
      <c r="J2010" s="140"/>
    </row>
    <row r="2011" spans="10:10" x14ac:dyDescent="0.4">
      <c r="J2011" s="140"/>
    </row>
    <row r="2012" spans="10:10" x14ac:dyDescent="0.4">
      <c r="J2012" s="140"/>
    </row>
    <row r="2013" spans="10:10" x14ac:dyDescent="0.4">
      <c r="J2013" s="140"/>
    </row>
    <row r="2014" spans="10:10" x14ac:dyDescent="0.4">
      <c r="J2014" s="140"/>
    </row>
    <row r="2015" spans="10:10" x14ac:dyDescent="0.4">
      <c r="J2015" s="140"/>
    </row>
    <row r="2016" spans="10:10" x14ac:dyDescent="0.4">
      <c r="J2016" s="140"/>
    </row>
    <row r="2017" spans="10:10" x14ac:dyDescent="0.4">
      <c r="J2017" s="140"/>
    </row>
    <row r="2018" spans="10:10" x14ac:dyDescent="0.4">
      <c r="J2018" s="140"/>
    </row>
    <row r="2019" spans="10:10" x14ac:dyDescent="0.4">
      <c r="J2019" s="140"/>
    </row>
    <row r="2020" spans="10:10" x14ac:dyDescent="0.4">
      <c r="J2020" s="140"/>
    </row>
    <row r="2021" spans="10:10" x14ac:dyDescent="0.4">
      <c r="J2021" s="140"/>
    </row>
    <row r="2022" spans="10:10" x14ac:dyDescent="0.4">
      <c r="J2022" s="140"/>
    </row>
    <row r="2023" spans="10:10" x14ac:dyDescent="0.4">
      <c r="J2023" s="140"/>
    </row>
    <row r="2024" spans="10:10" x14ac:dyDescent="0.4">
      <c r="J2024" s="140"/>
    </row>
    <row r="2025" spans="10:10" x14ac:dyDescent="0.4">
      <c r="J2025" s="140"/>
    </row>
    <row r="2026" spans="10:10" x14ac:dyDescent="0.4">
      <c r="J2026" s="140"/>
    </row>
    <row r="2027" spans="10:10" x14ac:dyDescent="0.4">
      <c r="J2027" s="140"/>
    </row>
    <row r="2028" spans="10:10" x14ac:dyDescent="0.4">
      <c r="J2028" s="140"/>
    </row>
    <row r="2029" spans="10:10" x14ac:dyDescent="0.4">
      <c r="J2029" s="140"/>
    </row>
    <row r="2030" spans="10:10" x14ac:dyDescent="0.4">
      <c r="J2030" s="140"/>
    </row>
    <row r="2031" spans="10:10" x14ac:dyDescent="0.4">
      <c r="J2031" s="140"/>
    </row>
    <row r="2032" spans="10:10" x14ac:dyDescent="0.4">
      <c r="J2032" s="140"/>
    </row>
    <row r="2033" spans="10:10" x14ac:dyDescent="0.4">
      <c r="J2033" s="140"/>
    </row>
    <row r="2034" spans="10:10" x14ac:dyDescent="0.4">
      <c r="J2034" s="140"/>
    </row>
    <row r="2035" spans="10:10" x14ac:dyDescent="0.4">
      <c r="J2035" s="140"/>
    </row>
    <row r="2036" spans="10:10" x14ac:dyDescent="0.4">
      <c r="J2036" s="140"/>
    </row>
    <row r="2037" spans="10:10" x14ac:dyDescent="0.4">
      <c r="J2037" s="140"/>
    </row>
    <row r="2038" spans="10:10" x14ac:dyDescent="0.4">
      <c r="J2038" s="140"/>
    </row>
    <row r="2039" spans="10:10" x14ac:dyDescent="0.4">
      <c r="J2039" s="140"/>
    </row>
    <row r="2040" spans="10:10" x14ac:dyDescent="0.4">
      <c r="J2040" s="140"/>
    </row>
    <row r="2041" spans="10:10" x14ac:dyDescent="0.4">
      <c r="J2041" s="140"/>
    </row>
    <row r="2042" spans="10:10" x14ac:dyDescent="0.4">
      <c r="J2042" s="140"/>
    </row>
    <row r="2043" spans="10:10" x14ac:dyDescent="0.4">
      <c r="J2043" s="140"/>
    </row>
    <row r="2044" spans="10:10" x14ac:dyDescent="0.4">
      <c r="J2044" s="140"/>
    </row>
    <row r="2045" spans="10:10" x14ac:dyDescent="0.4">
      <c r="J2045" s="140"/>
    </row>
    <row r="2046" spans="10:10" x14ac:dyDescent="0.4">
      <c r="J2046" s="140"/>
    </row>
    <row r="2047" spans="10:10" x14ac:dyDescent="0.4">
      <c r="J2047" s="140"/>
    </row>
    <row r="2048" spans="10:10" x14ac:dyDescent="0.4">
      <c r="J2048" s="140"/>
    </row>
    <row r="2049" spans="10:10" x14ac:dyDescent="0.4">
      <c r="J2049" s="140"/>
    </row>
    <row r="2050" spans="10:10" x14ac:dyDescent="0.4">
      <c r="J2050" s="140"/>
    </row>
    <row r="2051" spans="10:10" x14ac:dyDescent="0.4">
      <c r="J2051" s="140"/>
    </row>
    <row r="2052" spans="10:10" x14ac:dyDescent="0.4">
      <c r="J2052" s="140"/>
    </row>
    <row r="2053" spans="10:10" x14ac:dyDescent="0.4">
      <c r="J2053" s="140"/>
    </row>
    <row r="2054" spans="10:10" x14ac:dyDescent="0.4">
      <c r="J2054" s="140"/>
    </row>
    <row r="2055" spans="10:10" x14ac:dyDescent="0.4">
      <c r="J2055" s="140"/>
    </row>
    <row r="2056" spans="10:10" x14ac:dyDescent="0.4">
      <c r="J2056" s="140"/>
    </row>
    <row r="2057" spans="10:10" x14ac:dyDescent="0.4">
      <c r="J2057" s="140"/>
    </row>
    <row r="2058" spans="10:10" x14ac:dyDescent="0.4">
      <c r="J2058" s="140"/>
    </row>
    <row r="2059" spans="10:10" x14ac:dyDescent="0.4">
      <c r="J2059" s="140"/>
    </row>
    <row r="2060" spans="10:10" x14ac:dyDescent="0.4">
      <c r="J2060" s="140"/>
    </row>
    <row r="2061" spans="10:10" x14ac:dyDescent="0.4">
      <c r="J2061" s="140"/>
    </row>
    <row r="2062" spans="10:10" x14ac:dyDescent="0.4">
      <c r="J2062" s="140"/>
    </row>
    <row r="2063" spans="10:10" x14ac:dyDescent="0.4">
      <c r="J2063" s="140"/>
    </row>
    <row r="2064" spans="10:10" x14ac:dyDescent="0.4">
      <c r="J2064" s="140"/>
    </row>
    <row r="2065" spans="10:10" x14ac:dyDescent="0.4">
      <c r="J2065" s="140"/>
    </row>
    <row r="2066" spans="10:10" x14ac:dyDescent="0.4">
      <c r="J2066" s="140"/>
    </row>
    <row r="2067" spans="10:10" x14ac:dyDescent="0.4">
      <c r="J2067" s="140"/>
    </row>
    <row r="2068" spans="10:10" x14ac:dyDescent="0.4">
      <c r="J2068" s="140"/>
    </row>
    <row r="2069" spans="10:10" x14ac:dyDescent="0.4">
      <c r="J2069" s="140"/>
    </row>
    <row r="2070" spans="10:10" x14ac:dyDescent="0.4">
      <c r="J2070" s="140"/>
    </row>
    <row r="2071" spans="10:10" x14ac:dyDescent="0.4">
      <c r="J2071" s="140"/>
    </row>
    <row r="2072" spans="10:10" x14ac:dyDescent="0.4">
      <c r="J2072" s="140"/>
    </row>
    <row r="2073" spans="10:10" x14ac:dyDescent="0.4">
      <c r="J2073" s="140"/>
    </row>
    <row r="2074" spans="10:10" x14ac:dyDescent="0.4">
      <c r="J2074" s="140"/>
    </row>
    <row r="2075" spans="10:10" x14ac:dyDescent="0.4">
      <c r="J2075" s="140"/>
    </row>
    <row r="2076" spans="10:10" x14ac:dyDescent="0.4">
      <c r="J2076" s="140"/>
    </row>
    <row r="2077" spans="10:10" x14ac:dyDescent="0.4">
      <c r="J2077" s="140"/>
    </row>
    <row r="2078" spans="10:10" x14ac:dyDescent="0.4">
      <c r="J2078" s="140"/>
    </row>
    <row r="2079" spans="10:10" x14ac:dyDescent="0.4">
      <c r="J2079" s="140"/>
    </row>
    <row r="2080" spans="10:10" x14ac:dyDescent="0.4">
      <c r="J2080" s="140"/>
    </row>
    <row r="2081" spans="10:10" x14ac:dyDescent="0.4">
      <c r="J2081" s="140"/>
    </row>
    <row r="2082" spans="10:10" x14ac:dyDescent="0.4">
      <c r="J2082" s="140"/>
    </row>
    <row r="2083" spans="10:10" x14ac:dyDescent="0.4">
      <c r="J2083" s="140"/>
    </row>
    <row r="2084" spans="10:10" x14ac:dyDescent="0.4">
      <c r="J2084" s="140"/>
    </row>
    <row r="2085" spans="10:10" x14ac:dyDescent="0.4">
      <c r="J2085" s="140"/>
    </row>
    <row r="2086" spans="10:10" x14ac:dyDescent="0.4">
      <c r="J2086" s="140"/>
    </row>
    <row r="2087" spans="10:10" x14ac:dyDescent="0.4">
      <c r="J2087" s="140"/>
    </row>
    <row r="2088" spans="10:10" x14ac:dyDescent="0.4">
      <c r="J2088" s="140"/>
    </row>
    <row r="2089" spans="10:10" x14ac:dyDescent="0.4">
      <c r="J2089" s="140"/>
    </row>
    <row r="2090" spans="10:10" x14ac:dyDescent="0.4">
      <c r="J2090" s="140"/>
    </row>
    <row r="2091" spans="10:10" x14ac:dyDescent="0.4">
      <c r="J2091" s="140"/>
    </row>
    <row r="2092" spans="10:10" x14ac:dyDescent="0.4">
      <c r="J2092" s="140"/>
    </row>
    <row r="2093" spans="10:10" x14ac:dyDescent="0.4">
      <c r="J2093" s="140"/>
    </row>
    <row r="2094" spans="10:10" x14ac:dyDescent="0.4">
      <c r="J2094" s="140"/>
    </row>
    <row r="2095" spans="10:10" x14ac:dyDescent="0.4">
      <c r="J2095" s="140"/>
    </row>
    <row r="2096" spans="10:10" x14ac:dyDescent="0.4">
      <c r="J2096" s="140"/>
    </row>
    <row r="2097" spans="10:10" x14ac:dyDescent="0.4">
      <c r="J2097" s="140"/>
    </row>
    <row r="2098" spans="10:10" x14ac:dyDescent="0.4">
      <c r="J2098" s="140"/>
    </row>
    <row r="2099" spans="10:10" x14ac:dyDescent="0.4">
      <c r="J2099" s="140"/>
    </row>
    <row r="2100" spans="10:10" x14ac:dyDescent="0.4">
      <c r="J2100" s="140"/>
    </row>
    <row r="2101" spans="10:10" x14ac:dyDescent="0.4">
      <c r="J2101" s="140"/>
    </row>
    <row r="2102" spans="10:10" x14ac:dyDescent="0.4">
      <c r="J2102" s="140"/>
    </row>
    <row r="2103" spans="10:10" x14ac:dyDescent="0.4">
      <c r="J2103" s="140"/>
    </row>
    <row r="2104" spans="10:10" x14ac:dyDescent="0.4">
      <c r="J2104" s="140"/>
    </row>
    <row r="2105" spans="10:10" x14ac:dyDescent="0.4">
      <c r="J2105" s="140"/>
    </row>
    <row r="2106" spans="10:10" x14ac:dyDescent="0.4">
      <c r="J2106" s="140"/>
    </row>
    <row r="2107" spans="10:10" x14ac:dyDescent="0.4">
      <c r="J2107" s="140"/>
    </row>
    <row r="2108" spans="10:10" x14ac:dyDescent="0.4">
      <c r="J2108" s="140"/>
    </row>
    <row r="2109" spans="10:10" x14ac:dyDescent="0.4">
      <c r="J2109" s="140"/>
    </row>
    <row r="2110" spans="10:10" x14ac:dyDescent="0.4">
      <c r="J2110" s="140"/>
    </row>
    <row r="2111" spans="10:10" x14ac:dyDescent="0.4">
      <c r="J2111" s="140"/>
    </row>
    <row r="2112" spans="10:10" x14ac:dyDescent="0.4">
      <c r="J2112" s="140"/>
    </row>
    <row r="2113" spans="10:10" x14ac:dyDescent="0.4">
      <c r="J2113" s="140"/>
    </row>
    <row r="2114" spans="10:10" x14ac:dyDescent="0.4">
      <c r="J2114" s="140"/>
    </row>
    <row r="2115" spans="10:10" x14ac:dyDescent="0.4">
      <c r="J2115" s="140"/>
    </row>
    <row r="2116" spans="10:10" x14ac:dyDescent="0.4">
      <c r="J2116" s="140"/>
    </row>
    <row r="2117" spans="10:10" x14ac:dyDescent="0.4">
      <c r="J2117" s="140"/>
    </row>
    <row r="2118" spans="10:10" x14ac:dyDescent="0.4">
      <c r="J2118" s="140"/>
    </row>
    <row r="2119" spans="10:10" x14ac:dyDescent="0.4">
      <c r="J2119" s="140"/>
    </row>
    <row r="2120" spans="10:10" x14ac:dyDescent="0.4">
      <c r="J2120" s="140"/>
    </row>
    <row r="2121" spans="10:10" x14ac:dyDescent="0.4">
      <c r="J2121" s="140"/>
    </row>
    <row r="2122" spans="10:10" x14ac:dyDescent="0.4">
      <c r="J2122" s="140"/>
    </row>
    <row r="2123" spans="10:10" x14ac:dyDescent="0.4">
      <c r="J2123" s="140"/>
    </row>
    <row r="2124" spans="10:10" x14ac:dyDescent="0.4">
      <c r="J2124" s="140"/>
    </row>
    <row r="2125" spans="10:10" x14ac:dyDescent="0.4">
      <c r="J2125" s="140"/>
    </row>
    <row r="2126" spans="10:10" x14ac:dyDescent="0.4">
      <c r="J2126" s="140"/>
    </row>
    <row r="2127" spans="10:10" x14ac:dyDescent="0.4">
      <c r="J2127" s="140"/>
    </row>
    <row r="2128" spans="10:10" x14ac:dyDescent="0.4">
      <c r="J2128" s="140"/>
    </row>
    <row r="2129" spans="10:10" x14ac:dyDescent="0.4">
      <c r="J2129" s="140"/>
    </row>
    <row r="2130" spans="10:10" x14ac:dyDescent="0.4">
      <c r="J2130" s="140"/>
    </row>
    <row r="2131" spans="10:10" x14ac:dyDescent="0.4">
      <c r="J2131" s="140"/>
    </row>
    <row r="2132" spans="10:10" x14ac:dyDescent="0.4">
      <c r="J2132" s="140"/>
    </row>
    <row r="2133" spans="10:10" x14ac:dyDescent="0.4">
      <c r="J2133" s="140"/>
    </row>
    <row r="2134" spans="10:10" x14ac:dyDescent="0.4">
      <c r="J2134" s="140"/>
    </row>
    <row r="2135" spans="10:10" x14ac:dyDescent="0.4">
      <c r="J2135" s="140"/>
    </row>
    <row r="2136" spans="10:10" x14ac:dyDescent="0.4">
      <c r="J2136" s="140"/>
    </row>
    <row r="2137" spans="10:10" x14ac:dyDescent="0.4">
      <c r="J2137" s="140"/>
    </row>
    <row r="2138" spans="10:10" x14ac:dyDescent="0.4">
      <c r="J2138" s="140"/>
    </row>
    <row r="2139" spans="10:10" x14ac:dyDescent="0.4">
      <c r="J2139" s="140"/>
    </row>
    <row r="2140" spans="10:10" x14ac:dyDescent="0.4">
      <c r="J2140" s="140"/>
    </row>
    <row r="2141" spans="10:10" x14ac:dyDescent="0.4">
      <c r="J2141" s="140"/>
    </row>
    <row r="2142" spans="10:10" x14ac:dyDescent="0.4">
      <c r="J2142" s="140"/>
    </row>
    <row r="2143" spans="10:10" x14ac:dyDescent="0.4">
      <c r="J2143" s="140"/>
    </row>
    <row r="2144" spans="10:10" x14ac:dyDescent="0.4">
      <c r="J2144" s="140"/>
    </row>
    <row r="2145" spans="10:10" x14ac:dyDescent="0.4">
      <c r="J2145" s="140"/>
    </row>
    <row r="2146" spans="10:10" x14ac:dyDescent="0.4">
      <c r="J2146" s="140"/>
    </row>
    <row r="2147" spans="10:10" x14ac:dyDescent="0.4">
      <c r="J2147" s="140"/>
    </row>
    <row r="2148" spans="10:10" x14ac:dyDescent="0.4">
      <c r="J2148" s="140"/>
    </row>
    <row r="2149" spans="10:10" x14ac:dyDescent="0.4">
      <c r="J2149" s="140"/>
    </row>
    <row r="2150" spans="10:10" x14ac:dyDescent="0.4">
      <c r="J2150" s="140"/>
    </row>
    <row r="2151" spans="10:10" x14ac:dyDescent="0.4">
      <c r="J2151" s="140"/>
    </row>
    <row r="2152" spans="10:10" x14ac:dyDescent="0.4">
      <c r="J2152" s="140"/>
    </row>
    <row r="2153" spans="10:10" x14ac:dyDescent="0.4">
      <c r="J2153" s="140"/>
    </row>
    <row r="2154" spans="10:10" x14ac:dyDescent="0.4">
      <c r="J2154" s="140"/>
    </row>
    <row r="2155" spans="10:10" x14ac:dyDescent="0.4">
      <c r="J2155" s="140"/>
    </row>
    <row r="2156" spans="10:10" x14ac:dyDescent="0.4">
      <c r="J2156" s="140"/>
    </row>
    <row r="2157" spans="10:10" x14ac:dyDescent="0.4">
      <c r="J2157" s="140"/>
    </row>
    <row r="2158" spans="10:10" x14ac:dyDescent="0.4">
      <c r="J2158" s="140"/>
    </row>
    <row r="2159" spans="10:10" x14ac:dyDescent="0.4">
      <c r="J2159" s="140"/>
    </row>
    <row r="2160" spans="10:10" x14ac:dyDescent="0.4">
      <c r="J2160" s="140"/>
    </row>
    <row r="2161" spans="10:10" x14ac:dyDescent="0.4">
      <c r="J2161" s="140"/>
    </row>
    <row r="2162" spans="10:10" x14ac:dyDescent="0.4">
      <c r="J2162" s="140"/>
    </row>
    <row r="2163" spans="10:10" x14ac:dyDescent="0.4">
      <c r="J2163" s="140"/>
    </row>
    <row r="2164" spans="10:10" x14ac:dyDescent="0.4">
      <c r="J2164" s="140"/>
    </row>
    <row r="2165" spans="10:10" x14ac:dyDescent="0.4">
      <c r="J2165" s="140"/>
    </row>
    <row r="2166" spans="10:10" x14ac:dyDescent="0.4">
      <c r="J2166" s="140"/>
    </row>
    <row r="2167" spans="10:10" x14ac:dyDescent="0.4">
      <c r="J2167" s="140"/>
    </row>
    <row r="2168" spans="10:10" x14ac:dyDescent="0.4">
      <c r="J2168" s="140"/>
    </row>
    <row r="2169" spans="10:10" x14ac:dyDescent="0.4">
      <c r="J2169" s="140"/>
    </row>
    <row r="2170" spans="10:10" x14ac:dyDescent="0.4">
      <c r="J2170" s="140"/>
    </row>
    <row r="2171" spans="10:10" x14ac:dyDescent="0.4">
      <c r="J2171" s="140"/>
    </row>
    <row r="2172" spans="10:10" x14ac:dyDescent="0.4">
      <c r="J2172" s="140"/>
    </row>
    <row r="2173" spans="10:10" x14ac:dyDescent="0.4">
      <c r="J2173" s="140"/>
    </row>
    <row r="2174" spans="10:10" x14ac:dyDescent="0.4">
      <c r="J2174" s="140"/>
    </row>
    <row r="2175" spans="10:10" x14ac:dyDescent="0.4">
      <c r="J2175" s="140"/>
    </row>
    <row r="2176" spans="10:10" x14ac:dyDescent="0.4">
      <c r="J2176" s="140"/>
    </row>
    <row r="2177" spans="10:10" x14ac:dyDescent="0.4">
      <c r="J2177" s="140"/>
    </row>
    <row r="2178" spans="10:10" x14ac:dyDescent="0.4">
      <c r="J2178" s="140"/>
    </row>
    <row r="2179" spans="10:10" x14ac:dyDescent="0.4">
      <c r="J2179" s="140"/>
    </row>
    <row r="2180" spans="10:10" x14ac:dyDescent="0.4">
      <c r="J2180" s="140"/>
    </row>
    <row r="2181" spans="10:10" x14ac:dyDescent="0.4">
      <c r="J2181" s="140"/>
    </row>
    <row r="2182" spans="10:10" x14ac:dyDescent="0.4">
      <c r="J2182" s="140"/>
    </row>
    <row r="2183" spans="10:10" x14ac:dyDescent="0.4">
      <c r="J2183" s="140"/>
    </row>
    <row r="2184" spans="10:10" x14ac:dyDescent="0.4">
      <c r="J2184" s="140"/>
    </row>
    <row r="2185" spans="10:10" x14ac:dyDescent="0.4">
      <c r="J2185" s="140"/>
    </row>
    <row r="2186" spans="10:10" x14ac:dyDescent="0.4">
      <c r="J2186" s="140"/>
    </row>
    <row r="2187" spans="10:10" x14ac:dyDescent="0.4">
      <c r="J2187" s="140"/>
    </row>
    <row r="2188" spans="10:10" x14ac:dyDescent="0.4">
      <c r="J2188" s="140"/>
    </row>
    <row r="2189" spans="10:10" x14ac:dyDescent="0.4">
      <c r="J2189" s="140"/>
    </row>
    <row r="2190" spans="10:10" x14ac:dyDescent="0.4">
      <c r="J2190" s="140"/>
    </row>
    <row r="2191" spans="10:10" x14ac:dyDescent="0.4">
      <c r="J2191" s="140"/>
    </row>
    <row r="2192" spans="10:10" x14ac:dyDescent="0.4">
      <c r="J2192" s="140"/>
    </row>
    <row r="2193" spans="10:10" x14ac:dyDescent="0.4">
      <c r="J2193" s="140"/>
    </row>
    <row r="2194" spans="10:10" x14ac:dyDescent="0.4">
      <c r="J2194" s="140"/>
    </row>
    <row r="2195" spans="10:10" x14ac:dyDescent="0.4">
      <c r="J2195" s="140"/>
    </row>
    <row r="2196" spans="10:10" x14ac:dyDescent="0.4">
      <c r="J2196" s="140"/>
    </row>
    <row r="2197" spans="10:10" x14ac:dyDescent="0.4">
      <c r="J2197" s="140"/>
    </row>
    <row r="2198" spans="10:10" x14ac:dyDescent="0.4">
      <c r="J2198" s="140"/>
    </row>
    <row r="2199" spans="10:10" x14ac:dyDescent="0.4">
      <c r="J2199" s="140"/>
    </row>
    <row r="2200" spans="10:10" x14ac:dyDescent="0.4">
      <c r="J2200" s="140"/>
    </row>
    <row r="2201" spans="10:10" x14ac:dyDescent="0.4">
      <c r="J2201" s="140"/>
    </row>
    <row r="2202" spans="10:10" x14ac:dyDescent="0.4">
      <c r="J2202" s="140"/>
    </row>
    <row r="2203" spans="10:10" x14ac:dyDescent="0.4">
      <c r="J2203" s="140"/>
    </row>
    <row r="2204" spans="10:10" x14ac:dyDescent="0.4">
      <c r="J2204" s="140"/>
    </row>
    <row r="2205" spans="10:10" x14ac:dyDescent="0.4">
      <c r="J2205" s="140"/>
    </row>
    <row r="2206" spans="10:10" x14ac:dyDescent="0.4">
      <c r="J2206" s="140"/>
    </row>
    <row r="2207" spans="10:10" x14ac:dyDescent="0.4">
      <c r="J2207" s="140"/>
    </row>
    <row r="2208" spans="10:10" x14ac:dyDescent="0.4">
      <c r="J2208" s="140"/>
    </row>
    <row r="2209" spans="10:10" x14ac:dyDescent="0.4">
      <c r="J2209" s="140"/>
    </row>
    <row r="2210" spans="10:10" x14ac:dyDescent="0.4">
      <c r="J2210" s="140"/>
    </row>
    <row r="2211" spans="10:10" x14ac:dyDescent="0.4">
      <c r="J2211" s="140"/>
    </row>
    <row r="2212" spans="10:10" x14ac:dyDescent="0.4">
      <c r="J2212" s="140"/>
    </row>
    <row r="2213" spans="10:10" x14ac:dyDescent="0.4">
      <c r="J2213" s="140"/>
    </row>
    <row r="2214" spans="10:10" x14ac:dyDescent="0.4">
      <c r="J2214" s="140"/>
    </row>
    <row r="2215" spans="10:10" x14ac:dyDescent="0.4">
      <c r="J2215" s="140"/>
    </row>
    <row r="2216" spans="10:10" x14ac:dyDescent="0.4">
      <c r="J2216" s="140"/>
    </row>
    <row r="2217" spans="10:10" x14ac:dyDescent="0.4">
      <c r="J2217" s="140"/>
    </row>
    <row r="2218" spans="10:10" x14ac:dyDescent="0.4">
      <c r="J2218" s="140"/>
    </row>
    <row r="2219" spans="10:10" x14ac:dyDescent="0.4">
      <c r="J2219" s="140"/>
    </row>
    <row r="2220" spans="10:10" x14ac:dyDescent="0.4">
      <c r="J2220" s="140"/>
    </row>
    <row r="2221" spans="10:10" x14ac:dyDescent="0.4">
      <c r="J2221" s="140"/>
    </row>
    <row r="2222" spans="10:10" x14ac:dyDescent="0.4">
      <c r="J2222" s="140"/>
    </row>
    <row r="2223" spans="10:10" x14ac:dyDescent="0.4">
      <c r="J2223" s="140"/>
    </row>
    <row r="2224" spans="10:10" x14ac:dyDescent="0.4">
      <c r="J2224" s="140"/>
    </row>
    <row r="2225" spans="10:10" x14ac:dyDescent="0.4">
      <c r="J2225" s="140"/>
    </row>
    <row r="2226" spans="10:10" x14ac:dyDescent="0.4">
      <c r="J2226" s="140"/>
    </row>
    <row r="2227" spans="10:10" x14ac:dyDescent="0.4">
      <c r="J2227" s="140"/>
    </row>
    <row r="2228" spans="10:10" x14ac:dyDescent="0.4">
      <c r="J2228" s="140"/>
    </row>
    <row r="2229" spans="10:10" x14ac:dyDescent="0.4">
      <c r="J2229" s="140"/>
    </row>
    <row r="2230" spans="10:10" x14ac:dyDescent="0.4">
      <c r="J2230" s="140"/>
    </row>
    <row r="2231" spans="10:10" x14ac:dyDescent="0.4">
      <c r="J2231" s="140"/>
    </row>
    <row r="2232" spans="10:10" x14ac:dyDescent="0.4">
      <c r="J2232" s="140"/>
    </row>
    <row r="2233" spans="10:10" x14ac:dyDescent="0.4">
      <c r="J2233" s="140"/>
    </row>
    <row r="2234" spans="10:10" x14ac:dyDescent="0.4">
      <c r="J2234" s="140"/>
    </row>
    <row r="2235" spans="10:10" x14ac:dyDescent="0.4">
      <c r="J2235" s="140"/>
    </row>
    <row r="2236" spans="10:10" x14ac:dyDescent="0.4">
      <c r="J2236" s="140"/>
    </row>
    <row r="2237" spans="10:10" x14ac:dyDescent="0.4">
      <c r="J2237" s="140"/>
    </row>
    <row r="2238" spans="10:10" x14ac:dyDescent="0.4">
      <c r="J2238" s="140"/>
    </row>
    <row r="2239" spans="10:10" x14ac:dyDescent="0.4">
      <c r="J2239" s="140"/>
    </row>
    <row r="2240" spans="10:10" x14ac:dyDescent="0.4">
      <c r="J2240" s="140"/>
    </row>
    <row r="2241" spans="10:10" x14ac:dyDescent="0.4">
      <c r="J2241" s="140"/>
    </row>
    <row r="2242" spans="10:10" x14ac:dyDescent="0.4">
      <c r="J2242" s="140"/>
    </row>
    <row r="2243" spans="10:10" x14ac:dyDescent="0.4">
      <c r="J2243" s="140"/>
    </row>
    <row r="2244" spans="10:10" x14ac:dyDescent="0.4">
      <c r="J2244" s="140"/>
    </row>
    <row r="2245" spans="10:10" x14ac:dyDescent="0.4">
      <c r="J2245" s="140"/>
    </row>
    <row r="2246" spans="10:10" x14ac:dyDescent="0.4">
      <c r="J2246" s="140"/>
    </row>
    <row r="2247" spans="10:10" x14ac:dyDescent="0.4">
      <c r="J2247" s="140"/>
    </row>
    <row r="2248" spans="10:10" x14ac:dyDescent="0.4">
      <c r="J2248" s="140"/>
    </row>
    <row r="2249" spans="10:10" x14ac:dyDescent="0.4">
      <c r="J2249" s="140"/>
    </row>
    <row r="2250" spans="10:10" x14ac:dyDescent="0.4">
      <c r="J2250" s="140"/>
    </row>
    <row r="2251" spans="10:10" x14ac:dyDescent="0.4">
      <c r="J2251" s="140"/>
    </row>
    <row r="2252" spans="10:10" x14ac:dyDescent="0.4">
      <c r="J2252" s="140"/>
    </row>
    <row r="2253" spans="10:10" x14ac:dyDescent="0.4">
      <c r="J2253" s="140"/>
    </row>
    <row r="2254" spans="10:10" x14ac:dyDescent="0.4">
      <c r="J2254" s="140"/>
    </row>
    <row r="2255" spans="10:10" x14ac:dyDescent="0.4">
      <c r="J2255" s="140"/>
    </row>
    <row r="2256" spans="10:10" x14ac:dyDescent="0.4">
      <c r="J2256" s="140"/>
    </row>
    <row r="2257" spans="10:10" x14ac:dyDescent="0.4">
      <c r="J2257" s="140"/>
    </row>
    <row r="2258" spans="10:10" x14ac:dyDescent="0.4">
      <c r="J2258" s="140"/>
    </row>
    <row r="2259" spans="10:10" x14ac:dyDescent="0.4">
      <c r="J2259" s="140"/>
    </row>
    <row r="2260" spans="10:10" x14ac:dyDescent="0.4">
      <c r="J2260" s="140"/>
    </row>
    <row r="2261" spans="10:10" x14ac:dyDescent="0.4">
      <c r="J2261" s="140"/>
    </row>
    <row r="2262" spans="10:10" x14ac:dyDescent="0.4">
      <c r="J2262" s="140"/>
    </row>
    <row r="2263" spans="10:10" x14ac:dyDescent="0.4">
      <c r="J2263" s="140"/>
    </row>
    <row r="2264" spans="10:10" x14ac:dyDescent="0.4">
      <c r="J2264" s="140"/>
    </row>
    <row r="2265" spans="10:10" x14ac:dyDescent="0.4">
      <c r="J2265" s="140"/>
    </row>
    <row r="2266" spans="10:10" x14ac:dyDescent="0.4">
      <c r="J2266" s="140"/>
    </row>
    <row r="2267" spans="10:10" x14ac:dyDescent="0.4">
      <c r="J2267" s="140"/>
    </row>
    <row r="2268" spans="10:10" x14ac:dyDescent="0.4">
      <c r="J2268" s="140"/>
    </row>
    <row r="2269" spans="10:10" x14ac:dyDescent="0.4">
      <c r="J2269" s="140"/>
    </row>
    <row r="2270" spans="10:10" x14ac:dyDescent="0.4">
      <c r="J2270" s="140"/>
    </row>
    <row r="2271" spans="10:10" x14ac:dyDescent="0.4">
      <c r="J2271" s="140"/>
    </row>
    <row r="2272" spans="10:10" x14ac:dyDescent="0.4">
      <c r="J2272" s="140"/>
    </row>
    <row r="2273" spans="10:10" x14ac:dyDescent="0.4">
      <c r="J2273" s="140"/>
    </row>
    <row r="2274" spans="10:10" x14ac:dyDescent="0.4">
      <c r="J2274" s="140"/>
    </row>
    <row r="2275" spans="10:10" x14ac:dyDescent="0.4">
      <c r="J2275" s="140"/>
    </row>
    <row r="2276" spans="10:10" x14ac:dyDescent="0.4">
      <c r="J2276" s="140"/>
    </row>
    <row r="2277" spans="10:10" x14ac:dyDescent="0.4">
      <c r="J2277" s="140"/>
    </row>
    <row r="2278" spans="10:10" x14ac:dyDescent="0.4">
      <c r="J2278" s="140"/>
    </row>
    <row r="2279" spans="10:10" x14ac:dyDescent="0.4">
      <c r="J2279" s="140"/>
    </row>
    <row r="2280" spans="10:10" x14ac:dyDescent="0.4">
      <c r="J2280" s="140"/>
    </row>
    <row r="2281" spans="10:10" x14ac:dyDescent="0.4">
      <c r="J2281" s="140"/>
    </row>
    <row r="2282" spans="10:10" x14ac:dyDescent="0.4">
      <c r="J2282" s="140"/>
    </row>
    <row r="2283" spans="10:10" x14ac:dyDescent="0.4">
      <c r="J2283" s="140"/>
    </row>
    <row r="2284" spans="10:10" x14ac:dyDescent="0.4">
      <c r="J2284" s="140"/>
    </row>
    <row r="2285" spans="10:10" x14ac:dyDescent="0.4">
      <c r="J2285" s="140"/>
    </row>
    <row r="2286" spans="10:10" x14ac:dyDescent="0.4">
      <c r="J2286" s="140"/>
    </row>
    <row r="2287" spans="10:10" x14ac:dyDescent="0.4">
      <c r="J2287" s="140"/>
    </row>
    <row r="2288" spans="10:10" x14ac:dyDescent="0.4">
      <c r="J2288" s="140"/>
    </row>
    <row r="2289" spans="10:10" x14ac:dyDescent="0.4">
      <c r="J2289" s="140"/>
    </row>
    <row r="2290" spans="10:10" x14ac:dyDescent="0.4">
      <c r="J2290" s="140"/>
    </row>
    <row r="2291" spans="10:10" x14ac:dyDescent="0.4">
      <c r="J2291" s="140"/>
    </row>
    <row r="2292" spans="10:10" x14ac:dyDescent="0.4">
      <c r="J2292" s="140"/>
    </row>
    <row r="2293" spans="10:10" x14ac:dyDescent="0.4">
      <c r="J2293" s="140"/>
    </row>
    <row r="2294" spans="10:10" x14ac:dyDescent="0.4">
      <c r="J2294" s="140"/>
    </row>
    <row r="2295" spans="10:10" x14ac:dyDescent="0.4">
      <c r="J2295" s="140"/>
    </row>
    <row r="2296" spans="10:10" x14ac:dyDescent="0.4">
      <c r="J2296" s="140"/>
    </row>
    <row r="2297" spans="10:10" x14ac:dyDescent="0.4">
      <c r="J2297" s="140"/>
    </row>
    <row r="2298" spans="10:10" x14ac:dyDescent="0.4">
      <c r="J2298" s="140"/>
    </row>
    <row r="2299" spans="10:10" x14ac:dyDescent="0.4">
      <c r="J2299" s="140"/>
    </row>
    <row r="2300" spans="10:10" x14ac:dyDescent="0.4">
      <c r="J2300" s="140"/>
    </row>
    <row r="2301" spans="10:10" x14ac:dyDescent="0.4">
      <c r="J2301" s="140"/>
    </row>
    <row r="2302" spans="10:10" x14ac:dyDescent="0.4">
      <c r="J2302" s="140"/>
    </row>
    <row r="2303" spans="10:10" x14ac:dyDescent="0.4">
      <c r="J2303" s="140"/>
    </row>
    <row r="2304" spans="10:10" x14ac:dyDescent="0.4">
      <c r="J2304" s="140"/>
    </row>
    <row r="2305" spans="10:10" x14ac:dyDescent="0.4">
      <c r="J2305" s="140"/>
    </row>
    <row r="2306" spans="10:10" x14ac:dyDescent="0.4">
      <c r="J2306" s="140"/>
    </row>
    <row r="2307" spans="10:10" x14ac:dyDescent="0.4">
      <c r="J2307" s="140"/>
    </row>
    <row r="2308" spans="10:10" x14ac:dyDescent="0.4">
      <c r="J2308" s="140"/>
    </row>
    <row r="2309" spans="10:10" x14ac:dyDescent="0.4">
      <c r="J2309" s="140"/>
    </row>
    <row r="2310" spans="10:10" x14ac:dyDescent="0.4">
      <c r="J2310" s="140"/>
    </row>
    <row r="2311" spans="10:10" x14ac:dyDescent="0.4">
      <c r="J2311" s="140"/>
    </row>
    <row r="2312" spans="10:10" x14ac:dyDescent="0.4">
      <c r="J2312" s="140"/>
    </row>
    <row r="2313" spans="10:10" x14ac:dyDescent="0.4">
      <c r="J2313" s="140"/>
    </row>
    <row r="2314" spans="10:10" x14ac:dyDescent="0.4">
      <c r="J2314" s="140"/>
    </row>
    <row r="2315" spans="10:10" x14ac:dyDescent="0.4">
      <c r="J2315" s="140"/>
    </row>
    <row r="2316" spans="10:10" x14ac:dyDescent="0.4">
      <c r="J2316" s="140"/>
    </row>
    <row r="2317" spans="10:10" x14ac:dyDescent="0.4">
      <c r="J2317" s="140"/>
    </row>
    <row r="2318" spans="10:10" x14ac:dyDescent="0.4">
      <c r="J2318" s="140"/>
    </row>
    <row r="2319" spans="10:10" x14ac:dyDescent="0.4">
      <c r="J2319" s="140"/>
    </row>
    <row r="2320" spans="10:10" x14ac:dyDescent="0.4">
      <c r="J2320" s="140"/>
    </row>
    <row r="2321" spans="10:10" x14ac:dyDescent="0.4">
      <c r="J2321" s="140"/>
    </row>
    <row r="2322" spans="10:10" x14ac:dyDescent="0.4">
      <c r="J2322" s="140"/>
    </row>
    <row r="2323" spans="10:10" x14ac:dyDescent="0.4">
      <c r="J2323" s="140"/>
    </row>
    <row r="2324" spans="10:10" x14ac:dyDescent="0.4">
      <c r="J2324" s="140"/>
    </row>
    <row r="2325" spans="10:10" x14ac:dyDescent="0.4">
      <c r="J2325" s="140"/>
    </row>
    <row r="2326" spans="10:10" x14ac:dyDescent="0.4">
      <c r="J2326" s="140"/>
    </row>
    <row r="2327" spans="10:10" x14ac:dyDescent="0.4">
      <c r="J2327" s="140"/>
    </row>
    <row r="2328" spans="10:10" x14ac:dyDescent="0.4">
      <c r="J2328" s="140"/>
    </row>
    <row r="2329" spans="10:10" x14ac:dyDescent="0.4">
      <c r="J2329" s="140"/>
    </row>
    <row r="2330" spans="10:10" x14ac:dyDescent="0.4">
      <c r="J2330" s="140"/>
    </row>
    <row r="2331" spans="10:10" x14ac:dyDescent="0.4">
      <c r="J2331" s="140"/>
    </row>
    <row r="2332" spans="10:10" x14ac:dyDescent="0.4">
      <c r="J2332" s="140"/>
    </row>
    <row r="2333" spans="10:10" x14ac:dyDescent="0.4">
      <c r="J2333" s="140"/>
    </row>
    <row r="2334" spans="10:10" x14ac:dyDescent="0.4">
      <c r="J2334" s="140"/>
    </row>
    <row r="2335" spans="10:10" x14ac:dyDescent="0.4">
      <c r="J2335" s="140"/>
    </row>
    <row r="2336" spans="10:10" x14ac:dyDescent="0.4">
      <c r="J2336" s="140"/>
    </row>
    <row r="2337" spans="10:10" x14ac:dyDescent="0.4">
      <c r="J2337" s="140"/>
    </row>
    <row r="2338" spans="10:10" x14ac:dyDescent="0.4">
      <c r="J2338" s="140"/>
    </row>
    <row r="2339" spans="10:10" x14ac:dyDescent="0.4">
      <c r="J2339" s="140"/>
    </row>
    <row r="2340" spans="10:10" x14ac:dyDescent="0.4">
      <c r="J2340" s="140"/>
    </row>
    <row r="2341" spans="10:10" x14ac:dyDescent="0.4">
      <c r="J2341" s="140"/>
    </row>
    <row r="2342" spans="10:10" x14ac:dyDescent="0.4">
      <c r="J2342" s="140"/>
    </row>
    <row r="2343" spans="10:10" x14ac:dyDescent="0.4">
      <c r="J2343" s="140"/>
    </row>
    <row r="2344" spans="10:10" x14ac:dyDescent="0.4">
      <c r="J2344" s="140"/>
    </row>
    <row r="2345" spans="10:10" x14ac:dyDescent="0.4">
      <c r="J2345" s="140"/>
    </row>
    <row r="2346" spans="10:10" x14ac:dyDescent="0.4">
      <c r="J2346" s="140"/>
    </row>
    <row r="2347" spans="10:10" x14ac:dyDescent="0.4">
      <c r="J2347" s="140"/>
    </row>
    <row r="2348" spans="10:10" x14ac:dyDescent="0.4">
      <c r="J2348" s="140"/>
    </row>
    <row r="2349" spans="10:10" x14ac:dyDescent="0.4">
      <c r="J2349" s="140"/>
    </row>
    <row r="2350" spans="10:10" x14ac:dyDescent="0.4">
      <c r="J2350" s="140"/>
    </row>
    <row r="2351" spans="10:10" x14ac:dyDescent="0.4">
      <c r="J2351" s="140"/>
    </row>
    <row r="2352" spans="10:10" x14ac:dyDescent="0.4">
      <c r="J2352" s="140"/>
    </row>
    <row r="2353" spans="10:10" x14ac:dyDescent="0.4">
      <c r="J2353" s="140"/>
    </row>
    <row r="2354" spans="10:10" x14ac:dyDescent="0.4">
      <c r="J2354" s="140"/>
    </row>
    <row r="2355" spans="10:10" x14ac:dyDescent="0.4">
      <c r="J2355" s="140"/>
    </row>
    <row r="2356" spans="10:10" x14ac:dyDescent="0.4">
      <c r="J2356" s="140"/>
    </row>
    <row r="2357" spans="10:10" x14ac:dyDescent="0.4">
      <c r="J2357" s="140"/>
    </row>
    <row r="2358" spans="10:10" x14ac:dyDescent="0.4">
      <c r="J2358" s="140"/>
    </row>
    <row r="2359" spans="10:10" x14ac:dyDescent="0.4">
      <c r="J2359" s="140"/>
    </row>
    <row r="2360" spans="10:10" x14ac:dyDescent="0.4">
      <c r="J2360" s="140"/>
    </row>
    <row r="2361" spans="10:10" x14ac:dyDescent="0.4">
      <c r="J2361" s="140"/>
    </row>
    <row r="2362" spans="10:10" x14ac:dyDescent="0.4">
      <c r="J2362" s="140"/>
    </row>
    <row r="2363" spans="10:10" x14ac:dyDescent="0.4">
      <c r="J2363" s="140"/>
    </row>
    <row r="2364" spans="10:10" x14ac:dyDescent="0.4">
      <c r="J2364" s="140"/>
    </row>
    <row r="2365" spans="10:10" x14ac:dyDescent="0.4">
      <c r="J2365" s="140"/>
    </row>
    <row r="2366" spans="10:10" x14ac:dyDescent="0.4">
      <c r="J2366" s="140"/>
    </row>
    <row r="2367" spans="10:10" x14ac:dyDescent="0.4">
      <c r="J2367" s="140"/>
    </row>
    <row r="2368" spans="10:10" x14ac:dyDescent="0.4">
      <c r="J2368" s="140"/>
    </row>
    <row r="2369" spans="10:10" x14ac:dyDescent="0.4">
      <c r="J2369" s="140"/>
    </row>
    <row r="2370" spans="10:10" x14ac:dyDescent="0.4">
      <c r="J2370" s="140"/>
    </row>
    <row r="2371" spans="10:10" x14ac:dyDescent="0.4">
      <c r="J2371" s="140"/>
    </row>
    <row r="2372" spans="10:10" x14ac:dyDescent="0.4">
      <c r="J2372" s="140"/>
    </row>
    <row r="2373" spans="10:10" x14ac:dyDescent="0.4">
      <c r="J2373" s="140"/>
    </row>
    <row r="2374" spans="10:10" x14ac:dyDescent="0.4">
      <c r="J2374" s="140"/>
    </row>
    <row r="2375" spans="10:10" x14ac:dyDescent="0.4">
      <c r="J2375" s="140"/>
    </row>
    <row r="2376" spans="10:10" x14ac:dyDescent="0.4">
      <c r="J2376" s="140"/>
    </row>
    <row r="2377" spans="10:10" x14ac:dyDescent="0.4">
      <c r="J2377" s="140"/>
    </row>
    <row r="2378" spans="10:10" x14ac:dyDescent="0.4">
      <c r="J2378" s="140"/>
    </row>
    <row r="2379" spans="10:10" x14ac:dyDescent="0.4">
      <c r="J2379" s="140"/>
    </row>
    <row r="2380" spans="10:10" x14ac:dyDescent="0.4">
      <c r="J2380" s="140"/>
    </row>
    <row r="2381" spans="10:10" x14ac:dyDescent="0.4">
      <c r="J2381" s="140"/>
    </row>
    <row r="2382" spans="10:10" x14ac:dyDescent="0.4">
      <c r="J2382" s="140"/>
    </row>
    <row r="2383" spans="10:10" x14ac:dyDescent="0.4">
      <c r="J2383" s="140"/>
    </row>
    <row r="2384" spans="10:10" x14ac:dyDescent="0.4">
      <c r="J2384" s="140"/>
    </row>
    <row r="2385" spans="10:10" x14ac:dyDescent="0.4">
      <c r="J2385" s="140"/>
    </row>
    <row r="2386" spans="10:10" x14ac:dyDescent="0.4">
      <c r="J2386" s="140"/>
    </row>
    <row r="2387" spans="10:10" x14ac:dyDescent="0.4">
      <c r="J2387" s="140"/>
    </row>
    <row r="2388" spans="10:10" x14ac:dyDescent="0.4">
      <c r="J2388" s="140"/>
    </row>
    <row r="2389" spans="10:10" x14ac:dyDescent="0.4">
      <c r="J2389" s="140"/>
    </row>
    <row r="2390" spans="10:10" x14ac:dyDescent="0.4">
      <c r="J2390" s="140"/>
    </row>
    <row r="2391" spans="10:10" x14ac:dyDescent="0.4">
      <c r="J2391" s="140"/>
    </row>
    <row r="2392" spans="10:10" x14ac:dyDescent="0.4">
      <c r="J2392" s="140"/>
    </row>
    <row r="2393" spans="10:10" x14ac:dyDescent="0.4">
      <c r="J2393" s="140"/>
    </row>
    <row r="2394" spans="10:10" x14ac:dyDescent="0.4">
      <c r="J2394" s="140"/>
    </row>
    <row r="2395" spans="10:10" x14ac:dyDescent="0.4">
      <c r="J2395" s="140"/>
    </row>
    <row r="2396" spans="10:10" x14ac:dyDescent="0.4">
      <c r="J2396" s="140"/>
    </row>
    <row r="2397" spans="10:10" x14ac:dyDescent="0.4">
      <c r="J2397" s="140"/>
    </row>
    <row r="2398" spans="10:10" x14ac:dyDescent="0.4">
      <c r="J2398" s="140"/>
    </row>
    <row r="2399" spans="10:10" x14ac:dyDescent="0.4">
      <c r="J2399" s="140"/>
    </row>
    <row r="2400" spans="10:10" x14ac:dyDescent="0.4">
      <c r="J2400" s="140"/>
    </row>
    <row r="2401" spans="10:10" x14ac:dyDescent="0.4">
      <c r="J2401" s="140"/>
    </row>
    <row r="2402" spans="10:10" x14ac:dyDescent="0.4">
      <c r="J2402" s="140"/>
    </row>
    <row r="2403" spans="10:10" x14ac:dyDescent="0.4">
      <c r="J2403" s="140"/>
    </row>
    <row r="2404" spans="10:10" x14ac:dyDescent="0.4">
      <c r="J2404" s="140"/>
    </row>
    <row r="2405" spans="10:10" x14ac:dyDescent="0.4">
      <c r="J2405" s="140"/>
    </row>
    <row r="2406" spans="10:10" x14ac:dyDescent="0.4">
      <c r="J2406" s="140"/>
    </row>
    <row r="2407" spans="10:10" x14ac:dyDescent="0.4">
      <c r="J2407" s="140"/>
    </row>
    <row r="2408" spans="10:10" x14ac:dyDescent="0.4">
      <c r="J2408" s="140"/>
    </row>
    <row r="2409" spans="10:10" x14ac:dyDescent="0.4">
      <c r="J2409" s="140"/>
    </row>
    <row r="2410" spans="10:10" x14ac:dyDescent="0.4">
      <c r="J2410" s="140"/>
    </row>
    <row r="2411" spans="10:10" x14ac:dyDescent="0.4">
      <c r="J2411" s="140"/>
    </row>
    <row r="2412" spans="10:10" x14ac:dyDescent="0.4">
      <c r="J2412" s="140"/>
    </row>
    <row r="2413" spans="10:10" x14ac:dyDescent="0.4">
      <c r="J2413" s="140"/>
    </row>
    <row r="2414" spans="10:10" x14ac:dyDescent="0.4">
      <c r="J2414" s="140"/>
    </row>
    <row r="2415" spans="10:10" x14ac:dyDescent="0.4">
      <c r="J2415" s="140"/>
    </row>
    <row r="2416" spans="10:10" x14ac:dyDescent="0.4">
      <c r="J2416" s="140"/>
    </row>
    <row r="2417" spans="10:10" x14ac:dyDescent="0.4">
      <c r="J2417" s="140"/>
    </row>
    <row r="2418" spans="10:10" x14ac:dyDescent="0.4">
      <c r="J2418" s="140"/>
    </row>
    <row r="2419" spans="10:10" x14ac:dyDescent="0.4">
      <c r="J2419" s="140"/>
    </row>
    <row r="2420" spans="10:10" x14ac:dyDescent="0.4">
      <c r="J2420" s="140"/>
    </row>
    <row r="2421" spans="10:10" x14ac:dyDescent="0.4">
      <c r="J2421" s="140"/>
    </row>
    <row r="2422" spans="10:10" x14ac:dyDescent="0.4">
      <c r="J2422" s="140"/>
    </row>
    <row r="2423" spans="10:10" x14ac:dyDescent="0.4">
      <c r="J2423" s="140"/>
    </row>
    <row r="2424" spans="10:10" x14ac:dyDescent="0.4">
      <c r="J2424" s="140"/>
    </row>
    <row r="2425" spans="10:10" x14ac:dyDescent="0.4">
      <c r="J2425" s="140"/>
    </row>
    <row r="2426" spans="10:10" x14ac:dyDescent="0.4">
      <c r="J2426" s="140"/>
    </row>
    <row r="2427" spans="10:10" x14ac:dyDescent="0.4">
      <c r="J2427" s="140"/>
    </row>
    <row r="2428" spans="10:10" x14ac:dyDescent="0.4">
      <c r="J2428" s="140"/>
    </row>
    <row r="2429" spans="10:10" x14ac:dyDescent="0.4">
      <c r="J2429" s="140"/>
    </row>
    <row r="2430" spans="10:10" x14ac:dyDescent="0.4">
      <c r="J2430" s="140"/>
    </row>
    <row r="2431" spans="10:10" x14ac:dyDescent="0.4">
      <c r="J2431" s="140"/>
    </row>
    <row r="2432" spans="10:10" x14ac:dyDescent="0.4">
      <c r="J2432" s="140"/>
    </row>
    <row r="2433" spans="10:10" x14ac:dyDescent="0.4">
      <c r="J2433" s="140"/>
    </row>
    <row r="2434" spans="10:10" x14ac:dyDescent="0.4">
      <c r="J2434" s="140"/>
    </row>
    <row r="2435" spans="10:10" x14ac:dyDescent="0.4">
      <c r="J2435" s="140"/>
    </row>
    <row r="2436" spans="10:10" x14ac:dyDescent="0.4">
      <c r="J2436" s="140"/>
    </row>
    <row r="2437" spans="10:10" x14ac:dyDescent="0.4">
      <c r="J2437" s="140"/>
    </row>
    <row r="2438" spans="10:10" x14ac:dyDescent="0.4">
      <c r="J2438" s="140"/>
    </row>
    <row r="2439" spans="10:10" x14ac:dyDescent="0.4">
      <c r="J2439" s="140"/>
    </row>
    <row r="2440" spans="10:10" x14ac:dyDescent="0.4">
      <c r="J2440" s="140"/>
    </row>
    <row r="2441" spans="10:10" x14ac:dyDescent="0.4">
      <c r="J2441" s="140"/>
    </row>
    <row r="2442" spans="10:10" x14ac:dyDescent="0.4">
      <c r="J2442" s="140"/>
    </row>
    <row r="2443" spans="10:10" x14ac:dyDescent="0.4">
      <c r="J2443" s="140"/>
    </row>
    <row r="2444" spans="10:10" x14ac:dyDescent="0.4">
      <c r="J2444" s="140"/>
    </row>
    <row r="2445" spans="10:10" x14ac:dyDescent="0.4">
      <c r="J2445" s="140"/>
    </row>
    <row r="2446" spans="10:10" x14ac:dyDescent="0.4">
      <c r="J2446" s="140"/>
    </row>
    <row r="2447" spans="10:10" x14ac:dyDescent="0.4">
      <c r="J2447" s="140"/>
    </row>
    <row r="2448" spans="10:10" x14ac:dyDescent="0.4">
      <c r="J2448" s="140"/>
    </row>
    <row r="2449" spans="10:10" x14ac:dyDescent="0.4">
      <c r="J2449" s="140"/>
    </row>
    <row r="2450" spans="10:10" x14ac:dyDescent="0.4">
      <c r="J2450" s="140"/>
    </row>
    <row r="2451" spans="10:10" x14ac:dyDescent="0.4">
      <c r="J2451" s="140"/>
    </row>
    <row r="2452" spans="10:10" x14ac:dyDescent="0.4">
      <c r="J2452" s="140"/>
    </row>
    <row r="2453" spans="10:10" x14ac:dyDescent="0.4">
      <c r="J2453" s="140"/>
    </row>
    <row r="2454" spans="10:10" x14ac:dyDescent="0.4">
      <c r="J2454" s="140"/>
    </row>
    <row r="2455" spans="10:10" x14ac:dyDescent="0.4">
      <c r="J2455" s="140"/>
    </row>
    <row r="2456" spans="10:10" x14ac:dyDescent="0.4">
      <c r="J2456" s="140"/>
    </row>
    <row r="2457" spans="10:10" x14ac:dyDescent="0.4">
      <c r="J2457" s="140"/>
    </row>
    <row r="2458" spans="10:10" x14ac:dyDescent="0.4">
      <c r="J2458" s="140"/>
    </row>
    <row r="2459" spans="10:10" x14ac:dyDescent="0.4">
      <c r="J2459" s="140"/>
    </row>
    <row r="2460" spans="10:10" x14ac:dyDescent="0.4">
      <c r="J2460" s="140"/>
    </row>
    <row r="2461" spans="10:10" x14ac:dyDescent="0.4">
      <c r="J2461" s="140"/>
    </row>
    <row r="2462" spans="10:10" x14ac:dyDescent="0.4">
      <c r="J2462" s="140"/>
    </row>
    <row r="2463" spans="10:10" x14ac:dyDescent="0.4">
      <c r="J2463" s="140"/>
    </row>
    <row r="2464" spans="10:10" x14ac:dyDescent="0.4">
      <c r="J2464" s="140"/>
    </row>
    <row r="2465" spans="10:10" x14ac:dyDescent="0.4">
      <c r="J2465" s="140"/>
    </row>
    <row r="2466" spans="10:10" x14ac:dyDescent="0.4">
      <c r="J2466" s="140"/>
    </row>
    <row r="2467" spans="10:10" x14ac:dyDescent="0.4">
      <c r="J2467" s="140"/>
    </row>
    <row r="2468" spans="10:10" x14ac:dyDescent="0.4">
      <c r="J2468" s="140"/>
    </row>
    <row r="2469" spans="10:10" x14ac:dyDescent="0.4">
      <c r="J2469" s="140"/>
    </row>
    <row r="2470" spans="10:10" x14ac:dyDescent="0.4">
      <c r="J2470" s="140"/>
    </row>
    <row r="2471" spans="10:10" x14ac:dyDescent="0.4">
      <c r="J2471" s="140"/>
    </row>
    <row r="2472" spans="10:10" x14ac:dyDescent="0.4">
      <c r="J2472" s="140"/>
    </row>
    <row r="2473" spans="10:10" x14ac:dyDescent="0.4">
      <c r="J2473" s="140"/>
    </row>
    <row r="2474" spans="10:10" x14ac:dyDescent="0.4">
      <c r="J2474" s="140"/>
    </row>
    <row r="2475" spans="10:10" x14ac:dyDescent="0.4">
      <c r="J2475" s="140"/>
    </row>
    <row r="2476" spans="10:10" x14ac:dyDescent="0.4">
      <c r="J2476" s="140"/>
    </row>
    <row r="2477" spans="10:10" x14ac:dyDescent="0.4">
      <c r="J2477" s="140"/>
    </row>
    <row r="2478" spans="10:10" x14ac:dyDescent="0.4">
      <c r="J2478" s="140"/>
    </row>
    <row r="2479" spans="10:10" x14ac:dyDescent="0.4">
      <c r="J2479" s="140"/>
    </row>
    <row r="2480" spans="10:10" x14ac:dyDescent="0.4">
      <c r="J2480" s="140"/>
    </row>
    <row r="2481" spans="10:10" x14ac:dyDescent="0.4">
      <c r="J2481" s="140"/>
    </row>
    <row r="2482" spans="10:10" x14ac:dyDescent="0.4">
      <c r="J2482" s="140"/>
    </row>
    <row r="2483" spans="10:10" x14ac:dyDescent="0.4">
      <c r="J2483" s="140"/>
    </row>
    <row r="2484" spans="10:10" x14ac:dyDescent="0.4">
      <c r="J2484" s="140"/>
    </row>
    <row r="2485" spans="10:10" x14ac:dyDescent="0.4">
      <c r="J2485" s="140"/>
    </row>
    <row r="2486" spans="10:10" x14ac:dyDescent="0.4">
      <c r="J2486" s="140"/>
    </row>
    <row r="2487" spans="10:10" x14ac:dyDescent="0.4">
      <c r="J2487" s="140"/>
    </row>
    <row r="2488" spans="10:10" x14ac:dyDescent="0.4">
      <c r="J2488" s="140"/>
    </row>
    <row r="2489" spans="10:10" x14ac:dyDescent="0.4">
      <c r="J2489" s="140"/>
    </row>
    <row r="2490" spans="10:10" x14ac:dyDescent="0.4">
      <c r="J2490" s="140"/>
    </row>
    <row r="2491" spans="10:10" x14ac:dyDescent="0.4">
      <c r="J2491" s="140"/>
    </row>
    <row r="2492" spans="10:10" x14ac:dyDescent="0.4">
      <c r="J2492" s="140"/>
    </row>
    <row r="2493" spans="10:10" x14ac:dyDescent="0.4">
      <c r="J2493" s="140"/>
    </row>
    <row r="2494" spans="10:10" x14ac:dyDescent="0.4">
      <c r="J2494" s="140"/>
    </row>
    <row r="2495" spans="10:10" x14ac:dyDescent="0.4">
      <c r="J2495" s="140"/>
    </row>
    <row r="2496" spans="10:10" x14ac:dyDescent="0.4">
      <c r="J2496" s="140"/>
    </row>
    <row r="2497" spans="10:10" x14ac:dyDescent="0.4">
      <c r="J2497" s="140"/>
    </row>
    <row r="2498" spans="10:10" x14ac:dyDescent="0.4">
      <c r="J2498" s="140"/>
    </row>
    <row r="2499" spans="10:10" x14ac:dyDescent="0.4">
      <c r="J2499" s="140"/>
    </row>
    <row r="2500" spans="10:10" x14ac:dyDescent="0.4">
      <c r="J2500" s="140"/>
    </row>
    <row r="2501" spans="10:10" x14ac:dyDescent="0.4">
      <c r="J2501" s="140"/>
    </row>
    <row r="2502" spans="10:10" x14ac:dyDescent="0.4">
      <c r="J2502" s="140"/>
    </row>
    <row r="2503" spans="10:10" x14ac:dyDescent="0.4">
      <c r="J2503" s="140"/>
    </row>
    <row r="2504" spans="10:10" x14ac:dyDescent="0.4">
      <c r="J2504" s="140"/>
    </row>
    <row r="2505" spans="10:10" x14ac:dyDescent="0.4">
      <c r="J2505" s="140"/>
    </row>
    <row r="2506" spans="10:10" x14ac:dyDescent="0.4">
      <c r="J2506" s="140"/>
    </row>
    <row r="2507" spans="10:10" x14ac:dyDescent="0.4">
      <c r="J2507" s="140"/>
    </row>
    <row r="2508" spans="10:10" x14ac:dyDescent="0.4">
      <c r="J2508" s="140"/>
    </row>
    <row r="2509" spans="10:10" x14ac:dyDescent="0.4">
      <c r="J2509" s="140"/>
    </row>
    <row r="2510" spans="10:10" x14ac:dyDescent="0.4">
      <c r="J2510" s="140"/>
    </row>
    <row r="2511" spans="10:10" x14ac:dyDescent="0.4">
      <c r="J2511" s="140"/>
    </row>
    <row r="2512" spans="10:10" x14ac:dyDescent="0.4">
      <c r="J2512" s="140"/>
    </row>
    <row r="2513" spans="10:10" x14ac:dyDescent="0.4">
      <c r="J2513" s="140"/>
    </row>
    <row r="2514" spans="10:10" x14ac:dyDescent="0.4">
      <c r="J2514" s="140"/>
    </row>
    <row r="2515" spans="10:10" x14ac:dyDescent="0.4">
      <c r="J2515" s="140"/>
    </row>
    <row r="2516" spans="10:10" x14ac:dyDescent="0.4">
      <c r="J2516" s="140"/>
    </row>
    <row r="2517" spans="10:10" x14ac:dyDescent="0.4">
      <c r="J2517" s="140"/>
    </row>
    <row r="2518" spans="10:10" x14ac:dyDescent="0.4">
      <c r="J2518" s="140"/>
    </row>
    <row r="2519" spans="10:10" x14ac:dyDescent="0.4">
      <c r="J2519" s="140"/>
    </row>
    <row r="2520" spans="10:10" x14ac:dyDescent="0.4">
      <c r="J2520" s="140"/>
    </row>
    <row r="2521" spans="10:10" x14ac:dyDescent="0.4">
      <c r="J2521" s="140"/>
    </row>
    <row r="2522" spans="10:10" x14ac:dyDescent="0.4">
      <c r="J2522" s="140"/>
    </row>
    <row r="2523" spans="10:10" x14ac:dyDescent="0.4">
      <c r="J2523" s="140"/>
    </row>
    <row r="2524" spans="10:10" x14ac:dyDescent="0.4">
      <c r="J2524" s="140"/>
    </row>
    <row r="2525" spans="10:10" x14ac:dyDescent="0.4">
      <c r="J2525" s="140"/>
    </row>
    <row r="2526" spans="10:10" x14ac:dyDescent="0.4">
      <c r="J2526" s="140"/>
    </row>
    <row r="2527" spans="10:10" x14ac:dyDescent="0.4">
      <c r="J2527" s="140"/>
    </row>
    <row r="2528" spans="10:10" x14ac:dyDescent="0.4">
      <c r="J2528" s="140"/>
    </row>
    <row r="2529" spans="10:10" x14ac:dyDescent="0.4">
      <c r="J2529" s="140"/>
    </row>
    <row r="2530" spans="10:10" x14ac:dyDescent="0.4">
      <c r="J2530" s="140"/>
    </row>
    <row r="2531" spans="10:10" x14ac:dyDescent="0.4">
      <c r="J2531" s="140"/>
    </row>
    <row r="2532" spans="10:10" x14ac:dyDescent="0.4">
      <c r="J2532" s="140"/>
    </row>
    <row r="2533" spans="10:10" x14ac:dyDescent="0.4">
      <c r="J2533" s="140"/>
    </row>
    <row r="2534" spans="10:10" x14ac:dyDescent="0.4">
      <c r="J2534" s="140"/>
    </row>
    <row r="2535" spans="10:10" x14ac:dyDescent="0.4">
      <c r="J2535" s="140"/>
    </row>
    <row r="2536" spans="10:10" x14ac:dyDescent="0.4">
      <c r="J2536" s="140"/>
    </row>
    <row r="2537" spans="10:10" x14ac:dyDescent="0.4">
      <c r="J2537" s="140"/>
    </row>
    <row r="2538" spans="10:10" x14ac:dyDescent="0.4">
      <c r="J2538" s="140"/>
    </row>
    <row r="2539" spans="10:10" x14ac:dyDescent="0.4">
      <c r="J2539" s="140"/>
    </row>
    <row r="2540" spans="10:10" x14ac:dyDescent="0.4">
      <c r="J2540" s="140"/>
    </row>
    <row r="2541" spans="10:10" x14ac:dyDescent="0.4">
      <c r="J2541" s="140"/>
    </row>
    <row r="2542" spans="10:10" x14ac:dyDescent="0.4">
      <c r="J2542" s="140"/>
    </row>
    <row r="2543" spans="10:10" x14ac:dyDescent="0.4">
      <c r="J2543" s="140"/>
    </row>
    <row r="2544" spans="10:10" x14ac:dyDescent="0.4">
      <c r="J2544" s="140"/>
    </row>
    <row r="2545" spans="10:10" x14ac:dyDescent="0.4">
      <c r="J2545" s="140"/>
    </row>
    <row r="2546" spans="10:10" x14ac:dyDescent="0.4">
      <c r="J2546" s="140"/>
    </row>
    <row r="2547" spans="10:10" x14ac:dyDescent="0.4">
      <c r="J2547" s="140"/>
    </row>
    <row r="2548" spans="10:10" x14ac:dyDescent="0.4">
      <c r="J2548" s="140"/>
    </row>
    <row r="2549" spans="10:10" x14ac:dyDescent="0.4">
      <c r="J2549" s="140"/>
    </row>
    <row r="2550" spans="10:10" x14ac:dyDescent="0.4">
      <c r="J2550" s="140"/>
    </row>
    <row r="2551" spans="10:10" x14ac:dyDescent="0.4">
      <c r="J2551" s="140"/>
    </row>
    <row r="2552" spans="10:10" x14ac:dyDescent="0.4">
      <c r="J2552" s="140"/>
    </row>
    <row r="2553" spans="10:10" x14ac:dyDescent="0.4">
      <c r="J2553" s="140"/>
    </row>
    <row r="2554" spans="10:10" x14ac:dyDescent="0.4">
      <c r="J2554" s="140"/>
    </row>
    <row r="2555" spans="10:10" x14ac:dyDescent="0.4">
      <c r="J2555" s="140"/>
    </row>
    <row r="2556" spans="10:10" x14ac:dyDescent="0.4">
      <c r="J2556" s="140"/>
    </row>
    <row r="2557" spans="10:10" x14ac:dyDescent="0.4">
      <c r="J2557" s="140"/>
    </row>
    <row r="2558" spans="10:10" x14ac:dyDescent="0.4">
      <c r="J2558" s="140"/>
    </row>
    <row r="2559" spans="10:10" x14ac:dyDescent="0.4">
      <c r="J2559" s="140"/>
    </row>
    <row r="2560" spans="10:10" x14ac:dyDescent="0.4">
      <c r="J2560" s="140"/>
    </row>
    <row r="2561" spans="10:10" x14ac:dyDescent="0.4">
      <c r="J2561" s="140"/>
    </row>
    <row r="2562" spans="10:10" x14ac:dyDescent="0.4">
      <c r="J2562" s="140"/>
    </row>
    <row r="2563" spans="10:10" x14ac:dyDescent="0.4">
      <c r="J2563" s="140"/>
    </row>
    <row r="2564" spans="10:10" x14ac:dyDescent="0.4">
      <c r="J2564" s="140"/>
    </row>
    <row r="2565" spans="10:10" x14ac:dyDescent="0.4">
      <c r="J2565" s="140"/>
    </row>
    <row r="2566" spans="10:10" x14ac:dyDescent="0.4">
      <c r="J2566" s="140"/>
    </row>
    <row r="2567" spans="10:10" x14ac:dyDescent="0.4">
      <c r="J2567" s="140"/>
    </row>
    <row r="2568" spans="10:10" x14ac:dyDescent="0.4">
      <c r="J2568" s="140"/>
    </row>
    <row r="2569" spans="10:10" x14ac:dyDescent="0.4">
      <c r="J2569" s="140"/>
    </row>
    <row r="2570" spans="10:10" x14ac:dyDescent="0.4">
      <c r="J2570" s="140"/>
    </row>
    <row r="2571" spans="10:10" x14ac:dyDescent="0.4">
      <c r="J2571" s="140"/>
    </row>
    <row r="2572" spans="10:10" x14ac:dyDescent="0.4">
      <c r="J2572" s="140"/>
    </row>
    <row r="2573" spans="10:10" x14ac:dyDescent="0.4">
      <c r="J2573" s="140"/>
    </row>
    <row r="2574" spans="10:10" x14ac:dyDescent="0.4">
      <c r="J2574" s="140"/>
    </row>
    <row r="2575" spans="10:10" x14ac:dyDescent="0.4">
      <c r="J2575" s="140"/>
    </row>
    <row r="2576" spans="10:10" x14ac:dyDescent="0.4">
      <c r="J2576" s="140"/>
    </row>
    <row r="2577" spans="10:10" x14ac:dyDescent="0.4">
      <c r="J2577" s="140"/>
    </row>
    <row r="2578" spans="10:10" x14ac:dyDescent="0.4">
      <c r="J2578" s="140"/>
    </row>
    <row r="2579" spans="10:10" x14ac:dyDescent="0.4">
      <c r="J2579" s="140"/>
    </row>
    <row r="2580" spans="10:10" x14ac:dyDescent="0.4">
      <c r="J2580" s="140"/>
    </row>
    <row r="2581" spans="10:10" x14ac:dyDescent="0.4">
      <c r="J2581" s="140"/>
    </row>
    <row r="2582" spans="10:10" x14ac:dyDescent="0.4">
      <c r="J2582" s="140"/>
    </row>
    <row r="2583" spans="10:10" x14ac:dyDescent="0.4">
      <c r="J2583" s="140"/>
    </row>
    <row r="2584" spans="10:10" x14ac:dyDescent="0.4">
      <c r="J2584" s="140"/>
    </row>
    <row r="2585" spans="10:10" x14ac:dyDescent="0.4">
      <c r="J2585" s="140"/>
    </row>
    <row r="2586" spans="10:10" x14ac:dyDescent="0.4">
      <c r="J2586" s="140"/>
    </row>
    <row r="2587" spans="10:10" x14ac:dyDescent="0.4">
      <c r="J2587" s="140"/>
    </row>
    <row r="2588" spans="10:10" x14ac:dyDescent="0.4">
      <c r="J2588" s="140"/>
    </row>
    <row r="2589" spans="10:10" x14ac:dyDescent="0.4">
      <c r="J2589" s="140"/>
    </row>
    <row r="2590" spans="10:10" x14ac:dyDescent="0.4">
      <c r="J2590" s="140"/>
    </row>
    <row r="2591" spans="10:10" x14ac:dyDescent="0.4">
      <c r="J2591" s="140"/>
    </row>
    <row r="2592" spans="10:10" x14ac:dyDescent="0.4">
      <c r="J2592" s="140"/>
    </row>
    <row r="2593" spans="10:10" x14ac:dyDescent="0.4">
      <c r="J2593" s="140"/>
    </row>
    <row r="2594" spans="10:10" x14ac:dyDescent="0.4">
      <c r="J2594" s="140"/>
    </row>
    <row r="2595" spans="10:10" x14ac:dyDescent="0.4">
      <c r="J2595" s="140"/>
    </row>
    <row r="2596" spans="10:10" x14ac:dyDescent="0.4">
      <c r="J2596" s="140"/>
    </row>
    <row r="2597" spans="10:10" x14ac:dyDescent="0.4">
      <c r="J2597" s="140"/>
    </row>
    <row r="2598" spans="10:10" x14ac:dyDescent="0.4">
      <c r="J2598" s="140"/>
    </row>
    <row r="2599" spans="10:10" x14ac:dyDescent="0.4">
      <c r="J2599" s="140"/>
    </row>
    <row r="2600" spans="10:10" x14ac:dyDescent="0.4">
      <c r="J2600" s="140"/>
    </row>
    <row r="2601" spans="10:10" x14ac:dyDescent="0.4">
      <c r="J2601" s="140"/>
    </row>
    <row r="2602" spans="10:10" x14ac:dyDescent="0.4">
      <c r="J2602" s="140"/>
    </row>
    <row r="2603" spans="10:10" x14ac:dyDescent="0.4">
      <c r="J2603" s="140"/>
    </row>
    <row r="2604" spans="10:10" x14ac:dyDescent="0.4">
      <c r="J2604" s="140"/>
    </row>
    <row r="2605" spans="10:10" x14ac:dyDescent="0.4">
      <c r="J2605" s="140"/>
    </row>
    <row r="2606" spans="10:10" x14ac:dyDescent="0.4">
      <c r="J2606" s="140"/>
    </row>
    <row r="2607" spans="10:10" x14ac:dyDescent="0.4">
      <c r="J2607" s="140"/>
    </row>
    <row r="2608" spans="10:10" x14ac:dyDescent="0.4">
      <c r="J2608" s="140"/>
    </row>
    <row r="2609" spans="10:10" x14ac:dyDescent="0.4">
      <c r="J2609" s="140"/>
    </row>
    <row r="2610" spans="10:10" x14ac:dyDescent="0.4">
      <c r="J2610" s="140"/>
    </row>
    <row r="2611" spans="10:10" x14ac:dyDescent="0.4">
      <c r="J2611" s="140"/>
    </row>
    <row r="2612" spans="10:10" x14ac:dyDescent="0.4">
      <c r="J2612" s="140"/>
    </row>
    <row r="2613" spans="10:10" x14ac:dyDescent="0.4">
      <c r="J2613" s="140"/>
    </row>
    <row r="2614" spans="10:10" x14ac:dyDescent="0.4">
      <c r="J2614" s="140"/>
    </row>
    <row r="2615" spans="10:10" x14ac:dyDescent="0.4">
      <c r="J2615" s="140"/>
    </row>
    <row r="2616" spans="10:10" x14ac:dyDescent="0.4">
      <c r="J2616" s="140"/>
    </row>
    <row r="2617" spans="10:10" x14ac:dyDescent="0.4">
      <c r="J2617" s="140"/>
    </row>
    <row r="2618" spans="10:10" x14ac:dyDescent="0.4">
      <c r="J2618" s="140"/>
    </row>
    <row r="2619" spans="10:10" x14ac:dyDescent="0.4">
      <c r="J2619" s="140"/>
    </row>
    <row r="2620" spans="10:10" x14ac:dyDescent="0.4">
      <c r="J2620" s="140"/>
    </row>
    <row r="2621" spans="10:10" x14ac:dyDescent="0.4">
      <c r="J2621" s="140"/>
    </row>
    <row r="2622" spans="10:10" x14ac:dyDescent="0.4">
      <c r="J2622" s="140"/>
    </row>
    <row r="2623" spans="10:10" x14ac:dyDescent="0.4">
      <c r="J2623" s="140"/>
    </row>
    <row r="2624" spans="10:10" x14ac:dyDescent="0.4">
      <c r="J2624" s="140"/>
    </row>
    <row r="2625" spans="10:10" x14ac:dyDescent="0.4">
      <c r="J2625" s="140"/>
    </row>
    <row r="2626" spans="10:10" x14ac:dyDescent="0.4">
      <c r="J2626" s="140"/>
    </row>
    <row r="2627" spans="10:10" x14ac:dyDescent="0.4">
      <c r="J2627" s="140"/>
    </row>
    <row r="2628" spans="10:10" x14ac:dyDescent="0.4">
      <c r="J2628" s="140"/>
    </row>
    <row r="2629" spans="10:10" x14ac:dyDescent="0.4">
      <c r="J2629" s="140"/>
    </row>
    <row r="2630" spans="10:10" x14ac:dyDescent="0.4">
      <c r="J2630" s="140"/>
    </row>
    <row r="2631" spans="10:10" x14ac:dyDescent="0.4">
      <c r="J2631" s="140"/>
    </row>
    <row r="2632" spans="10:10" x14ac:dyDescent="0.4">
      <c r="J2632" s="140"/>
    </row>
    <row r="2633" spans="10:10" x14ac:dyDescent="0.4">
      <c r="J2633" s="140"/>
    </row>
    <row r="2634" spans="10:10" x14ac:dyDescent="0.4">
      <c r="J2634" s="140"/>
    </row>
    <row r="2635" spans="10:10" x14ac:dyDescent="0.4">
      <c r="J2635" s="140"/>
    </row>
    <row r="2636" spans="10:10" x14ac:dyDescent="0.4">
      <c r="J2636" s="140"/>
    </row>
    <row r="2637" spans="10:10" x14ac:dyDescent="0.4">
      <c r="J2637" s="140"/>
    </row>
    <row r="2638" spans="10:10" x14ac:dyDescent="0.4">
      <c r="J2638" s="140"/>
    </row>
    <row r="2639" spans="10:10" x14ac:dyDescent="0.4">
      <c r="J2639" s="140"/>
    </row>
    <row r="2640" spans="10:10" x14ac:dyDescent="0.4">
      <c r="J2640" s="140"/>
    </row>
    <row r="2641" spans="10:10" x14ac:dyDescent="0.4">
      <c r="J2641" s="140"/>
    </row>
    <row r="2642" spans="10:10" x14ac:dyDescent="0.4">
      <c r="J2642" s="140"/>
    </row>
    <row r="2643" spans="10:10" x14ac:dyDescent="0.4">
      <c r="J2643" s="140"/>
    </row>
    <row r="2644" spans="10:10" x14ac:dyDescent="0.4">
      <c r="J2644" s="140"/>
    </row>
    <row r="2645" spans="10:10" x14ac:dyDescent="0.4">
      <c r="J2645" s="140"/>
    </row>
    <row r="2646" spans="10:10" x14ac:dyDescent="0.4">
      <c r="J2646" s="140"/>
    </row>
    <row r="2647" spans="10:10" x14ac:dyDescent="0.4">
      <c r="J2647" s="140"/>
    </row>
    <row r="2648" spans="10:10" x14ac:dyDescent="0.4">
      <c r="J2648" s="140"/>
    </row>
    <row r="2649" spans="10:10" x14ac:dyDescent="0.4">
      <c r="J2649" s="140"/>
    </row>
    <row r="2650" spans="10:10" x14ac:dyDescent="0.4">
      <c r="J2650" s="140"/>
    </row>
    <row r="2651" spans="10:10" x14ac:dyDescent="0.4">
      <c r="J2651" s="140"/>
    </row>
    <row r="2652" spans="10:10" x14ac:dyDescent="0.4">
      <c r="J2652" s="140"/>
    </row>
    <row r="2653" spans="10:10" x14ac:dyDescent="0.4">
      <c r="J2653" s="140"/>
    </row>
    <row r="2654" spans="10:10" x14ac:dyDescent="0.4">
      <c r="J2654" s="140"/>
    </row>
    <row r="2655" spans="10:10" x14ac:dyDescent="0.4">
      <c r="J2655" s="140"/>
    </row>
    <row r="2656" spans="10:10" x14ac:dyDescent="0.4">
      <c r="J2656" s="140"/>
    </row>
    <row r="2657" spans="10:10" x14ac:dyDescent="0.4">
      <c r="J2657" s="140"/>
    </row>
    <row r="2658" spans="10:10" x14ac:dyDescent="0.4">
      <c r="J2658" s="140"/>
    </row>
    <row r="2659" spans="10:10" x14ac:dyDescent="0.4">
      <c r="J2659" s="140"/>
    </row>
    <row r="2660" spans="10:10" x14ac:dyDescent="0.4">
      <c r="J2660" s="140"/>
    </row>
    <row r="2661" spans="10:10" x14ac:dyDescent="0.4">
      <c r="J2661" s="140"/>
    </row>
    <row r="2662" spans="10:10" x14ac:dyDescent="0.4">
      <c r="J2662" s="140"/>
    </row>
    <row r="2663" spans="10:10" x14ac:dyDescent="0.4">
      <c r="J2663" s="140"/>
    </row>
    <row r="2664" spans="10:10" x14ac:dyDescent="0.4">
      <c r="J2664" s="140"/>
    </row>
    <row r="2665" spans="10:10" x14ac:dyDescent="0.4">
      <c r="J2665" s="140"/>
    </row>
    <row r="2666" spans="10:10" x14ac:dyDescent="0.4">
      <c r="J2666" s="140"/>
    </row>
    <row r="2667" spans="10:10" x14ac:dyDescent="0.4">
      <c r="J2667" s="140"/>
    </row>
    <row r="2668" spans="10:10" x14ac:dyDescent="0.4">
      <c r="J2668" s="140"/>
    </row>
    <row r="2669" spans="10:10" x14ac:dyDescent="0.4">
      <c r="J2669" s="140"/>
    </row>
    <row r="2670" spans="10:10" x14ac:dyDescent="0.4">
      <c r="J2670" s="140"/>
    </row>
    <row r="2671" spans="10:10" x14ac:dyDescent="0.4">
      <c r="J2671" s="140"/>
    </row>
    <row r="2672" spans="10:10" x14ac:dyDescent="0.4">
      <c r="J2672" s="140"/>
    </row>
    <row r="2673" spans="10:10" x14ac:dyDescent="0.4">
      <c r="J2673" s="140"/>
    </row>
    <row r="2674" spans="10:10" x14ac:dyDescent="0.4">
      <c r="J2674" s="140"/>
    </row>
    <row r="2675" spans="10:10" x14ac:dyDescent="0.4">
      <c r="J2675" s="140"/>
    </row>
    <row r="2676" spans="10:10" x14ac:dyDescent="0.4">
      <c r="J2676" s="140"/>
    </row>
    <row r="2677" spans="10:10" x14ac:dyDescent="0.4">
      <c r="J2677" s="140"/>
    </row>
    <row r="2678" spans="10:10" x14ac:dyDescent="0.4">
      <c r="J2678" s="140"/>
    </row>
    <row r="2679" spans="10:10" x14ac:dyDescent="0.4">
      <c r="J2679" s="140"/>
    </row>
    <row r="2680" spans="10:10" x14ac:dyDescent="0.4">
      <c r="J2680" s="140"/>
    </row>
    <row r="2681" spans="10:10" x14ac:dyDescent="0.4">
      <c r="J2681" s="140"/>
    </row>
    <row r="2682" spans="10:10" x14ac:dyDescent="0.4">
      <c r="J2682" s="140"/>
    </row>
    <row r="2683" spans="10:10" x14ac:dyDescent="0.4">
      <c r="J2683" s="140"/>
    </row>
    <row r="2684" spans="10:10" x14ac:dyDescent="0.4">
      <c r="J2684" s="140"/>
    </row>
    <row r="2685" spans="10:10" x14ac:dyDescent="0.4">
      <c r="J2685" s="140"/>
    </row>
    <row r="2686" spans="10:10" x14ac:dyDescent="0.4">
      <c r="J2686" s="140"/>
    </row>
    <row r="2687" spans="10:10" x14ac:dyDescent="0.4">
      <c r="J2687" s="140"/>
    </row>
    <row r="2688" spans="10:10" x14ac:dyDescent="0.4">
      <c r="J2688" s="140"/>
    </row>
    <row r="2689" spans="10:10" x14ac:dyDescent="0.4">
      <c r="J2689" s="140"/>
    </row>
    <row r="2690" spans="10:10" x14ac:dyDescent="0.4">
      <c r="J2690" s="140"/>
    </row>
    <row r="2691" spans="10:10" x14ac:dyDescent="0.4">
      <c r="J2691" s="140"/>
    </row>
    <row r="2692" spans="10:10" x14ac:dyDescent="0.4">
      <c r="J2692" s="140"/>
    </row>
    <row r="2693" spans="10:10" x14ac:dyDescent="0.4">
      <c r="J2693" s="140"/>
    </row>
    <row r="2694" spans="10:10" x14ac:dyDescent="0.4">
      <c r="J2694" s="140"/>
    </row>
    <row r="2695" spans="10:10" x14ac:dyDescent="0.4">
      <c r="J2695" s="140"/>
    </row>
    <row r="2696" spans="10:10" x14ac:dyDescent="0.4">
      <c r="J2696" s="140"/>
    </row>
    <row r="2697" spans="10:10" x14ac:dyDescent="0.4">
      <c r="J2697" s="140"/>
    </row>
    <row r="2698" spans="10:10" x14ac:dyDescent="0.4">
      <c r="J2698" s="140"/>
    </row>
    <row r="2699" spans="10:10" x14ac:dyDescent="0.4">
      <c r="J2699" s="140"/>
    </row>
    <row r="2700" spans="10:10" x14ac:dyDescent="0.4">
      <c r="J2700" s="140"/>
    </row>
    <row r="2701" spans="10:10" x14ac:dyDescent="0.4">
      <c r="J2701" s="140"/>
    </row>
    <row r="2702" spans="10:10" x14ac:dyDescent="0.4">
      <c r="J2702" s="140"/>
    </row>
    <row r="2703" spans="10:10" x14ac:dyDescent="0.4">
      <c r="J2703" s="140"/>
    </row>
    <row r="2704" spans="10:10" x14ac:dyDescent="0.4">
      <c r="J2704" s="140"/>
    </row>
    <row r="2705" spans="10:10" x14ac:dyDescent="0.4">
      <c r="J2705" s="140"/>
    </row>
    <row r="2706" spans="10:10" x14ac:dyDescent="0.4">
      <c r="J2706" s="140"/>
    </row>
    <row r="2707" spans="10:10" x14ac:dyDescent="0.4">
      <c r="J2707" s="140"/>
    </row>
    <row r="2708" spans="10:10" x14ac:dyDescent="0.4">
      <c r="J2708" s="140"/>
    </row>
    <row r="2709" spans="10:10" x14ac:dyDescent="0.4">
      <c r="J2709" s="140"/>
    </row>
    <row r="2710" spans="10:10" x14ac:dyDescent="0.4">
      <c r="J2710" s="140"/>
    </row>
    <row r="2711" spans="10:10" x14ac:dyDescent="0.4">
      <c r="J2711" s="140"/>
    </row>
    <row r="2712" spans="10:10" x14ac:dyDescent="0.4">
      <c r="J2712" s="140"/>
    </row>
    <row r="2713" spans="10:10" x14ac:dyDescent="0.4">
      <c r="J2713" s="140"/>
    </row>
    <row r="2714" spans="10:10" x14ac:dyDescent="0.4">
      <c r="J2714" s="140"/>
    </row>
    <row r="2715" spans="10:10" x14ac:dyDescent="0.4">
      <c r="J2715" s="140"/>
    </row>
    <row r="2716" spans="10:10" x14ac:dyDescent="0.4">
      <c r="J2716" s="140"/>
    </row>
    <row r="2717" spans="10:10" x14ac:dyDescent="0.4">
      <c r="J2717" s="140"/>
    </row>
    <row r="2718" spans="10:10" x14ac:dyDescent="0.4">
      <c r="J2718" s="140"/>
    </row>
    <row r="2719" spans="10:10" x14ac:dyDescent="0.4">
      <c r="J2719" s="140"/>
    </row>
    <row r="2720" spans="10:10" x14ac:dyDescent="0.4">
      <c r="J2720" s="140"/>
    </row>
    <row r="2721" spans="10:10" x14ac:dyDescent="0.4">
      <c r="J2721" s="140"/>
    </row>
    <row r="2722" spans="10:10" x14ac:dyDescent="0.4">
      <c r="J2722" s="140"/>
    </row>
    <row r="2723" spans="10:10" x14ac:dyDescent="0.4">
      <c r="J2723" s="140"/>
    </row>
    <row r="2724" spans="10:10" x14ac:dyDescent="0.4">
      <c r="J2724" s="140"/>
    </row>
    <row r="2725" spans="10:10" x14ac:dyDescent="0.4">
      <c r="J2725" s="140"/>
    </row>
    <row r="2726" spans="10:10" x14ac:dyDescent="0.4">
      <c r="J2726" s="140"/>
    </row>
    <row r="2727" spans="10:10" x14ac:dyDescent="0.4">
      <c r="J2727" s="140"/>
    </row>
    <row r="2728" spans="10:10" x14ac:dyDescent="0.4">
      <c r="J2728" s="140"/>
    </row>
    <row r="2729" spans="10:10" x14ac:dyDescent="0.4">
      <c r="J2729" s="140"/>
    </row>
    <row r="2730" spans="10:10" x14ac:dyDescent="0.4">
      <c r="J2730" s="140"/>
    </row>
    <row r="2731" spans="10:10" x14ac:dyDescent="0.4">
      <c r="J2731" s="140"/>
    </row>
    <row r="2732" spans="10:10" x14ac:dyDescent="0.4">
      <c r="J2732" s="140"/>
    </row>
    <row r="2733" spans="10:10" x14ac:dyDescent="0.4">
      <c r="J2733" s="140"/>
    </row>
    <row r="2734" spans="10:10" x14ac:dyDescent="0.4">
      <c r="J2734" s="140"/>
    </row>
    <row r="2735" spans="10:10" x14ac:dyDescent="0.4">
      <c r="J2735" s="140"/>
    </row>
    <row r="2736" spans="10:10" x14ac:dyDescent="0.4">
      <c r="J2736" s="140"/>
    </row>
    <row r="2737" spans="10:10" x14ac:dyDescent="0.4">
      <c r="J2737" s="140"/>
    </row>
    <row r="2738" spans="10:10" x14ac:dyDescent="0.4">
      <c r="J2738" s="140"/>
    </row>
    <row r="2739" spans="10:10" x14ac:dyDescent="0.4">
      <c r="J2739" s="140"/>
    </row>
    <row r="2740" spans="10:10" x14ac:dyDescent="0.4">
      <c r="J2740" s="140"/>
    </row>
    <row r="2741" spans="10:10" x14ac:dyDescent="0.4">
      <c r="J2741" s="140"/>
    </row>
    <row r="2742" spans="10:10" x14ac:dyDescent="0.4">
      <c r="J2742" s="140"/>
    </row>
    <row r="2743" spans="10:10" x14ac:dyDescent="0.4">
      <c r="J2743" s="140"/>
    </row>
    <row r="2744" spans="10:10" x14ac:dyDescent="0.4">
      <c r="J2744" s="140"/>
    </row>
    <row r="2745" spans="10:10" x14ac:dyDescent="0.4">
      <c r="J2745" s="140"/>
    </row>
    <row r="2746" spans="10:10" x14ac:dyDescent="0.4">
      <c r="J2746" s="140"/>
    </row>
    <row r="2747" spans="10:10" x14ac:dyDescent="0.4">
      <c r="J2747" s="140"/>
    </row>
    <row r="2748" spans="10:10" x14ac:dyDescent="0.4">
      <c r="J2748" s="140"/>
    </row>
    <row r="2749" spans="10:10" x14ac:dyDescent="0.4">
      <c r="J2749" s="140"/>
    </row>
    <row r="2750" spans="10:10" x14ac:dyDescent="0.4">
      <c r="J2750" s="140"/>
    </row>
    <row r="2751" spans="10:10" x14ac:dyDescent="0.4">
      <c r="J2751" s="140"/>
    </row>
    <row r="2752" spans="10:10" x14ac:dyDescent="0.4">
      <c r="J2752" s="140"/>
    </row>
    <row r="2753" spans="10:10" x14ac:dyDescent="0.4">
      <c r="J2753" s="140"/>
    </row>
    <row r="2754" spans="10:10" x14ac:dyDescent="0.4">
      <c r="J2754" s="140"/>
    </row>
    <row r="2755" spans="10:10" x14ac:dyDescent="0.4">
      <c r="J2755" s="140"/>
    </row>
    <row r="2756" spans="10:10" x14ac:dyDescent="0.4">
      <c r="J2756" s="140"/>
    </row>
    <row r="2757" spans="10:10" x14ac:dyDescent="0.4">
      <c r="J2757" s="140"/>
    </row>
    <row r="2758" spans="10:10" x14ac:dyDescent="0.4">
      <c r="J2758" s="140"/>
    </row>
    <row r="2759" spans="10:10" x14ac:dyDescent="0.4">
      <c r="J2759" s="140"/>
    </row>
    <row r="2760" spans="10:10" x14ac:dyDescent="0.4">
      <c r="J2760" s="140"/>
    </row>
    <row r="2761" spans="10:10" x14ac:dyDescent="0.4">
      <c r="J2761" s="140"/>
    </row>
    <row r="2762" spans="10:10" x14ac:dyDescent="0.4">
      <c r="J2762" s="140"/>
    </row>
    <row r="2763" spans="10:10" x14ac:dyDescent="0.4">
      <c r="J2763" s="140"/>
    </row>
    <row r="2764" spans="10:10" x14ac:dyDescent="0.4">
      <c r="J2764" s="140"/>
    </row>
    <row r="2765" spans="10:10" x14ac:dyDescent="0.4">
      <c r="J2765" s="140"/>
    </row>
    <row r="2766" spans="10:10" x14ac:dyDescent="0.4">
      <c r="J2766" s="140"/>
    </row>
    <row r="2767" spans="10:10" x14ac:dyDescent="0.4">
      <c r="J2767" s="140"/>
    </row>
    <row r="2768" spans="10:10" x14ac:dyDescent="0.4">
      <c r="J2768" s="140"/>
    </row>
    <row r="2769" spans="10:10" x14ac:dyDescent="0.4">
      <c r="J2769" s="140"/>
    </row>
    <row r="2770" spans="10:10" x14ac:dyDescent="0.4">
      <c r="J2770" s="140"/>
    </row>
    <row r="2771" spans="10:10" x14ac:dyDescent="0.4">
      <c r="J2771" s="140"/>
    </row>
    <row r="2772" spans="10:10" x14ac:dyDescent="0.4">
      <c r="J2772" s="140"/>
    </row>
    <row r="2773" spans="10:10" x14ac:dyDescent="0.4">
      <c r="J2773" s="140"/>
    </row>
    <row r="2774" spans="10:10" x14ac:dyDescent="0.4">
      <c r="J2774" s="140"/>
    </row>
    <row r="2775" spans="10:10" x14ac:dyDescent="0.4">
      <c r="J2775" s="140"/>
    </row>
    <row r="2776" spans="10:10" x14ac:dyDescent="0.4">
      <c r="J2776" s="140"/>
    </row>
    <row r="2777" spans="10:10" x14ac:dyDescent="0.4">
      <c r="J2777" s="140"/>
    </row>
    <row r="2778" spans="10:10" x14ac:dyDescent="0.4">
      <c r="J2778" s="140"/>
    </row>
    <row r="2779" spans="10:10" x14ac:dyDescent="0.4">
      <c r="J2779" s="140"/>
    </row>
    <row r="2780" spans="10:10" x14ac:dyDescent="0.4">
      <c r="J2780" s="140"/>
    </row>
    <row r="2781" spans="10:10" x14ac:dyDescent="0.4">
      <c r="J2781" s="140"/>
    </row>
    <row r="2782" spans="10:10" x14ac:dyDescent="0.4">
      <c r="J2782" s="140"/>
    </row>
    <row r="2783" spans="10:10" x14ac:dyDescent="0.4">
      <c r="J2783" s="140"/>
    </row>
    <row r="2784" spans="10:10" x14ac:dyDescent="0.4">
      <c r="J2784" s="140"/>
    </row>
    <row r="2785" spans="10:10" x14ac:dyDescent="0.4">
      <c r="J2785" s="140"/>
    </row>
    <row r="2786" spans="10:10" x14ac:dyDescent="0.4">
      <c r="J2786" s="140"/>
    </row>
    <row r="2787" spans="10:10" x14ac:dyDescent="0.4">
      <c r="J2787" s="140"/>
    </row>
    <row r="2788" spans="10:10" x14ac:dyDescent="0.4">
      <c r="J2788" s="140"/>
    </row>
    <row r="2789" spans="10:10" x14ac:dyDescent="0.4">
      <c r="J2789" s="140"/>
    </row>
    <row r="2790" spans="10:10" x14ac:dyDescent="0.4">
      <c r="J2790" s="140"/>
    </row>
    <row r="2791" spans="10:10" x14ac:dyDescent="0.4">
      <c r="J2791" s="140"/>
    </row>
    <row r="2792" spans="10:10" x14ac:dyDescent="0.4">
      <c r="J2792" s="140"/>
    </row>
    <row r="2793" spans="10:10" x14ac:dyDescent="0.4">
      <c r="J2793" s="140"/>
    </row>
    <row r="2794" spans="10:10" x14ac:dyDescent="0.4">
      <c r="J2794" s="140"/>
    </row>
    <row r="2795" spans="10:10" x14ac:dyDescent="0.4">
      <c r="J2795" s="140"/>
    </row>
    <row r="2796" spans="10:10" x14ac:dyDescent="0.4">
      <c r="J2796" s="140"/>
    </row>
    <row r="2797" spans="10:10" x14ac:dyDescent="0.4">
      <c r="J2797" s="140"/>
    </row>
    <row r="2798" spans="10:10" x14ac:dyDescent="0.4">
      <c r="J2798" s="140"/>
    </row>
    <row r="2799" spans="10:10" x14ac:dyDescent="0.4">
      <c r="J2799" s="140"/>
    </row>
    <row r="2800" spans="10:10" x14ac:dyDescent="0.4">
      <c r="J2800" s="140"/>
    </row>
    <row r="2801" spans="10:10" x14ac:dyDescent="0.4">
      <c r="J2801" s="140"/>
    </row>
    <row r="2802" spans="10:10" x14ac:dyDescent="0.4">
      <c r="J2802" s="140"/>
    </row>
    <row r="2803" spans="10:10" x14ac:dyDescent="0.4">
      <c r="J2803" s="140"/>
    </row>
    <row r="2804" spans="10:10" x14ac:dyDescent="0.4">
      <c r="J2804" s="140"/>
    </row>
    <row r="2805" spans="10:10" x14ac:dyDescent="0.4">
      <c r="J2805" s="140"/>
    </row>
    <row r="2806" spans="10:10" x14ac:dyDescent="0.4">
      <c r="J2806" s="140"/>
    </row>
    <row r="2807" spans="10:10" x14ac:dyDescent="0.4">
      <c r="J2807" s="140"/>
    </row>
    <row r="2808" spans="10:10" x14ac:dyDescent="0.4">
      <c r="J2808" s="140"/>
    </row>
    <row r="2809" spans="10:10" x14ac:dyDescent="0.4">
      <c r="J2809" s="140"/>
    </row>
    <row r="2810" spans="10:10" x14ac:dyDescent="0.4">
      <c r="J2810" s="140"/>
    </row>
    <row r="2811" spans="10:10" x14ac:dyDescent="0.4">
      <c r="J2811" s="140"/>
    </row>
    <row r="2812" spans="10:10" x14ac:dyDescent="0.4">
      <c r="J2812" s="140"/>
    </row>
    <row r="2813" spans="10:10" x14ac:dyDescent="0.4">
      <c r="J2813" s="140"/>
    </row>
    <row r="2814" spans="10:10" x14ac:dyDescent="0.4">
      <c r="J2814" s="140"/>
    </row>
    <row r="2815" spans="10:10" x14ac:dyDescent="0.4">
      <c r="J2815" s="140"/>
    </row>
    <row r="2816" spans="10:10" x14ac:dyDescent="0.4">
      <c r="J2816" s="140"/>
    </row>
    <row r="2817" spans="10:10" x14ac:dyDescent="0.4">
      <c r="J2817" s="140"/>
    </row>
    <row r="2818" spans="10:10" x14ac:dyDescent="0.4">
      <c r="J2818" s="140"/>
    </row>
    <row r="2819" spans="10:10" x14ac:dyDescent="0.4">
      <c r="J2819" s="140"/>
    </row>
    <row r="2820" spans="10:10" x14ac:dyDescent="0.4">
      <c r="J2820" s="140"/>
    </row>
    <row r="2821" spans="10:10" x14ac:dyDescent="0.4">
      <c r="J2821" s="140"/>
    </row>
    <row r="2822" spans="10:10" x14ac:dyDescent="0.4">
      <c r="J2822" s="140"/>
    </row>
    <row r="2823" spans="10:10" x14ac:dyDescent="0.4">
      <c r="J2823" s="140"/>
    </row>
    <row r="2824" spans="10:10" x14ac:dyDescent="0.4">
      <c r="J2824" s="140"/>
    </row>
    <row r="2825" spans="10:10" x14ac:dyDescent="0.4">
      <c r="J2825" s="140"/>
    </row>
    <row r="2826" spans="10:10" x14ac:dyDescent="0.4">
      <c r="J2826" s="140"/>
    </row>
    <row r="2827" spans="10:10" x14ac:dyDescent="0.4">
      <c r="J2827" s="140"/>
    </row>
    <row r="2828" spans="10:10" x14ac:dyDescent="0.4">
      <c r="J2828" s="140"/>
    </row>
    <row r="2829" spans="10:10" x14ac:dyDescent="0.4">
      <c r="J2829" s="140"/>
    </row>
    <row r="2830" spans="10:10" x14ac:dyDescent="0.4">
      <c r="J2830" s="140"/>
    </row>
    <row r="2831" spans="10:10" x14ac:dyDescent="0.4">
      <c r="J2831" s="140"/>
    </row>
    <row r="2832" spans="10:10" x14ac:dyDescent="0.4">
      <c r="J2832" s="140"/>
    </row>
    <row r="2833" spans="10:10" x14ac:dyDescent="0.4">
      <c r="J2833" s="140"/>
    </row>
    <row r="2834" spans="10:10" x14ac:dyDescent="0.4">
      <c r="J2834" s="140"/>
    </row>
    <row r="2835" spans="10:10" x14ac:dyDescent="0.4">
      <c r="J2835" s="140"/>
    </row>
    <row r="2836" spans="10:10" x14ac:dyDescent="0.4">
      <c r="J2836" s="140"/>
    </row>
    <row r="2837" spans="10:10" x14ac:dyDescent="0.4">
      <c r="J2837" s="140"/>
    </row>
    <row r="2838" spans="10:10" x14ac:dyDescent="0.4">
      <c r="J2838" s="140"/>
    </row>
    <row r="2839" spans="10:10" x14ac:dyDescent="0.4">
      <c r="J2839" s="140"/>
    </row>
    <row r="2840" spans="10:10" x14ac:dyDescent="0.4">
      <c r="J2840" s="140"/>
    </row>
    <row r="2841" spans="10:10" x14ac:dyDescent="0.4">
      <c r="J2841" s="140"/>
    </row>
    <row r="2842" spans="10:10" x14ac:dyDescent="0.4">
      <c r="J2842" s="140"/>
    </row>
    <row r="2843" spans="10:10" x14ac:dyDescent="0.4">
      <c r="J2843" s="140"/>
    </row>
    <row r="2844" spans="10:10" x14ac:dyDescent="0.4">
      <c r="J2844" s="140"/>
    </row>
    <row r="2845" spans="10:10" x14ac:dyDescent="0.4">
      <c r="J2845" s="140"/>
    </row>
    <row r="2846" spans="10:10" x14ac:dyDescent="0.4">
      <c r="J2846" s="140"/>
    </row>
    <row r="2847" spans="10:10" x14ac:dyDescent="0.4">
      <c r="J2847" s="140"/>
    </row>
    <row r="2848" spans="10:10" x14ac:dyDescent="0.4">
      <c r="J2848" s="140"/>
    </row>
    <row r="2849" spans="10:10" x14ac:dyDescent="0.4">
      <c r="J2849" s="140"/>
    </row>
    <row r="2850" spans="10:10" x14ac:dyDescent="0.4">
      <c r="J2850" s="140"/>
    </row>
    <row r="2851" spans="10:10" x14ac:dyDescent="0.4">
      <c r="J2851" s="140"/>
    </row>
    <row r="2852" spans="10:10" x14ac:dyDescent="0.4">
      <c r="J2852" s="140"/>
    </row>
    <row r="2853" spans="10:10" x14ac:dyDescent="0.4">
      <c r="J2853" s="140"/>
    </row>
    <row r="2854" spans="10:10" x14ac:dyDescent="0.4">
      <c r="J2854" s="140"/>
    </row>
    <row r="2855" spans="10:10" x14ac:dyDescent="0.4">
      <c r="J2855" s="140"/>
    </row>
    <row r="2856" spans="10:10" x14ac:dyDescent="0.4">
      <c r="J2856" s="140"/>
    </row>
    <row r="2857" spans="10:10" x14ac:dyDescent="0.4">
      <c r="J2857" s="140"/>
    </row>
    <row r="2858" spans="10:10" x14ac:dyDescent="0.4">
      <c r="J2858" s="140"/>
    </row>
    <row r="2859" spans="10:10" x14ac:dyDescent="0.4">
      <c r="J2859" s="140"/>
    </row>
    <row r="2860" spans="10:10" x14ac:dyDescent="0.4">
      <c r="J2860" s="140"/>
    </row>
    <row r="2861" spans="10:10" x14ac:dyDescent="0.4">
      <c r="J2861" s="140"/>
    </row>
    <row r="2862" spans="10:10" x14ac:dyDescent="0.4">
      <c r="J2862" s="140"/>
    </row>
    <row r="2863" spans="10:10" x14ac:dyDescent="0.4">
      <c r="J2863" s="140"/>
    </row>
    <row r="2864" spans="10:10" x14ac:dyDescent="0.4">
      <c r="J2864" s="140"/>
    </row>
    <row r="2865" spans="10:10" x14ac:dyDescent="0.4">
      <c r="J2865" s="140"/>
    </row>
    <row r="2866" spans="10:10" x14ac:dyDescent="0.4">
      <c r="J2866" s="140"/>
    </row>
    <row r="2867" spans="10:10" x14ac:dyDescent="0.4">
      <c r="J2867" s="140"/>
    </row>
    <row r="2868" spans="10:10" x14ac:dyDescent="0.4">
      <c r="J2868" s="140"/>
    </row>
    <row r="2869" spans="10:10" x14ac:dyDescent="0.4">
      <c r="J2869" s="140"/>
    </row>
    <row r="2870" spans="10:10" x14ac:dyDescent="0.4">
      <c r="J2870" s="140"/>
    </row>
    <row r="2871" spans="10:10" x14ac:dyDescent="0.4">
      <c r="J2871" s="140"/>
    </row>
    <row r="2872" spans="10:10" x14ac:dyDescent="0.4">
      <c r="J2872" s="140"/>
    </row>
    <row r="2873" spans="10:10" x14ac:dyDescent="0.4">
      <c r="J2873" s="140"/>
    </row>
    <row r="2874" spans="10:10" x14ac:dyDescent="0.4">
      <c r="J2874" s="140"/>
    </row>
    <row r="2875" spans="10:10" x14ac:dyDescent="0.4">
      <c r="J2875" s="140"/>
    </row>
    <row r="2876" spans="10:10" x14ac:dyDescent="0.4">
      <c r="J2876" s="140"/>
    </row>
    <row r="2877" spans="10:10" x14ac:dyDescent="0.4">
      <c r="J2877" s="140"/>
    </row>
    <row r="2878" spans="10:10" x14ac:dyDescent="0.4">
      <c r="J2878" s="140"/>
    </row>
    <row r="2879" spans="10:10" x14ac:dyDescent="0.4">
      <c r="J2879" s="140"/>
    </row>
    <row r="2880" spans="10:10" x14ac:dyDescent="0.4">
      <c r="J2880" s="140"/>
    </row>
    <row r="2881" spans="10:10" x14ac:dyDescent="0.4">
      <c r="J2881" s="140"/>
    </row>
    <row r="2882" spans="10:10" x14ac:dyDescent="0.4">
      <c r="J2882" s="140"/>
    </row>
    <row r="2883" spans="10:10" x14ac:dyDescent="0.4">
      <c r="J2883" s="140"/>
    </row>
    <row r="2884" spans="10:10" x14ac:dyDescent="0.4">
      <c r="J2884" s="140"/>
    </row>
    <row r="2885" spans="10:10" x14ac:dyDescent="0.4">
      <c r="J2885" s="140"/>
    </row>
    <row r="2886" spans="10:10" x14ac:dyDescent="0.4">
      <c r="J2886" s="140"/>
    </row>
    <row r="2887" spans="10:10" x14ac:dyDescent="0.4">
      <c r="J2887" s="140"/>
    </row>
    <row r="2888" spans="10:10" x14ac:dyDescent="0.4">
      <c r="J2888" s="140"/>
    </row>
    <row r="2889" spans="10:10" x14ac:dyDescent="0.4">
      <c r="J2889" s="140"/>
    </row>
    <row r="2890" spans="10:10" x14ac:dyDescent="0.4">
      <c r="J2890" s="140"/>
    </row>
    <row r="2891" spans="10:10" x14ac:dyDescent="0.4">
      <c r="J2891" s="140"/>
    </row>
    <row r="2892" spans="10:10" x14ac:dyDescent="0.4">
      <c r="J2892" s="140"/>
    </row>
    <row r="2893" spans="10:10" x14ac:dyDescent="0.4">
      <c r="J2893" s="140"/>
    </row>
    <row r="2894" spans="10:10" x14ac:dyDescent="0.4">
      <c r="J2894" s="140"/>
    </row>
    <row r="2895" spans="10:10" x14ac:dyDescent="0.4">
      <c r="J2895" s="140"/>
    </row>
    <row r="2896" spans="10:10" x14ac:dyDescent="0.4">
      <c r="J2896" s="140"/>
    </row>
    <row r="2897" spans="10:10" x14ac:dyDescent="0.4">
      <c r="J2897" s="140"/>
    </row>
    <row r="2898" spans="10:10" x14ac:dyDescent="0.4">
      <c r="J2898" s="140"/>
    </row>
    <row r="2899" spans="10:10" x14ac:dyDescent="0.4">
      <c r="J2899" s="140"/>
    </row>
    <row r="2900" spans="10:10" x14ac:dyDescent="0.4">
      <c r="J2900" s="140"/>
    </row>
    <row r="2901" spans="10:10" x14ac:dyDescent="0.4">
      <c r="J2901" s="140"/>
    </row>
    <row r="2902" spans="10:10" x14ac:dyDescent="0.4">
      <c r="J2902" s="140"/>
    </row>
    <row r="2903" spans="10:10" x14ac:dyDescent="0.4">
      <c r="J2903" s="140"/>
    </row>
    <row r="2904" spans="10:10" x14ac:dyDescent="0.4">
      <c r="J2904" s="140"/>
    </row>
    <row r="2905" spans="10:10" x14ac:dyDescent="0.4">
      <c r="J2905" s="140"/>
    </row>
    <row r="2906" spans="10:10" x14ac:dyDescent="0.4">
      <c r="J2906" s="140"/>
    </row>
    <row r="2907" spans="10:10" x14ac:dyDescent="0.4">
      <c r="J2907" s="140"/>
    </row>
    <row r="2908" spans="10:10" x14ac:dyDescent="0.4">
      <c r="J2908" s="140"/>
    </row>
    <row r="2909" spans="10:10" x14ac:dyDescent="0.4">
      <c r="J2909" s="140"/>
    </row>
    <row r="2910" spans="10:10" x14ac:dyDescent="0.4">
      <c r="J2910" s="140"/>
    </row>
    <row r="2911" spans="10:10" x14ac:dyDescent="0.4">
      <c r="J2911" s="140"/>
    </row>
    <row r="2912" spans="10:10" x14ac:dyDescent="0.4">
      <c r="J2912" s="140"/>
    </row>
    <row r="2913" spans="10:10" x14ac:dyDescent="0.4">
      <c r="J2913" s="140"/>
    </row>
    <row r="2914" spans="10:10" x14ac:dyDescent="0.4">
      <c r="J2914" s="140"/>
    </row>
    <row r="2915" spans="10:10" x14ac:dyDescent="0.4">
      <c r="J2915" s="140"/>
    </row>
    <row r="2916" spans="10:10" x14ac:dyDescent="0.4">
      <c r="J2916" s="140"/>
    </row>
    <row r="2917" spans="10:10" x14ac:dyDescent="0.4">
      <c r="J2917" s="140"/>
    </row>
    <row r="2918" spans="10:10" x14ac:dyDescent="0.4">
      <c r="J2918" s="140"/>
    </row>
    <row r="2919" spans="10:10" x14ac:dyDescent="0.4">
      <c r="J2919" s="140"/>
    </row>
    <row r="2920" spans="10:10" x14ac:dyDescent="0.4">
      <c r="J2920" s="140"/>
    </row>
    <row r="2921" spans="10:10" x14ac:dyDescent="0.4">
      <c r="J2921" s="140"/>
    </row>
    <row r="2922" spans="10:10" x14ac:dyDescent="0.4">
      <c r="J2922" s="140"/>
    </row>
    <row r="2923" spans="10:10" x14ac:dyDescent="0.4">
      <c r="J2923" s="140"/>
    </row>
    <row r="2924" spans="10:10" x14ac:dyDescent="0.4">
      <c r="J2924" s="140"/>
    </row>
    <row r="2925" spans="10:10" x14ac:dyDescent="0.4">
      <c r="J2925" s="140"/>
    </row>
    <row r="2926" spans="10:10" x14ac:dyDescent="0.4">
      <c r="J2926" s="140"/>
    </row>
    <row r="2927" spans="10:10" x14ac:dyDescent="0.4">
      <c r="J2927" s="140"/>
    </row>
    <row r="2928" spans="10:10" x14ac:dyDescent="0.4">
      <c r="J2928" s="140"/>
    </row>
    <row r="2929" spans="10:10" x14ac:dyDescent="0.4">
      <c r="J2929" s="140"/>
    </row>
    <row r="2930" spans="10:10" x14ac:dyDescent="0.4">
      <c r="J2930" s="140"/>
    </row>
    <row r="2931" spans="10:10" x14ac:dyDescent="0.4">
      <c r="J2931" s="140"/>
    </row>
    <row r="2932" spans="10:10" x14ac:dyDescent="0.4">
      <c r="J2932" s="140"/>
    </row>
    <row r="2933" spans="10:10" x14ac:dyDescent="0.4">
      <c r="J2933" s="140"/>
    </row>
    <row r="2934" spans="10:10" x14ac:dyDescent="0.4">
      <c r="J2934" s="140"/>
    </row>
    <row r="2935" spans="10:10" x14ac:dyDescent="0.4">
      <c r="J2935" s="140"/>
    </row>
    <row r="2936" spans="10:10" x14ac:dyDescent="0.4">
      <c r="J2936" s="140"/>
    </row>
    <row r="2937" spans="10:10" x14ac:dyDescent="0.4">
      <c r="J2937" s="140"/>
    </row>
    <row r="2938" spans="10:10" x14ac:dyDescent="0.4">
      <c r="J2938" s="140"/>
    </row>
    <row r="2939" spans="10:10" x14ac:dyDescent="0.4">
      <c r="J2939" s="140"/>
    </row>
    <row r="2940" spans="10:10" x14ac:dyDescent="0.4">
      <c r="J2940" s="140"/>
    </row>
    <row r="2941" spans="10:10" x14ac:dyDescent="0.4">
      <c r="J2941" s="140"/>
    </row>
    <row r="2942" spans="10:10" x14ac:dyDescent="0.4">
      <c r="J2942" s="140"/>
    </row>
    <row r="2943" spans="10:10" x14ac:dyDescent="0.4">
      <c r="J2943" s="140"/>
    </row>
    <row r="2944" spans="10:10" x14ac:dyDescent="0.4">
      <c r="J2944" s="140"/>
    </row>
    <row r="2945" spans="10:10" x14ac:dyDescent="0.4">
      <c r="J2945" s="140"/>
    </row>
    <row r="2946" spans="10:10" x14ac:dyDescent="0.4">
      <c r="J2946" s="140"/>
    </row>
    <row r="2947" spans="10:10" x14ac:dyDescent="0.4">
      <c r="J2947" s="140"/>
    </row>
    <row r="2948" spans="10:10" x14ac:dyDescent="0.4">
      <c r="J2948" s="140"/>
    </row>
    <row r="2949" spans="10:10" x14ac:dyDescent="0.4">
      <c r="J2949" s="140"/>
    </row>
    <row r="2950" spans="10:10" x14ac:dyDescent="0.4">
      <c r="J2950" s="140"/>
    </row>
    <row r="2951" spans="10:10" x14ac:dyDescent="0.4">
      <c r="J2951" s="140"/>
    </row>
    <row r="2952" spans="10:10" x14ac:dyDescent="0.4">
      <c r="J2952" s="140"/>
    </row>
    <row r="2953" spans="10:10" x14ac:dyDescent="0.4">
      <c r="J2953" s="140"/>
    </row>
    <row r="2954" spans="10:10" x14ac:dyDescent="0.4">
      <c r="J2954" s="140"/>
    </row>
    <row r="2955" spans="10:10" x14ac:dyDescent="0.4">
      <c r="J2955" s="140"/>
    </row>
    <row r="2956" spans="10:10" x14ac:dyDescent="0.4">
      <c r="J2956" s="140"/>
    </row>
    <row r="2957" spans="10:10" x14ac:dyDescent="0.4">
      <c r="J2957" s="140"/>
    </row>
    <row r="2958" spans="10:10" x14ac:dyDescent="0.4">
      <c r="J2958" s="140"/>
    </row>
    <row r="2959" spans="10:10" x14ac:dyDescent="0.4">
      <c r="J2959" s="140"/>
    </row>
    <row r="2960" spans="10:10" x14ac:dyDescent="0.4">
      <c r="J2960" s="140"/>
    </row>
    <row r="2961" spans="10:10" x14ac:dyDescent="0.4">
      <c r="J2961" s="140"/>
    </row>
    <row r="2962" spans="10:10" x14ac:dyDescent="0.4">
      <c r="J2962" s="140"/>
    </row>
    <row r="2963" spans="10:10" x14ac:dyDescent="0.4">
      <c r="J2963" s="140"/>
    </row>
    <row r="2964" spans="10:10" x14ac:dyDescent="0.4">
      <c r="J2964" s="140"/>
    </row>
    <row r="2965" spans="10:10" x14ac:dyDescent="0.4">
      <c r="J2965" s="140"/>
    </row>
    <row r="2966" spans="10:10" x14ac:dyDescent="0.4">
      <c r="J2966" s="140"/>
    </row>
    <row r="2967" spans="10:10" x14ac:dyDescent="0.4">
      <c r="J2967" s="140"/>
    </row>
    <row r="2968" spans="10:10" x14ac:dyDescent="0.4">
      <c r="J2968" s="140"/>
    </row>
    <row r="2969" spans="10:10" x14ac:dyDescent="0.4">
      <c r="J2969" s="140"/>
    </row>
    <row r="2970" spans="10:10" x14ac:dyDescent="0.4">
      <c r="J2970" s="140"/>
    </row>
    <row r="2971" spans="10:10" x14ac:dyDescent="0.4">
      <c r="J2971" s="140"/>
    </row>
    <row r="2972" spans="10:10" x14ac:dyDescent="0.4">
      <c r="J2972" s="140"/>
    </row>
    <row r="2973" spans="10:10" x14ac:dyDescent="0.4">
      <c r="J2973" s="140"/>
    </row>
    <row r="2974" spans="10:10" x14ac:dyDescent="0.4">
      <c r="J2974" s="140"/>
    </row>
    <row r="2975" spans="10:10" x14ac:dyDescent="0.4">
      <c r="J2975" s="140"/>
    </row>
    <row r="2976" spans="10:10" x14ac:dyDescent="0.4">
      <c r="J2976" s="140"/>
    </row>
    <row r="2977" spans="10:10" x14ac:dyDescent="0.4">
      <c r="J2977" s="140"/>
    </row>
    <row r="2978" spans="10:10" x14ac:dyDescent="0.4">
      <c r="J2978" s="140"/>
    </row>
    <row r="2979" spans="10:10" x14ac:dyDescent="0.4">
      <c r="J2979" s="140"/>
    </row>
    <row r="2980" spans="10:10" x14ac:dyDescent="0.4">
      <c r="J2980" s="140"/>
    </row>
    <row r="2981" spans="10:10" x14ac:dyDescent="0.4">
      <c r="J2981" s="140"/>
    </row>
    <row r="2982" spans="10:10" x14ac:dyDescent="0.4">
      <c r="J2982" s="140"/>
    </row>
    <row r="2983" spans="10:10" x14ac:dyDescent="0.4">
      <c r="J2983" s="140"/>
    </row>
    <row r="2984" spans="10:10" x14ac:dyDescent="0.4">
      <c r="J2984" s="140"/>
    </row>
    <row r="2985" spans="10:10" x14ac:dyDescent="0.4">
      <c r="J2985" s="140"/>
    </row>
    <row r="2986" spans="10:10" x14ac:dyDescent="0.4">
      <c r="J2986" s="140"/>
    </row>
    <row r="2987" spans="10:10" x14ac:dyDescent="0.4">
      <c r="J2987" s="140"/>
    </row>
    <row r="2988" spans="10:10" x14ac:dyDescent="0.4">
      <c r="J2988" s="140"/>
    </row>
    <row r="2989" spans="10:10" x14ac:dyDescent="0.4">
      <c r="J2989" s="140"/>
    </row>
    <row r="2990" spans="10:10" x14ac:dyDescent="0.4">
      <c r="J2990" s="140"/>
    </row>
    <row r="2991" spans="10:10" x14ac:dyDescent="0.4">
      <c r="J2991" s="140"/>
    </row>
    <row r="2992" spans="10:10" x14ac:dyDescent="0.4">
      <c r="J2992" s="140"/>
    </row>
    <row r="2993" spans="10:10" x14ac:dyDescent="0.4">
      <c r="J2993" s="140"/>
    </row>
    <row r="2994" spans="10:10" x14ac:dyDescent="0.4">
      <c r="J2994" s="140"/>
    </row>
    <row r="2995" spans="10:10" x14ac:dyDescent="0.4">
      <c r="J2995" s="140"/>
    </row>
    <row r="2996" spans="10:10" x14ac:dyDescent="0.4">
      <c r="J2996" s="140"/>
    </row>
    <row r="2997" spans="10:10" x14ac:dyDescent="0.4">
      <c r="J2997" s="140"/>
    </row>
    <row r="2998" spans="10:10" x14ac:dyDescent="0.4">
      <c r="J2998" s="140"/>
    </row>
    <row r="2999" spans="10:10" x14ac:dyDescent="0.4">
      <c r="J2999" s="140"/>
    </row>
    <row r="3000" spans="10:10" x14ac:dyDescent="0.4">
      <c r="J3000" s="140"/>
    </row>
    <row r="3001" spans="10:10" x14ac:dyDescent="0.4">
      <c r="J3001" s="140"/>
    </row>
    <row r="3002" spans="10:10" x14ac:dyDescent="0.4">
      <c r="J3002" s="140"/>
    </row>
    <row r="3003" spans="10:10" x14ac:dyDescent="0.4">
      <c r="J3003" s="140"/>
    </row>
    <row r="3004" spans="10:10" x14ac:dyDescent="0.4">
      <c r="J3004" s="140"/>
    </row>
    <row r="3005" spans="10:10" x14ac:dyDescent="0.4">
      <c r="J3005" s="140"/>
    </row>
    <row r="3006" spans="10:10" x14ac:dyDescent="0.4">
      <c r="J3006" s="140"/>
    </row>
    <row r="3007" spans="10:10" x14ac:dyDescent="0.4">
      <c r="J3007" s="140"/>
    </row>
    <row r="3008" spans="10:10" x14ac:dyDescent="0.4">
      <c r="J3008" s="140"/>
    </row>
    <row r="3009" spans="10:10" x14ac:dyDescent="0.4">
      <c r="J3009" s="140"/>
    </row>
    <row r="3010" spans="10:10" x14ac:dyDescent="0.4">
      <c r="J3010" s="140"/>
    </row>
    <row r="3011" spans="10:10" x14ac:dyDescent="0.4">
      <c r="J3011" s="140"/>
    </row>
    <row r="3012" spans="10:10" x14ac:dyDescent="0.4">
      <c r="J3012" s="140"/>
    </row>
    <row r="3013" spans="10:10" x14ac:dyDescent="0.4">
      <c r="J3013" s="140"/>
    </row>
    <row r="3014" spans="10:10" x14ac:dyDescent="0.4">
      <c r="J3014" s="140"/>
    </row>
    <row r="3015" spans="10:10" x14ac:dyDescent="0.4">
      <c r="J3015" s="140"/>
    </row>
    <row r="3016" spans="10:10" x14ac:dyDescent="0.4">
      <c r="J3016" s="140"/>
    </row>
    <row r="3017" spans="10:10" x14ac:dyDescent="0.4">
      <c r="J3017" s="140"/>
    </row>
    <row r="3018" spans="10:10" x14ac:dyDescent="0.4">
      <c r="J3018" s="140"/>
    </row>
    <row r="3019" spans="10:10" x14ac:dyDescent="0.4">
      <c r="J3019" s="140"/>
    </row>
    <row r="3020" spans="10:10" x14ac:dyDescent="0.4">
      <c r="J3020" s="140"/>
    </row>
    <row r="3021" spans="10:10" x14ac:dyDescent="0.4">
      <c r="J3021" s="140"/>
    </row>
    <row r="3022" spans="10:10" x14ac:dyDescent="0.4">
      <c r="J3022" s="140"/>
    </row>
    <row r="3023" spans="10:10" x14ac:dyDescent="0.4">
      <c r="J3023" s="140"/>
    </row>
    <row r="3024" spans="10:10" x14ac:dyDescent="0.4">
      <c r="J3024" s="140"/>
    </row>
    <row r="3025" spans="10:10" x14ac:dyDescent="0.4">
      <c r="J3025" s="140"/>
    </row>
    <row r="3026" spans="10:10" x14ac:dyDescent="0.4">
      <c r="J3026" s="140"/>
    </row>
    <row r="3027" spans="10:10" x14ac:dyDescent="0.4">
      <c r="J3027" s="140"/>
    </row>
    <row r="3028" spans="10:10" x14ac:dyDescent="0.4">
      <c r="J3028" s="140"/>
    </row>
    <row r="3029" spans="10:10" x14ac:dyDescent="0.4">
      <c r="J3029" s="140"/>
    </row>
    <row r="3030" spans="10:10" x14ac:dyDescent="0.4">
      <c r="J3030" s="140"/>
    </row>
    <row r="3031" spans="10:10" x14ac:dyDescent="0.4">
      <c r="J3031" s="140"/>
    </row>
    <row r="3032" spans="10:10" x14ac:dyDescent="0.4">
      <c r="J3032" s="140"/>
    </row>
    <row r="3033" spans="10:10" x14ac:dyDescent="0.4">
      <c r="J3033" s="140"/>
    </row>
    <row r="3034" spans="10:10" x14ac:dyDescent="0.4">
      <c r="J3034" s="140"/>
    </row>
    <row r="3035" spans="10:10" x14ac:dyDescent="0.4">
      <c r="J3035" s="140"/>
    </row>
    <row r="3036" spans="10:10" x14ac:dyDescent="0.4">
      <c r="J3036" s="140"/>
    </row>
    <row r="3037" spans="10:10" x14ac:dyDescent="0.4">
      <c r="J3037" s="140"/>
    </row>
    <row r="3038" spans="10:10" x14ac:dyDescent="0.4">
      <c r="J3038" s="140"/>
    </row>
    <row r="3039" spans="10:10" x14ac:dyDescent="0.4">
      <c r="J3039" s="140"/>
    </row>
    <row r="3040" spans="10:10" x14ac:dyDescent="0.4">
      <c r="J3040" s="140"/>
    </row>
    <row r="3041" spans="10:10" x14ac:dyDescent="0.4">
      <c r="J3041" s="140"/>
    </row>
    <row r="3042" spans="10:10" x14ac:dyDescent="0.4">
      <c r="J3042" s="140"/>
    </row>
    <row r="3043" spans="10:10" x14ac:dyDescent="0.4">
      <c r="J3043" s="140"/>
    </row>
    <row r="3044" spans="10:10" x14ac:dyDescent="0.4">
      <c r="J3044" s="140"/>
    </row>
    <row r="3045" spans="10:10" x14ac:dyDescent="0.4">
      <c r="J3045" s="140"/>
    </row>
    <row r="3046" spans="10:10" x14ac:dyDescent="0.4">
      <c r="J3046" s="140"/>
    </row>
    <row r="3047" spans="10:10" x14ac:dyDescent="0.4">
      <c r="J3047" s="140"/>
    </row>
    <row r="3048" spans="10:10" x14ac:dyDescent="0.4">
      <c r="J3048" s="140"/>
    </row>
    <row r="3049" spans="10:10" x14ac:dyDescent="0.4">
      <c r="J3049" s="140"/>
    </row>
    <row r="3050" spans="10:10" x14ac:dyDescent="0.4">
      <c r="J3050" s="140"/>
    </row>
    <row r="3051" spans="10:10" x14ac:dyDescent="0.4">
      <c r="J3051" s="140"/>
    </row>
    <row r="3052" spans="10:10" x14ac:dyDescent="0.4">
      <c r="J3052" s="140"/>
    </row>
    <row r="3053" spans="10:10" x14ac:dyDescent="0.4">
      <c r="J3053" s="140"/>
    </row>
    <row r="3054" spans="10:10" x14ac:dyDescent="0.4">
      <c r="J3054" s="140"/>
    </row>
    <row r="3055" spans="10:10" x14ac:dyDescent="0.4">
      <c r="J3055" s="140"/>
    </row>
    <row r="3056" spans="10:10" x14ac:dyDescent="0.4">
      <c r="J3056" s="140"/>
    </row>
    <row r="3057" spans="10:10" x14ac:dyDescent="0.4">
      <c r="J3057" s="140"/>
    </row>
    <row r="3058" spans="10:10" x14ac:dyDescent="0.4">
      <c r="J3058" s="140"/>
    </row>
    <row r="3059" spans="10:10" x14ac:dyDescent="0.4">
      <c r="J3059" s="140"/>
    </row>
    <row r="3060" spans="10:10" x14ac:dyDescent="0.4">
      <c r="J3060" s="140"/>
    </row>
    <row r="3061" spans="10:10" x14ac:dyDescent="0.4">
      <c r="J3061" s="140"/>
    </row>
    <row r="3062" spans="10:10" x14ac:dyDescent="0.4">
      <c r="J3062" s="140"/>
    </row>
    <row r="3063" spans="10:10" x14ac:dyDescent="0.4">
      <c r="J3063" s="140"/>
    </row>
    <row r="3064" spans="10:10" x14ac:dyDescent="0.4">
      <c r="J3064" s="140"/>
    </row>
    <row r="3065" spans="10:10" x14ac:dyDescent="0.4">
      <c r="J3065" s="140"/>
    </row>
    <row r="3066" spans="10:10" x14ac:dyDescent="0.4">
      <c r="J3066" s="140"/>
    </row>
    <row r="3067" spans="10:10" x14ac:dyDescent="0.4">
      <c r="J3067" s="140"/>
    </row>
    <row r="3068" spans="10:10" x14ac:dyDescent="0.4">
      <c r="J3068" s="140"/>
    </row>
    <row r="3069" spans="10:10" x14ac:dyDescent="0.4">
      <c r="J3069" s="140"/>
    </row>
    <row r="3070" spans="10:10" x14ac:dyDescent="0.4">
      <c r="J3070" s="140"/>
    </row>
    <row r="3071" spans="10:10" x14ac:dyDescent="0.4">
      <c r="J3071" s="140"/>
    </row>
    <row r="3072" spans="10:10" x14ac:dyDescent="0.4">
      <c r="J3072" s="140"/>
    </row>
    <row r="3073" spans="10:10" x14ac:dyDescent="0.4">
      <c r="J3073" s="140"/>
    </row>
    <row r="3074" spans="10:10" x14ac:dyDescent="0.4">
      <c r="J3074" s="140"/>
    </row>
    <row r="3075" spans="10:10" x14ac:dyDescent="0.4">
      <c r="J3075" s="140"/>
    </row>
    <row r="3076" spans="10:10" x14ac:dyDescent="0.4">
      <c r="J3076" s="140"/>
    </row>
    <row r="3077" spans="10:10" x14ac:dyDescent="0.4">
      <c r="J3077" s="140"/>
    </row>
    <row r="3078" spans="10:10" x14ac:dyDescent="0.4">
      <c r="J3078" s="140"/>
    </row>
    <row r="3079" spans="10:10" x14ac:dyDescent="0.4">
      <c r="J3079" s="140"/>
    </row>
    <row r="3080" spans="10:10" x14ac:dyDescent="0.4">
      <c r="J3080" s="140"/>
    </row>
    <row r="3081" spans="10:10" x14ac:dyDescent="0.4">
      <c r="J3081" s="140"/>
    </row>
    <row r="3082" spans="10:10" x14ac:dyDescent="0.4">
      <c r="J3082" s="140"/>
    </row>
    <row r="3083" spans="10:10" x14ac:dyDescent="0.4">
      <c r="J3083" s="140"/>
    </row>
    <row r="3084" spans="10:10" x14ac:dyDescent="0.4">
      <c r="J3084" s="140"/>
    </row>
    <row r="3085" spans="10:10" x14ac:dyDescent="0.4">
      <c r="J3085" s="140"/>
    </row>
    <row r="3086" spans="10:10" x14ac:dyDescent="0.4">
      <c r="J3086" s="140"/>
    </row>
    <row r="3087" spans="10:10" x14ac:dyDescent="0.4">
      <c r="J3087" s="140"/>
    </row>
    <row r="3088" spans="10:10" x14ac:dyDescent="0.4">
      <c r="J3088" s="140"/>
    </row>
    <row r="3089" spans="10:10" x14ac:dyDescent="0.4">
      <c r="J3089" s="140"/>
    </row>
    <row r="3090" spans="10:10" x14ac:dyDescent="0.4">
      <c r="J3090" s="140"/>
    </row>
    <row r="3091" spans="10:10" x14ac:dyDescent="0.4">
      <c r="J3091" s="140"/>
    </row>
    <row r="3092" spans="10:10" x14ac:dyDescent="0.4">
      <c r="J3092" s="140"/>
    </row>
    <row r="3093" spans="10:10" x14ac:dyDescent="0.4">
      <c r="J3093" s="140"/>
    </row>
    <row r="3094" spans="10:10" x14ac:dyDescent="0.4">
      <c r="J3094" s="140"/>
    </row>
    <row r="3095" spans="10:10" x14ac:dyDescent="0.4">
      <c r="J3095" s="140"/>
    </row>
    <row r="3096" spans="10:10" x14ac:dyDescent="0.4">
      <c r="J3096" s="140"/>
    </row>
    <row r="3097" spans="10:10" x14ac:dyDescent="0.4">
      <c r="J3097" s="140"/>
    </row>
    <row r="3098" spans="10:10" x14ac:dyDescent="0.4">
      <c r="J3098" s="140"/>
    </row>
    <row r="3099" spans="10:10" x14ac:dyDescent="0.4">
      <c r="J3099" s="140"/>
    </row>
    <row r="3100" spans="10:10" x14ac:dyDescent="0.4">
      <c r="J3100" s="140"/>
    </row>
    <row r="3101" spans="10:10" x14ac:dyDescent="0.4">
      <c r="J3101" s="140"/>
    </row>
    <row r="3102" spans="10:10" x14ac:dyDescent="0.4">
      <c r="J3102" s="140"/>
    </row>
    <row r="3103" spans="10:10" x14ac:dyDescent="0.4">
      <c r="J3103" s="140"/>
    </row>
    <row r="3104" spans="10:10" x14ac:dyDescent="0.4">
      <c r="J3104" s="140"/>
    </row>
    <row r="3105" spans="10:10" x14ac:dyDescent="0.4">
      <c r="J3105" s="140"/>
    </row>
    <row r="3106" spans="10:10" x14ac:dyDescent="0.4">
      <c r="J3106" s="140"/>
    </row>
    <row r="3107" spans="10:10" x14ac:dyDescent="0.4">
      <c r="J3107" s="140"/>
    </row>
    <row r="3108" spans="10:10" x14ac:dyDescent="0.4">
      <c r="J3108" s="140"/>
    </row>
    <row r="3109" spans="10:10" x14ac:dyDescent="0.4">
      <c r="J3109" s="140"/>
    </row>
    <row r="3110" spans="10:10" x14ac:dyDescent="0.4">
      <c r="J3110" s="140"/>
    </row>
    <row r="3111" spans="10:10" x14ac:dyDescent="0.4">
      <c r="J3111" s="140"/>
    </row>
    <row r="3112" spans="10:10" x14ac:dyDescent="0.4">
      <c r="J3112" s="140"/>
    </row>
    <row r="3113" spans="10:10" x14ac:dyDescent="0.4">
      <c r="J3113" s="140"/>
    </row>
    <row r="3114" spans="10:10" x14ac:dyDescent="0.4">
      <c r="J3114" s="140"/>
    </row>
    <row r="3115" spans="10:10" x14ac:dyDescent="0.4">
      <c r="J3115" s="140"/>
    </row>
    <row r="3116" spans="10:10" x14ac:dyDescent="0.4">
      <c r="J3116" s="140"/>
    </row>
    <row r="3117" spans="10:10" x14ac:dyDescent="0.4">
      <c r="J3117" s="140"/>
    </row>
    <row r="3118" spans="10:10" x14ac:dyDescent="0.4">
      <c r="J3118" s="140"/>
    </row>
    <row r="3119" spans="10:10" x14ac:dyDescent="0.4">
      <c r="J3119" s="140"/>
    </row>
    <row r="3120" spans="10:10" x14ac:dyDescent="0.4">
      <c r="J3120" s="140"/>
    </row>
    <row r="3121" spans="10:10" x14ac:dyDescent="0.4">
      <c r="J3121" s="140"/>
    </row>
    <row r="3122" spans="10:10" x14ac:dyDescent="0.4">
      <c r="J3122" s="140"/>
    </row>
    <row r="3123" spans="10:10" x14ac:dyDescent="0.4">
      <c r="J3123" s="140"/>
    </row>
    <row r="3124" spans="10:10" x14ac:dyDescent="0.4">
      <c r="J3124" s="140"/>
    </row>
    <row r="3125" spans="10:10" x14ac:dyDescent="0.4">
      <c r="J3125" s="140"/>
    </row>
    <row r="3126" spans="10:10" x14ac:dyDescent="0.4">
      <c r="J3126" s="140"/>
    </row>
    <row r="3127" spans="10:10" x14ac:dyDescent="0.4">
      <c r="J3127" s="140"/>
    </row>
    <row r="3128" spans="10:10" x14ac:dyDescent="0.4">
      <c r="J3128" s="140"/>
    </row>
    <row r="3129" spans="10:10" x14ac:dyDescent="0.4">
      <c r="J3129" s="140"/>
    </row>
    <row r="3130" spans="10:10" x14ac:dyDescent="0.4">
      <c r="J3130" s="140"/>
    </row>
    <row r="3131" spans="10:10" x14ac:dyDescent="0.4">
      <c r="J3131" s="140"/>
    </row>
    <row r="3132" spans="10:10" x14ac:dyDescent="0.4">
      <c r="J3132" s="140"/>
    </row>
    <row r="3133" spans="10:10" x14ac:dyDescent="0.4">
      <c r="J3133" s="140"/>
    </row>
    <row r="3134" spans="10:10" x14ac:dyDescent="0.4">
      <c r="J3134" s="140"/>
    </row>
    <row r="3135" spans="10:10" x14ac:dyDescent="0.4">
      <c r="J3135" s="140"/>
    </row>
    <row r="3136" spans="10:10" x14ac:dyDescent="0.4">
      <c r="J3136" s="140"/>
    </row>
    <row r="3137" spans="10:10" x14ac:dyDescent="0.4">
      <c r="J3137" s="140"/>
    </row>
    <row r="3138" spans="10:10" x14ac:dyDescent="0.4">
      <c r="J3138" s="140"/>
    </row>
    <row r="3139" spans="10:10" x14ac:dyDescent="0.4">
      <c r="J3139" s="140"/>
    </row>
    <row r="3140" spans="10:10" x14ac:dyDescent="0.4">
      <c r="J3140" s="140"/>
    </row>
    <row r="3141" spans="10:10" x14ac:dyDescent="0.4">
      <c r="J3141" s="140"/>
    </row>
    <row r="3142" spans="10:10" x14ac:dyDescent="0.4">
      <c r="J3142" s="140"/>
    </row>
    <row r="3143" spans="10:10" x14ac:dyDescent="0.4">
      <c r="J3143" s="140"/>
    </row>
    <row r="3144" spans="10:10" x14ac:dyDescent="0.4">
      <c r="J3144" s="140"/>
    </row>
    <row r="3145" spans="10:10" x14ac:dyDescent="0.4">
      <c r="J3145" s="140"/>
    </row>
    <row r="3146" spans="10:10" x14ac:dyDescent="0.4">
      <c r="J3146" s="140"/>
    </row>
    <row r="3147" spans="10:10" x14ac:dyDescent="0.4">
      <c r="J3147" s="140"/>
    </row>
    <row r="3148" spans="10:10" x14ac:dyDescent="0.4">
      <c r="J3148" s="140"/>
    </row>
    <row r="3149" spans="10:10" x14ac:dyDescent="0.4">
      <c r="J3149" s="140"/>
    </row>
    <row r="3150" spans="10:10" x14ac:dyDescent="0.4">
      <c r="J3150" s="140"/>
    </row>
    <row r="3151" spans="10:10" x14ac:dyDescent="0.4">
      <c r="J3151" s="140"/>
    </row>
    <row r="3152" spans="10:10" x14ac:dyDescent="0.4">
      <c r="J3152" s="140"/>
    </row>
    <row r="3153" spans="10:10" x14ac:dyDescent="0.4">
      <c r="J3153" s="140"/>
    </row>
    <row r="3154" spans="10:10" x14ac:dyDescent="0.4">
      <c r="J3154" s="140"/>
    </row>
    <row r="3155" spans="10:10" x14ac:dyDescent="0.4">
      <c r="J3155" s="140"/>
    </row>
    <row r="3156" spans="10:10" x14ac:dyDescent="0.4">
      <c r="J3156" s="140"/>
    </row>
    <row r="3157" spans="10:10" x14ac:dyDescent="0.4">
      <c r="J3157" s="140"/>
    </row>
    <row r="3158" spans="10:10" x14ac:dyDescent="0.4">
      <c r="J3158" s="140"/>
    </row>
    <row r="3159" spans="10:10" x14ac:dyDescent="0.4">
      <c r="J3159" s="140"/>
    </row>
    <row r="3160" spans="10:10" x14ac:dyDescent="0.4">
      <c r="J3160" s="140"/>
    </row>
    <row r="3161" spans="10:10" x14ac:dyDescent="0.4">
      <c r="J3161" s="140"/>
    </row>
    <row r="3162" spans="10:10" x14ac:dyDescent="0.4">
      <c r="J3162" s="140"/>
    </row>
    <row r="3163" spans="10:10" x14ac:dyDescent="0.4">
      <c r="J3163" s="140"/>
    </row>
    <row r="3164" spans="10:10" x14ac:dyDescent="0.4">
      <c r="J3164" s="140"/>
    </row>
    <row r="3165" spans="10:10" x14ac:dyDescent="0.4">
      <c r="J3165" s="140"/>
    </row>
    <row r="3166" spans="10:10" x14ac:dyDescent="0.4">
      <c r="J3166" s="140"/>
    </row>
    <row r="3167" spans="10:10" x14ac:dyDescent="0.4">
      <c r="J3167" s="140"/>
    </row>
    <row r="3168" spans="10:10" x14ac:dyDescent="0.4">
      <c r="J3168" s="140"/>
    </row>
    <row r="3169" spans="10:10" x14ac:dyDescent="0.4">
      <c r="J3169" s="140"/>
    </row>
    <row r="3170" spans="10:10" x14ac:dyDescent="0.4">
      <c r="J3170" s="140"/>
    </row>
    <row r="3171" spans="10:10" x14ac:dyDescent="0.4">
      <c r="J3171" s="140"/>
    </row>
    <row r="3172" spans="10:10" x14ac:dyDescent="0.4">
      <c r="J3172" s="140"/>
    </row>
    <row r="3173" spans="10:10" x14ac:dyDescent="0.4">
      <c r="J3173" s="140"/>
    </row>
    <row r="3174" spans="10:10" x14ac:dyDescent="0.4">
      <c r="J3174" s="140"/>
    </row>
    <row r="3175" spans="10:10" x14ac:dyDescent="0.4">
      <c r="J3175" s="140"/>
    </row>
    <row r="3176" spans="10:10" x14ac:dyDescent="0.4">
      <c r="J3176" s="140"/>
    </row>
    <row r="3177" spans="10:10" x14ac:dyDescent="0.4">
      <c r="J3177" s="140"/>
    </row>
    <row r="3178" spans="10:10" x14ac:dyDescent="0.4">
      <c r="J3178" s="140"/>
    </row>
    <row r="3179" spans="10:10" x14ac:dyDescent="0.4">
      <c r="J3179" s="140"/>
    </row>
    <row r="3180" spans="10:10" x14ac:dyDescent="0.4">
      <c r="J3180" s="140"/>
    </row>
    <row r="3181" spans="10:10" x14ac:dyDescent="0.4">
      <c r="J3181" s="140"/>
    </row>
    <row r="3182" spans="10:10" x14ac:dyDescent="0.4">
      <c r="J3182" s="140"/>
    </row>
    <row r="3183" spans="10:10" x14ac:dyDescent="0.4">
      <c r="J3183" s="140"/>
    </row>
    <row r="3184" spans="10:10" x14ac:dyDescent="0.4">
      <c r="J3184" s="140"/>
    </row>
    <row r="3185" spans="10:10" x14ac:dyDescent="0.4">
      <c r="J3185" s="140"/>
    </row>
    <row r="3186" spans="10:10" x14ac:dyDescent="0.4">
      <c r="J3186" s="140"/>
    </row>
    <row r="3187" spans="10:10" x14ac:dyDescent="0.4">
      <c r="J3187" s="140"/>
    </row>
    <row r="3188" spans="10:10" x14ac:dyDescent="0.4">
      <c r="J3188" s="140"/>
    </row>
    <row r="3189" spans="10:10" x14ac:dyDescent="0.4">
      <c r="J3189" s="140"/>
    </row>
    <row r="3190" spans="10:10" x14ac:dyDescent="0.4">
      <c r="J3190" s="140"/>
    </row>
    <row r="3191" spans="10:10" x14ac:dyDescent="0.4">
      <c r="J3191" s="140"/>
    </row>
    <row r="3192" spans="10:10" x14ac:dyDescent="0.4">
      <c r="J3192" s="140"/>
    </row>
    <row r="3193" spans="10:10" x14ac:dyDescent="0.4">
      <c r="J3193" s="140"/>
    </row>
    <row r="3194" spans="10:10" x14ac:dyDescent="0.4">
      <c r="J3194" s="140"/>
    </row>
    <row r="3195" spans="10:10" x14ac:dyDescent="0.4">
      <c r="J3195" s="140"/>
    </row>
    <row r="3196" spans="10:10" x14ac:dyDescent="0.4">
      <c r="J3196" s="140"/>
    </row>
    <row r="3197" spans="10:10" x14ac:dyDescent="0.4">
      <c r="J3197" s="140"/>
    </row>
    <row r="3198" spans="10:10" x14ac:dyDescent="0.4">
      <c r="J3198" s="140"/>
    </row>
    <row r="3199" spans="10:10" x14ac:dyDescent="0.4">
      <c r="J3199" s="140"/>
    </row>
    <row r="3200" spans="10:10" x14ac:dyDescent="0.4">
      <c r="J3200" s="140"/>
    </row>
    <row r="3201" spans="10:10" x14ac:dyDescent="0.4">
      <c r="J3201" s="140"/>
    </row>
    <row r="3202" spans="10:10" x14ac:dyDescent="0.4">
      <c r="J3202" s="140"/>
    </row>
    <row r="3203" spans="10:10" x14ac:dyDescent="0.4">
      <c r="J3203" s="140"/>
    </row>
    <row r="3204" spans="10:10" x14ac:dyDescent="0.4">
      <c r="J3204" s="140"/>
    </row>
    <row r="3205" spans="10:10" x14ac:dyDescent="0.4">
      <c r="J3205" s="140"/>
    </row>
    <row r="3206" spans="10:10" x14ac:dyDescent="0.4">
      <c r="J3206" s="140"/>
    </row>
    <row r="3207" spans="10:10" x14ac:dyDescent="0.4">
      <c r="J3207" s="140"/>
    </row>
    <row r="3208" spans="10:10" x14ac:dyDescent="0.4">
      <c r="J3208" s="140"/>
    </row>
    <row r="3209" spans="10:10" x14ac:dyDescent="0.4">
      <c r="J3209" s="140"/>
    </row>
    <row r="3210" spans="10:10" x14ac:dyDescent="0.4">
      <c r="J3210" s="140"/>
    </row>
    <row r="3211" spans="10:10" x14ac:dyDescent="0.4">
      <c r="J3211" s="140"/>
    </row>
    <row r="3212" spans="10:10" x14ac:dyDescent="0.4">
      <c r="J3212" s="140"/>
    </row>
    <row r="3213" spans="10:10" x14ac:dyDescent="0.4">
      <c r="J3213" s="140"/>
    </row>
    <row r="3214" spans="10:10" x14ac:dyDescent="0.4">
      <c r="J3214" s="140"/>
    </row>
    <row r="3215" spans="10:10" x14ac:dyDescent="0.4">
      <c r="J3215" s="140"/>
    </row>
    <row r="3216" spans="10:10" x14ac:dyDescent="0.4">
      <c r="J3216" s="140"/>
    </row>
    <row r="3217" spans="10:10" x14ac:dyDescent="0.4">
      <c r="J3217" s="140"/>
    </row>
    <row r="3218" spans="10:10" x14ac:dyDescent="0.4">
      <c r="J3218" s="140"/>
    </row>
    <row r="3219" spans="10:10" x14ac:dyDescent="0.4">
      <c r="J3219" s="140"/>
    </row>
    <row r="3220" spans="10:10" x14ac:dyDescent="0.4">
      <c r="J3220" s="140"/>
    </row>
    <row r="3221" spans="10:10" x14ac:dyDescent="0.4">
      <c r="J3221" s="140"/>
    </row>
    <row r="3222" spans="10:10" x14ac:dyDescent="0.4">
      <c r="J3222" s="140"/>
    </row>
    <row r="3223" spans="10:10" x14ac:dyDescent="0.4">
      <c r="J3223" s="140"/>
    </row>
    <row r="3224" spans="10:10" x14ac:dyDescent="0.4">
      <c r="J3224" s="140"/>
    </row>
    <row r="3225" spans="10:10" x14ac:dyDescent="0.4">
      <c r="J3225" s="140"/>
    </row>
    <row r="3226" spans="10:10" x14ac:dyDescent="0.4">
      <c r="J3226" s="140"/>
    </row>
    <row r="3227" spans="10:10" x14ac:dyDescent="0.4">
      <c r="J3227" s="140"/>
    </row>
    <row r="3228" spans="10:10" x14ac:dyDescent="0.4">
      <c r="J3228" s="140"/>
    </row>
    <row r="3229" spans="10:10" x14ac:dyDescent="0.4">
      <c r="J3229" s="140"/>
    </row>
    <row r="3230" spans="10:10" x14ac:dyDescent="0.4">
      <c r="J3230" s="140"/>
    </row>
    <row r="3231" spans="10:10" x14ac:dyDescent="0.4">
      <c r="J3231" s="140"/>
    </row>
    <row r="3232" spans="10:10" x14ac:dyDescent="0.4">
      <c r="J3232" s="140"/>
    </row>
    <row r="3233" spans="10:10" x14ac:dyDescent="0.4">
      <c r="J3233" s="140"/>
    </row>
    <row r="3234" spans="10:10" x14ac:dyDescent="0.4">
      <c r="J3234" s="140"/>
    </row>
    <row r="3235" spans="10:10" x14ac:dyDescent="0.4">
      <c r="J3235" s="140"/>
    </row>
    <row r="3236" spans="10:10" x14ac:dyDescent="0.4">
      <c r="J3236" s="140"/>
    </row>
    <row r="3237" spans="10:10" x14ac:dyDescent="0.4">
      <c r="J3237" s="140"/>
    </row>
    <row r="3238" spans="10:10" x14ac:dyDescent="0.4">
      <c r="J3238" s="140"/>
    </row>
    <row r="3239" spans="10:10" x14ac:dyDescent="0.4">
      <c r="J3239" s="140"/>
    </row>
    <row r="3240" spans="10:10" x14ac:dyDescent="0.4">
      <c r="J3240" s="140"/>
    </row>
    <row r="3241" spans="10:10" x14ac:dyDescent="0.4">
      <c r="J3241" s="140"/>
    </row>
    <row r="3242" spans="10:10" x14ac:dyDescent="0.4">
      <c r="J3242" s="140"/>
    </row>
    <row r="3243" spans="10:10" x14ac:dyDescent="0.4">
      <c r="J3243" s="140"/>
    </row>
    <row r="3244" spans="10:10" x14ac:dyDescent="0.4">
      <c r="J3244" s="140"/>
    </row>
    <row r="3245" spans="10:10" x14ac:dyDescent="0.4">
      <c r="J3245" s="140"/>
    </row>
    <row r="3246" spans="10:10" x14ac:dyDescent="0.4">
      <c r="J3246" s="140"/>
    </row>
    <row r="3247" spans="10:10" x14ac:dyDescent="0.4">
      <c r="J3247" s="140"/>
    </row>
    <row r="3248" spans="10:10" x14ac:dyDescent="0.4">
      <c r="J3248" s="140"/>
    </row>
    <row r="3249" spans="10:10" x14ac:dyDescent="0.4">
      <c r="J3249" s="140"/>
    </row>
    <row r="3250" spans="10:10" x14ac:dyDescent="0.4">
      <c r="J3250" s="140"/>
    </row>
    <row r="3251" spans="10:10" x14ac:dyDescent="0.4">
      <c r="J3251" s="140"/>
    </row>
    <row r="3252" spans="10:10" x14ac:dyDescent="0.4">
      <c r="J3252" s="140"/>
    </row>
    <row r="3253" spans="10:10" x14ac:dyDescent="0.4">
      <c r="J3253" s="140"/>
    </row>
    <row r="3254" spans="10:10" x14ac:dyDescent="0.4">
      <c r="J3254" s="140"/>
    </row>
    <row r="3255" spans="10:10" x14ac:dyDescent="0.4">
      <c r="J3255" s="140"/>
    </row>
    <row r="3256" spans="10:10" x14ac:dyDescent="0.4">
      <c r="J3256" s="140"/>
    </row>
    <row r="3257" spans="10:10" x14ac:dyDescent="0.4">
      <c r="J3257" s="140"/>
    </row>
    <row r="3258" spans="10:10" x14ac:dyDescent="0.4">
      <c r="J3258" s="140"/>
    </row>
    <row r="3259" spans="10:10" x14ac:dyDescent="0.4">
      <c r="J3259" s="140"/>
    </row>
    <row r="3260" spans="10:10" x14ac:dyDescent="0.4">
      <c r="J3260" s="140"/>
    </row>
    <row r="3261" spans="10:10" x14ac:dyDescent="0.4">
      <c r="J3261" s="140"/>
    </row>
    <row r="3262" spans="10:10" x14ac:dyDescent="0.4">
      <c r="J3262" s="140"/>
    </row>
    <row r="3263" spans="10:10" x14ac:dyDescent="0.4">
      <c r="J3263" s="140"/>
    </row>
    <row r="3264" spans="10:10" x14ac:dyDescent="0.4">
      <c r="J3264" s="140"/>
    </row>
    <row r="3265" spans="10:10" x14ac:dyDescent="0.4">
      <c r="J3265" s="140"/>
    </row>
    <row r="3266" spans="10:10" x14ac:dyDescent="0.4">
      <c r="J3266" s="140"/>
    </row>
    <row r="3267" spans="10:10" x14ac:dyDescent="0.4">
      <c r="J3267" s="140"/>
    </row>
    <row r="3268" spans="10:10" x14ac:dyDescent="0.4">
      <c r="J3268" s="140"/>
    </row>
    <row r="3269" spans="10:10" x14ac:dyDescent="0.4">
      <c r="J3269" s="140"/>
    </row>
    <row r="3270" spans="10:10" x14ac:dyDescent="0.4">
      <c r="J3270" s="140"/>
    </row>
    <row r="3271" spans="10:10" x14ac:dyDescent="0.4">
      <c r="J3271" s="140"/>
    </row>
    <row r="3272" spans="10:10" x14ac:dyDescent="0.4">
      <c r="J3272" s="140"/>
    </row>
    <row r="3273" spans="10:10" x14ac:dyDescent="0.4">
      <c r="J3273" s="140"/>
    </row>
    <row r="3274" spans="10:10" x14ac:dyDescent="0.4">
      <c r="J3274" s="140"/>
    </row>
    <row r="3275" spans="10:10" x14ac:dyDescent="0.4">
      <c r="J3275" s="140"/>
    </row>
    <row r="3276" spans="10:10" x14ac:dyDescent="0.4">
      <c r="J3276" s="140"/>
    </row>
    <row r="3277" spans="10:10" x14ac:dyDescent="0.4">
      <c r="J3277" s="140"/>
    </row>
    <row r="3278" spans="10:10" x14ac:dyDescent="0.4">
      <c r="J3278" s="140"/>
    </row>
    <row r="3279" spans="10:10" x14ac:dyDescent="0.4">
      <c r="J3279" s="140"/>
    </row>
    <row r="3280" spans="10:10" x14ac:dyDescent="0.4">
      <c r="J3280" s="140"/>
    </row>
    <row r="3281" spans="10:10" x14ac:dyDescent="0.4">
      <c r="J3281" s="140"/>
    </row>
    <row r="3282" spans="10:10" x14ac:dyDescent="0.4">
      <c r="J3282" s="140"/>
    </row>
    <row r="3283" spans="10:10" x14ac:dyDescent="0.4">
      <c r="J3283" s="140"/>
    </row>
    <row r="3284" spans="10:10" x14ac:dyDescent="0.4">
      <c r="J3284" s="140"/>
    </row>
    <row r="3285" spans="10:10" x14ac:dyDescent="0.4">
      <c r="J3285" s="140"/>
    </row>
    <row r="3286" spans="10:10" x14ac:dyDescent="0.4">
      <c r="J3286" s="140"/>
    </row>
    <row r="3287" spans="10:10" x14ac:dyDescent="0.4">
      <c r="J3287" s="140"/>
    </row>
    <row r="3288" spans="10:10" x14ac:dyDescent="0.4">
      <c r="J3288" s="140"/>
    </row>
    <row r="3289" spans="10:10" x14ac:dyDescent="0.4">
      <c r="J3289" s="140"/>
    </row>
    <row r="3290" spans="10:10" x14ac:dyDescent="0.4">
      <c r="J3290" s="140"/>
    </row>
    <row r="3291" spans="10:10" x14ac:dyDescent="0.4">
      <c r="J3291" s="140"/>
    </row>
    <row r="3292" spans="10:10" x14ac:dyDescent="0.4">
      <c r="J3292" s="140"/>
    </row>
    <row r="3293" spans="10:10" x14ac:dyDescent="0.4">
      <c r="J3293" s="140"/>
    </row>
    <row r="3294" spans="10:10" x14ac:dyDescent="0.4">
      <c r="J3294" s="140"/>
    </row>
    <row r="3295" spans="10:10" x14ac:dyDescent="0.4">
      <c r="J3295" s="140"/>
    </row>
    <row r="3296" spans="10:10" x14ac:dyDescent="0.4">
      <c r="J3296" s="140"/>
    </row>
    <row r="3297" spans="10:10" x14ac:dyDescent="0.4">
      <c r="J3297" s="140"/>
    </row>
    <row r="3298" spans="10:10" x14ac:dyDescent="0.4">
      <c r="J3298" s="140"/>
    </row>
    <row r="3299" spans="10:10" x14ac:dyDescent="0.4">
      <c r="J3299" s="140"/>
    </row>
    <row r="3300" spans="10:10" x14ac:dyDescent="0.4">
      <c r="J3300" s="140"/>
    </row>
    <row r="3301" spans="10:10" x14ac:dyDescent="0.4">
      <c r="J3301" s="140"/>
    </row>
    <row r="3302" spans="10:10" x14ac:dyDescent="0.4">
      <c r="J3302" s="140"/>
    </row>
    <row r="3303" spans="10:10" x14ac:dyDescent="0.4">
      <c r="J3303" s="140"/>
    </row>
    <row r="3304" spans="10:10" x14ac:dyDescent="0.4">
      <c r="J3304" s="140"/>
    </row>
    <row r="3305" spans="10:10" x14ac:dyDescent="0.4">
      <c r="J3305" s="140"/>
    </row>
    <row r="3306" spans="10:10" x14ac:dyDescent="0.4">
      <c r="J3306" s="140"/>
    </row>
    <row r="3307" spans="10:10" x14ac:dyDescent="0.4">
      <c r="J3307" s="140"/>
    </row>
    <row r="3308" spans="10:10" x14ac:dyDescent="0.4">
      <c r="J3308" s="140"/>
    </row>
    <row r="3309" spans="10:10" x14ac:dyDescent="0.4">
      <c r="J3309" s="140"/>
    </row>
    <row r="3310" spans="10:10" x14ac:dyDescent="0.4">
      <c r="J3310" s="140"/>
    </row>
    <row r="3311" spans="10:10" x14ac:dyDescent="0.4">
      <c r="J3311" s="140"/>
    </row>
    <row r="3312" spans="10:10" x14ac:dyDescent="0.4">
      <c r="J3312" s="140"/>
    </row>
    <row r="3313" spans="10:10" x14ac:dyDescent="0.4">
      <c r="J3313" s="140"/>
    </row>
    <row r="3314" spans="10:10" x14ac:dyDescent="0.4">
      <c r="J3314" s="140"/>
    </row>
    <row r="3315" spans="10:10" x14ac:dyDescent="0.4">
      <c r="J3315" s="140"/>
    </row>
    <row r="3316" spans="10:10" x14ac:dyDescent="0.4">
      <c r="J3316" s="140"/>
    </row>
    <row r="3317" spans="10:10" x14ac:dyDescent="0.4">
      <c r="J3317" s="140"/>
    </row>
    <row r="3318" spans="10:10" x14ac:dyDescent="0.4">
      <c r="J3318" s="140"/>
    </row>
    <row r="3319" spans="10:10" x14ac:dyDescent="0.4">
      <c r="J3319" s="140"/>
    </row>
    <row r="3320" spans="10:10" x14ac:dyDescent="0.4">
      <c r="J3320" s="140"/>
    </row>
    <row r="3321" spans="10:10" x14ac:dyDescent="0.4">
      <c r="J3321" s="140"/>
    </row>
    <row r="3322" spans="10:10" x14ac:dyDescent="0.4">
      <c r="J3322" s="140"/>
    </row>
    <row r="3323" spans="10:10" x14ac:dyDescent="0.4">
      <c r="J3323" s="140"/>
    </row>
    <row r="3324" spans="10:10" x14ac:dyDescent="0.4">
      <c r="J3324" s="140"/>
    </row>
    <row r="3325" spans="10:10" x14ac:dyDescent="0.4">
      <c r="J3325" s="140"/>
    </row>
    <row r="3326" spans="10:10" x14ac:dyDescent="0.4">
      <c r="J3326" s="140"/>
    </row>
    <row r="3327" spans="10:10" x14ac:dyDescent="0.4">
      <c r="J3327" s="140"/>
    </row>
    <row r="3328" spans="10:10" x14ac:dyDescent="0.4">
      <c r="J3328" s="140"/>
    </row>
    <row r="3329" spans="10:10" x14ac:dyDescent="0.4">
      <c r="J3329" s="140"/>
    </row>
    <row r="3330" spans="10:10" x14ac:dyDescent="0.4">
      <c r="J3330" s="140"/>
    </row>
    <row r="3331" spans="10:10" x14ac:dyDescent="0.4">
      <c r="J3331" s="140"/>
    </row>
    <row r="3332" spans="10:10" x14ac:dyDescent="0.4">
      <c r="J3332" s="140"/>
    </row>
    <row r="3333" spans="10:10" x14ac:dyDescent="0.4">
      <c r="J3333" s="140"/>
    </row>
    <row r="3334" spans="10:10" x14ac:dyDescent="0.4">
      <c r="J3334" s="140"/>
    </row>
    <row r="3335" spans="10:10" x14ac:dyDescent="0.4">
      <c r="J3335" s="140"/>
    </row>
    <row r="3336" spans="10:10" x14ac:dyDescent="0.4">
      <c r="J3336" s="140"/>
    </row>
    <row r="3337" spans="10:10" x14ac:dyDescent="0.4">
      <c r="J3337" s="140"/>
    </row>
    <row r="3338" spans="10:10" x14ac:dyDescent="0.4">
      <c r="J3338" s="140"/>
    </row>
    <row r="3339" spans="10:10" x14ac:dyDescent="0.4">
      <c r="J3339" s="140"/>
    </row>
    <row r="3340" spans="10:10" x14ac:dyDescent="0.4">
      <c r="J3340" s="140"/>
    </row>
    <row r="3341" spans="10:10" x14ac:dyDescent="0.4">
      <c r="J3341" s="140"/>
    </row>
    <row r="3342" spans="10:10" x14ac:dyDescent="0.4">
      <c r="J3342" s="140"/>
    </row>
    <row r="3343" spans="10:10" x14ac:dyDescent="0.4">
      <c r="J3343" s="140"/>
    </row>
    <row r="3344" spans="10:10" x14ac:dyDescent="0.4">
      <c r="J3344" s="140"/>
    </row>
    <row r="3345" spans="10:10" x14ac:dyDescent="0.4">
      <c r="J3345" s="140"/>
    </row>
    <row r="3346" spans="10:10" x14ac:dyDescent="0.4">
      <c r="J3346" s="140"/>
    </row>
    <row r="3347" spans="10:10" x14ac:dyDescent="0.4">
      <c r="J3347" s="140"/>
    </row>
    <row r="3348" spans="10:10" x14ac:dyDescent="0.4">
      <c r="J3348" s="140"/>
    </row>
    <row r="3349" spans="10:10" x14ac:dyDescent="0.4">
      <c r="J3349" s="140"/>
    </row>
    <row r="3350" spans="10:10" x14ac:dyDescent="0.4">
      <c r="J3350" s="140"/>
    </row>
    <row r="3351" spans="10:10" x14ac:dyDescent="0.4">
      <c r="J3351" s="140"/>
    </row>
    <row r="3352" spans="10:10" x14ac:dyDescent="0.4">
      <c r="J3352" s="140"/>
    </row>
    <row r="3353" spans="10:10" x14ac:dyDescent="0.4">
      <c r="J3353" s="140"/>
    </row>
    <row r="3354" spans="10:10" x14ac:dyDescent="0.4">
      <c r="J3354" s="140"/>
    </row>
    <row r="3355" spans="10:10" x14ac:dyDescent="0.4">
      <c r="J3355" s="140"/>
    </row>
    <row r="3356" spans="10:10" x14ac:dyDescent="0.4">
      <c r="J3356" s="140"/>
    </row>
    <row r="3357" spans="10:10" x14ac:dyDescent="0.4">
      <c r="J3357" s="140"/>
    </row>
    <row r="3358" spans="10:10" x14ac:dyDescent="0.4">
      <c r="J3358" s="140"/>
    </row>
    <row r="3359" spans="10:10" x14ac:dyDescent="0.4">
      <c r="J3359" s="140"/>
    </row>
    <row r="3360" spans="10:10" x14ac:dyDescent="0.4">
      <c r="J3360" s="140"/>
    </row>
    <row r="3361" spans="10:10" x14ac:dyDescent="0.4">
      <c r="J3361" s="140"/>
    </row>
    <row r="3362" spans="10:10" x14ac:dyDescent="0.4">
      <c r="J3362" s="140"/>
    </row>
    <row r="3363" spans="10:10" x14ac:dyDescent="0.4">
      <c r="J3363" s="140"/>
    </row>
    <row r="3364" spans="10:10" x14ac:dyDescent="0.4">
      <c r="J3364" s="140"/>
    </row>
    <row r="3365" spans="10:10" x14ac:dyDescent="0.4">
      <c r="J3365" s="140"/>
    </row>
    <row r="3366" spans="10:10" x14ac:dyDescent="0.4">
      <c r="J3366" s="140"/>
    </row>
    <row r="3367" spans="10:10" x14ac:dyDescent="0.4">
      <c r="J3367" s="140"/>
    </row>
    <row r="3368" spans="10:10" x14ac:dyDescent="0.4">
      <c r="J3368" s="140"/>
    </row>
    <row r="3369" spans="10:10" x14ac:dyDescent="0.4">
      <c r="J3369" s="140"/>
    </row>
    <row r="3370" spans="10:10" x14ac:dyDescent="0.4">
      <c r="J3370" s="140"/>
    </row>
    <row r="3371" spans="10:10" x14ac:dyDescent="0.4">
      <c r="J3371" s="140"/>
    </row>
    <row r="3372" spans="10:10" x14ac:dyDescent="0.4">
      <c r="J3372" s="140"/>
    </row>
    <row r="3373" spans="10:10" x14ac:dyDescent="0.4">
      <c r="J3373" s="140"/>
    </row>
    <row r="3374" spans="10:10" x14ac:dyDescent="0.4">
      <c r="J3374" s="140"/>
    </row>
    <row r="3375" spans="10:10" x14ac:dyDescent="0.4">
      <c r="J3375" s="140"/>
    </row>
    <row r="3376" spans="10:10" x14ac:dyDescent="0.4">
      <c r="J3376" s="140"/>
    </row>
    <row r="3377" spans="10:10" x14ac:dyDescent="0.4">
      <c r="J3377" s="140"/>
    </row>
    <row r="3378" spans="10:10" x14ac:dyDescent="0.4">
      <c r="J3378" s="140"/>
    </row>
    <row r="3379" spans="10:10" x14ac:dyDescent="0.4">
      <c r="J3379" s="140"/>
    </row>
    <row r="3380" spans="10:10" x14ac:dyDescent="0.4">
      <c r="J3380" s="140"/>
    </row>
    <row r="3381" spans="10:10" x14ac:dyDescent="0.4">
      <c r="J3381" s="140"/>
    </row>
    <row r="3382" spans="10:10" x14ac:dyDescent="0.4">
      <c r="J3382" s="140"/>
    </row>
    <row r="3383" spans="10:10" x14ac:dyDescent="0.4">
      <c r="J3383" s="140"/>
    </row>
    <row r="3384" spans="10:10" x14ac:dyDescent="0.4">
      <c r="J3384" s="140"/>
    </row>
    <row r="3385" spans="10:10" x14ac:dyDescent="0.4">
      <c r="J3385" s="140"/>
    </row>
    <row r="3386" spans="10:10" x14ac:dyDescent="0.4">
      <c r="J3386" s="140"/>
    </row>
    <row r="3387" spans="10:10" x14ac:dyDescent="0.4">
      <c r="J3387" s="140"/>
    </row>
    <row r="3388" spans="10:10" x14ac:dyDescent="0.4">
      <c r="J3388" s="140"/>
    </row>
    <row r="3389" spans="10:10" x14ac:dyDescent="0.4">
      <c r="J3389" s="140"/>
    </row>
    <row r="3390" spans="10:10" x14ac:dyDescent="0.4">
      <c r="J3390" s="140"/>
    </row>
    <row r="3391" spans="10:10" x14ac:dyDescent="0.4">
      <c r="J3391" s="140"/>
    </row>
    <row r="3392" spans="10:10" x14ac:dyDescent="0.4">
      <c r="J3392" s="140"/>
    </row>
    <row r="3393" spans="10:10" x14ac:dyDescent="0.4">
      <c r="J3393" s="140"/>
    </row>
    <row r="3394" spans="10:10" x14ac:dyDescent="0.4">
      <c r="J3394" s="140"/>
    </row>
    <row r="3395" spans="10:10" x14ac:dyDescent="0.4">
      <c r="J3395" s="140"/>
    </row>
    <row r="3396" spans="10:10" x14ac:dyDescent="0.4">
      <c r="J3396" s="140"/>
    </row>
    <row r="3397" spans="10:10" x14ac:dyDescent="0.4">
      <c r="J3397" s="140"/>
    </row>
    <row r="3398" spans="10:10" x14ac:dyDescent="0.4">
      <c r="J3398" s="140"/>
    </row>
    <row r="3399" spans="10:10" x14ac:dyDescent="0.4">
      <c r="J3399" s="140"/>
    </row>
    <row r="3400" spans="10:10" x14ac:dyDescent="0.4">
      <c r="J3400" s="140"/>
    </row>
    <row r="3401" spans="10:10" x14ac:dyDescent="0.4">
      <c r="J3401" s="140"/>
    </row>
    <row r="3402" spans="10:10" x14ac:dyDescent="0.4">
      <c r="J3402" s="140"/>
    </row>
    <row r="3403" spans="10:10" x14ac:dyDescent="0.4">
      <c r="J3403" s="140"/>
    </row>
    <row r="3404" spans="10:10" x14ac:dyDescent="0.4">
      <c r="J3404" s="140"/>
    </row>
    <row r="3405" spans="10:10" x14ac:dyDescent="0.4">
      <c r="J3405" s="140"/>
    </row>
    <row r="3406" spans="10:10" x14ac:dyDescent="0.4">
      <c r="J3406" s="140"/>
    </row>
    <row r="3407" spans="10:10" x14ac:dyDescent="0.4">
      <c r="J3407" s="140"/>
    </row>
    <row r="3408" spans="10:10" x14ac:dyDescent="0.4">
      <c r="J3408" s="140"/>
    </row>
    <row r="3409" spans="10:10" x14ac:dyDescent="0.4">
      <c r="J3409" s="140"/>
    </row>
    <row r="3410" spans="10:10" x14ac:dyDescent="0.4">
      <c r="J3410" s="140"/>
    </row>
    <row r="3411" spans="10:10" x14ac:dyDescent="0.4">
      <c r="J3411" s="140"/>
    </row>
    <row r="3412" spans="10:10" x14ac:dyDescent="0.4">
      <c r="J3412" s="140"/>
    </row>
    <row r="3413" spans="10:10" x14ac:dyDescent="0.4">
      <c r="J3413" s="140"/>
    </row>
    <row r="3414" spans="10:10" x14ac:dyDescent="0.4">
      <c r="J3414" s="140"/>
    </row>
    <row r="3415" spans="10:10" x14ac:dyDescent="0.4">
      <c r="J3415" s="140"/>
    </row>
    <row r="3416" spans="10:10" x14ac:dyDescent="0.4">
      <c r="J3416" s="140"/>
    </row>
    <row r="3417" spans="10:10" x14ac:dyDescent="0.4">
      <c r="J3417" s="140"/>
    </row>
    <row r="3418" spans="10:10" x14ac:dyDescent="0.4">
      <c r="J3418" s="140"/>
    </row>
    <row r="3419" spans="10:10" x14ac:dyDescent="0.4">
      <c r="J3419" s="140"/>
    </row>
    <row r="3420" spans="10:10" x14ac:dyDescent="0.4">
      <c r="J3420" s="140"/>
    </row>
    <row r="3421" spans="10:10" x14ac:dyDescent="0.4">
      <c r="J3421" s="140"/>
    </row>
    <row r="3422" spans="10:10" x14ac:dyDescent="0.4">
      <c r="J3422" s="140"/>
    </row>
    <row r="3423" spans="10:10" x14ac:dyDescent="0.4">
      <c r="J3423" s="140"/>
    </row>
    <row r="3424" spans="10:10" x14ac:dyDescent="0.4">
      <c r="J3424" s="140"/>
    </row>
    <row r="3425" spans="10:10" x14ac:dyDescent="0.4">
      <c r="J3425" s="140"/>
    </row>
    <row r="3426" spans="10:10" x14ac:dyDescent="0.4">
      <c r="J3426" s="140"/>
    </row>
    <row r="3427" spans="10:10" x14ac:dyDescent="0.4">
      <c r="J3427" s="140"/>
    </row>
    <row r="3428" spans="10:10" x14ac:dyDescent="0.4">
      <c r="J3428" s="140"/>
    </row>
    <row r="3429" spans="10:10" x14ac:dyDescent="0.4">
      <c r="J3429" s="140"/>
    </row>
    <row r="3430" spans="10:10" x14ac:dyDescent="0.4">
      <c r="J3430" s="140"/>
    </row>
    <row r="3431" spans="10:10" x14ac:dyDescent="0.4">
      <c r="J3431" s="140"/>
    </row>
    <row r="3432" spans="10:10" x14ac:dyDescent="0.4">
      <c r="J3432" s="140"/>
    </row>
    <row r="3433" spans="10:10" x14ac:dyDescent="0.4">
      <c r="J3433" s="140"/>
    </row>
    <row r="3434" spans="10:10" x14ac:dyDescent="0.4">
      <c r="J3434" s="140"/>
    </row>
    <row r="3435" spans="10:10" x14ac:dyDescent="0.4">
      <c r="J3435" s="140"/>
    </row>
    <row r="3436" spans="10:10" x14ac:dyDescent="0.4">
      <c r="J3436" s="140"/>
    </row>
    <row r="3437" spans="10:10" x14ac:dyDescent="0.4">
      <c r="J3437" s="140"/>
    </row>
    <row r="3438" spans="10:10" x14ac:dyDescent="0.4">
      <c r="J3438" s="140"/>
    </row>
    <row r="3439" spans="10:10" x14ac:dyDescent="0.4">
      <c r="J3439" s="140"/>
    </row>
    <row r="3440" spans="10:10" x14ac:dyDescent="0.4">
      <c r="J3440" s="140"/>
    </row>
    <row r="3441" spans="10:10" x14ac:dyDescent="0.4">
      <c r="J3441" s="140"/>
    </row>
    <row r="3442" spans="10:10" x14ac:dyDescent="0.4">
      <c r="J3442" s="140"/>
    </row>
    <row r="3443" spans="10:10" x14ac:dyDescent="0.4">
      <c r="J3443" s="140"/>
    </row>
    <row r="3444" spans="10:10" x14ac:dyDescent="0.4">
      <c r="J3444" s="140"/>
    </row>
    <row r="3445" spans="10:10" x14ac:dyDescent="0.4">
      <c r="J3445" s="140"/>
    </row>
    <row r="3446" spans="10:10" x14ac:dyDescent="0.4">
      <c r="J3446" s="140"/>
    </row>
    <row r="3447" spans="10:10" x14ac:dyDescent="0.4">
      <c r="J3447" s="140"/>
    </row>
    <row r="3448" spans="10:10" x14ac:dyDescent="0.4">
      <c r="J3448" s="140"/>
    </row>
    <row r="3449" spans="10:10" x14ac:dyDescent="0.4">
      <c r="J3449" s="140"/>
    </row>
    <row r="3450" spans="10:10" x14ac:dyDescent="0.4">
      <c r="J3450" s="140"/>
    </row>
    <row r="3451" spans="10:10" x14ac:dyDescent="0.4">
      <c r="J3451" s="140"/>
    </row>
    <row r="3452" spans="10:10" x14ac:dyDescent="0.4">
      <c r="J3452" s="140"/>
    </row>
    <row r="3453" spans="10:10" x14ac:dyDescent="0.4">
      <c r="J3453" s="140"/>
    </row>
    <row r="3454" spans="10:10" x14ac:dyDescent="0.4">
      <c r="J3454" s="140"/>
    </row>
    <row r="3455" spans="10:10" x14ac:dyDescent="0.4">
      <c r="J3455" s="140"/>
    </row>
    <row r="3456" spans="10:10" x14ac:dyDescent="0.4">
      <c r="J3456" s="140"/>
    </row>
    <row r="3457" spans="10:10" x14ac:dyDescent="0.4">
      <c r="J3457" s="140"/>
    </row>
    <row r="3458" spans="10:10" x14ac:dyDescent="0.4">
      <c r="J3458" s="140"/>
    </row>
    <row r="3459" spans="10:10" x14ac:dyDescent="0.4">
      <c r="J3459" s="140"/>
    </row>
    <row r="3460" spans="10:10" x14ac:dyDescent="0.4">
      <c r="J3460" s="140"/>
    </row>
    <row r="3461" spans="10:10" x14ac:dyDescent="0.4">
      <c r="J3461" s="140"/>
    </row>
    <row r="3462" spans="10:10" x14ac:dyDescent="0.4">
      <c r="J3462" s="140"/>
    </row>
    <row r="3463" spans="10:10" x14ac:dyDescent="0.4">
      <c r="J3463" s="140"/>
    </row>
    <row r="3464" spans="10:10" x14ac:dyDescent="0.4">
      <c r="J3464" s="140"/>
    </row>
    <row r="3465" spans="10:10" x14ac:dyDescent="0.4">
      <c r="J3465" s="140"/>
    </row>
    <row r="3466" spans="10:10" x14ac:dyDescent="0.4">
      <c r="J3466" s="140"/>
    </row>
    <row r="3467" spans="10:10" x14ac:dyDescent="0.4">
      <c r="J3467" s="140"/>
    </row>
    <row r="3468" spans="10:10" x14ac:dyDescent="0.4">
      <c r="J3468" s="140"/>
    </row>
    <row r="3469" spans="10:10" x14ac:dyDescent="0.4">
      <c r="J3469" s="140"/>
    </row>
    <row r="3470" spans="10:10" x14ac:dyDescent="0.4">
      <c r="J3470" s="140"/>
    </row>
    <row r="3471" spans="10:10" x14ac:dyDescent="0.4">
      <c r="J3471" s="140"/>
    </row>
    <row r="3472" spans="10:10" x14ac:dyDescent="0.4">
      <c r="J3472" s="140"/>
    </row>
    <row r="3473" spans="10:10" x14ac:dyDescent="0.4">
      <c r="J3473" s="140"/>
    </row>
    <row r="3474" spans="10:10" x14ac:dyDescent="0.4">
      <c r="J3474" s="140"/>
    </row>
    <row r="3475" spans="10:10" x14ac:dyDescent="0.4">
      <c r="J3475" s="140"/>
    </row>
    <row r="3476" spans="10:10" x14ac:dyDescent="0.4">
      <c r="J3476" s="140"/>
    </row>
    <row r="3477" spans="10:10" x14ac:dyDescent="0.4">
      <c r="J3477" s="140"/>
    </row>
    <row r="3478" spans="10:10" x14ac:dyDescent="0.4">
      <c r="J3478" s="140"/>
    </row>
    <row r="3479" spans="10:10" x14ac:dyDescent="0.4">
      <c r="J3479" s="140"/>
    </row>
    <row r="3480" spans="10:10" x14ac:dyDescent="0.4">
      <c r="J3480" s="140"/>
    </row>
    <row r="3481" spans="10:10" x14ac:dyDescent="0.4">
      <c r="J3481" s="140"/>
    </row>
    <row r="3482" spans="10:10" x14ac:dyDescent="0.4">
      <c r="J3482" s="140"/>
    </row>
    <row r="3483" spans="10:10" x14ac:dyDescent="0.4">
      <c r="J3483" s="140"/>
    </row>
    <row r="3484" spans="10:10" x14ac:dyDescent="0.4">
      <c r="J3484" s="140"/>
    </row>
    <row r="3485" spans="10:10" x14ac:dyDescent="0.4">
      <c r="J3485" s="140"/>
    </row>
    <row r="3486" spans="10:10" x14ac:dyDescent="0.4">
      <c r="J3486" s="140"/>
    </row>
    <row r="3487" spans="10:10" x14ac:dyDescent="0.4">
      <c r="J3487" s="140"/>
    </row>
    <row r="3488" spans="10:10" x14ac:dyDescent="0.4">
      <c r="J3488" s="140"/>
    </row>
    <row r="3489" spans="10:10" x14ac:dyDescent="0.4">
      <c r="J3489" s="140"/>
    </row>
    <row r="3490" spans="10:10" x14ac:dyDescent="0.4">
      <c r="J3490" s="140"/>
    </row>
    <row r="3491" spans="10:10" x14ac:dyDescent="0.4">
      <c r="J3491" s="140"/>
    </row>
    <row r="3492" spans="10:10" x14ac:dyDescent="0.4">
      <c r="J3492" s="140"/>
    </row>
    <row r="3493" spans="10:10" x14ac:dyDescent="0.4">
      <c r="J3493" s="140"/>
    </row>
    <row r="3494" spans="10:10" x14ac:dyDescent="0.4">
      <c r="J3494" s="140"/>
    </row>
    <row r="3495" spans="10:10" x14ac:dyDescent="0.4">
      <c r="J3495" s="140"/>
    </row>
    <row r="3496" spans="10:10" x14ac:dyDescent="0.4">
      <c r="J3496" s="140"/>
    </row>
    <row r="3497" spans="10:10" x14ac:dyDescent="0.4">
      <c r="J3497" s="140"/>
    </row>
    <row r="3498" spans="10:10" x14ac:dyDescent="0.4">
      <c r="J3498" s="140"/>
    </row>
    <row r="3499" spans="10:10" x14ac:dyDescent="0.4">
      <c r="J3499" s="140"/>
    </row>
    <row r="3500" spans="10:10" x14ac:dyDescent="0.4">
      <c r="J3500" s="140"/>
    </row>
    <row r="3501" spans="10:10" x14ac:dyDescent="0.4">
      <c r="J3501" s="140"/>
    </row>
    <row r="3502" spans="10:10" x14ac:dyDescent="0.4">
      <c r="J3502" s="140"/>
    </row>
    <row r="3503" spans="10:10" x14ac:dyDescent="0.4">
      <c r="J3503" s="140"/>
    </row>
    <row r="3504" spans="10:10" x14ac:dyDescent="0.4">
      <c r="J3504" s="140"/>
    </row>
    <row r="3505" spans="10:10" x14ac:dyDescent="0.4">
      <c r="J3505" s="140"/>
    </row>
    <row r="3506" spans="10:10" x14ac:dyDescent="0.4">
      <c r="J3506" s="140"/>
    </row>
    <row r="3507" spans="10:10" x14ac:dyDescent="0.4">
      <c r="J3507" s="140"/>
    </row>
    <row r="3508" spans="10:10" x14ac:dyDescent="0.4">
      <c r="J3508" s="140"/>
    </row>
    <row r="3509" spans="10:10" x14ac:dyDescent="0.4">
      <c r="J3509" s="140"/>
    </row>
    <row r="3510" spans="10:10" x14ac:dyDescent="0.4">
      <c r="J3510" s="140"/>
    </row>
    <row r="3511" spans="10:10" x14ac:dyDescent="0.4">
      <c r="J3511" s="140"/>
    </row>
    <row r="3512" spans="10:10" x14ac:dyDescent="0.4">
      <c r="J3512" s="140"/>
    </row>
    <row r="3513" spans="10:10" x14ac:dyDescent="0.4">
      <c r="J3513" s="140"/>
    </row>
    <row r="3514" spans="10:10" x14ac:dyDescent="0.4">
      <c r="J3514" s="140"/>
    </row>
    <row r="3515" spans="10:10" x14ac:dyDescent="0.4">
      <c r="J3515" s="140"/>
    </row>
    <row r="3516" spans="10:10" x14ac:dyDescent="0.4">
      <c r="J3516" s="140"/>
    </row>
    <row r="3517" spans="10:10" x14ac:dyDescent="0.4">
      <c r="J3517" s="140"/>
    </row>
    <row r="3518" spans="10:10" x14ac:dyDescent="0.4">
      <c r="J3518" s="140"/>
    </row>
    <row r="3519" spans="10:10" x14ac:dyDescent="0.4">
      <c r="J3519" s="140"/>
    </row>
    <row r="3520" spans="10:10" x14ac:dyDescent="0.4">
      <c r="J3520" s="140"/>
    </row>
    <row r="3521" spans="10:10" x14ac:dyDescent="0.4">
      <c r="J3521" s="140"/>
    </row>
    <row r="3522" spans="10:10" x14ac:dyDescent="0.4">
      <c r="J3522" s="140"/>
    </row>
    <row r="3523" spans="10:10" x14ac:dyDescent="0.4">
      <c r="J3523" s="140"/>
    </row>
    <row r="3524" spans="10:10" x14ac:dyDescent="0.4">
      <c r="J3524" s="140"/>
    </row>
    <row r="3525" spans="10:10" x14ac:dyDescent="0.4">
      <c r="J3525" s="140"/>
    </row>
    <row r="3526" spans="10:10" x14ac:dyDescent="0.4">
      <c r="J3526" s="140"/>
    </row>
    <row r="3527" spans="10:10" x14ac:dyDescent="0.4">
      <c r="J3527" s="140"/>
    </row>
    <row r="3528" spans="10:10" x14ac:dyDescent="0.4">
      <c r="J3528" s="140"/>
    </row>
    <row r="3529" spans="10:10" x14ac:dyDescent="0.4">
      <c r="J3529" s="140"/>
    </row>
    <row r="3530" spans="10:10" x14ac:dyDescent="0.4">
      <c r="J3530" s="140"/>
    </row>
    <row r="3531" spans="10:10" x14ac:dyDescent="0.4">
      <c r="J3531" s="140"/>
    </row>
    <row r="3532" spans="10:10" x14ac:dyDescent="0.4">
      <c r="J3532" s="140"/>
    </row>
    <row r="3533" spans="10:10" x14ac:dyDescent="0.4">
      <c r="J3533" s="140"/>
    </row>
    <row r="3534" spans="10:10" x14ac:dyDescent="0.4">
      <c r="J3534" s="140"/>
    </row>
    <row r="3535" spans="10:10" x14ac:dyDescent="0.4">
      <c r="J3535" s="140"/>
    </row>
    <row r="3536" spans="10:10" x14ac:dyDescent="0.4">
      <c r="J3536" s="140"/>
    </row>
    <row r="3537" spans="10:10" x14ac:dyDescent="0.4">
      <c r="J3537" s="140"/>
    </row>
    <row r="3538" spans="10:10" x14ac:dyDescent="0.4">
      <c r="J3538" s="140"/>
    </row>
    <row r="3539" spans="10:10" x14ac:dyDescent="0.4">
      <c r="J3539" s="140"/>
    </row>
    <row r="3540" spans="10:10" x14ac:dyDescent="0.4">
      <c r="J3540" s="140"/>
    </row>
    <row r="3541" spans="10:10" x14ac:dyDescent="0.4">
      <c r="J3541" s="140"/>
    </row>
    <row r="3542" spans="10:10" x14ac:dyDescent="0.4">
      <c r="J3542" s="140"/>
    </row>
    <row r="3543" spans="10:10" x14ac:dyDescent="0.4">
      <c r="J3543" s="140"/>
    </row>
    <row r="3544" spans="10:10" x14ac:dyDescent="0.4">
      <c r="J3544" s="140"/>
    </row>
    <row r="3545" spans="10:10" x14ac:dyDescent="0.4">
      <c r="J3545" s="140"/>
    </row>
    <row r="3546" spans="10:10" x14ac:dyDescent="0.4">
      <c r="J3546" s="140"/>
    </row>
    <row r="3547" spans="10:10" x14ac:dyDescent="0.4">
      <c r="J3547" s="140"/>
    </row>
    <row r="3548" spans="10:10" x14ac:dyDescent="0.4">
      <c r="J3548" s="140"/>
    </row>
    <row r="3549" spans="10:10" x14ac:dyDescent="0.4">
      <c r="J3549" s="140"/>
    </row>
    <row r="3550" spans="10:10" x14ac:dyDescent="0.4">
      <c r="J3550" s="140"/>
    </row>
    <row r="3551" spans="10:10" x14ac:dyDescent="0.4">
      <c r="J3551" s="140"/>
    </row>
    <row r="3552" spans="10:10" x14ac:dyDescent="0.4">
      <c r="J3552" s="140"/>
    </row>
    <row r="3553" spans="10:10" x14ac:dyDescent="0.4">
      <c r="J3553" s="140"/>
    </row>
    <row r="3554" spans="10:10" x14ac:dyDescent="0.4">
      <c r="J3554" s="140"/>
    </row>
    <row r="3555" spans="10:10" x14ac:dyDescent="0.4">
      <c r="J3555" s="140"/>
    </row>
    <row r="3556" spans="10:10" x14ac:dyDescent="0.4">
      <c r="J3556" s="140"/>
    </row>
    <row r="3557" spans="10:10" x14ac:dyDescent="0.4">
      <c r="J3557" s="140"/>
    </row>
    <row r="3558" spans="10:10" x14ac:dyDescent="0.4">
      <c r="J3558" s="140"/>
    </row>
    <row r="3559" spans="10:10" x14ac:dyDescent="0.4">
      <c r="J3559" s="140"/>
    </row>
    <row r="3560" spans="10:10" x14ac:dyDescent="0.4">
      <c r="J3560" s="140"/>
    </row>
    <row r="3561" spans="10:10" x14ac:dyDescent="0.4">
      <c r="J3561" s="140"/>
    </row>
    <row r="3562" spans="10:10" x14ac:dyDescent="0.4">
      <c r="J3562" s="140"/>
    </row>
    <row r="3563" spans="10:10" x14ac:dyDescent="0.4">
      <c r="J3563" s="140"/>
    </row>
    <row r="3564" spans="10:10" x14ac:dyDescent="0.4">
      <c r="J3564" s="140"/>
    </row>
    <row r="3565" spans="10:10" x14ac:dyDescent="0.4">
      <c r="J3565" s="140"/>
    </row>
    <row r="3566" spans="10:10" x14ac:dyDescent="0.4">
      <c r="J3566" s="140"/>
    </row>
    <row r="3567" spans="10:10" x14ac:dyDescent="0.4">
      <c r="J3567" s="140"/>
    </row>
    <row r="3568" spans="10:10" x14ac:dyDescent="0.4">
      <c r="J3568" s="140"/>
    </row>
    <row r="3569" spans="10:10" x14ac:dyDescent="0.4">
      <c r="J3569" s="140"/>
    </row>
    <row r="3570" spans="10:10" x14ac:dyDescent="0.4">
      <c r="J3570" s="140"/>
    </row>
    <row r="3571" spans="10:10" x14ac:dyDescent="0.4">
      <c r="J3571" s="140"/>
    </row>
    <row r="3572" spans="10:10" x14ac:dyDescent="0.4">
      <c r="J3572" s="140"/>
    </row>
    <row r="3573" spans="10:10" x14ac:dyDescent="0.4">
      <c r="J3573" s="140"/>
    </row>
    <row r="3574" spans="10:10" x14ac:dyDescent="0.4">
      <c r="J3574" s="140"/>
    </row>
    <row r="3575" spans="10:10" x14ac:dyDescent="0.4">
      <c r="J3575" s="140"/>
    </row>
    <row r="3576" spans="10:10" x14ac:dyDescent="0.4">
      <c r="J3576" s="140"/>
    </row>
    <row r="3577" spans="10:10" x14ac:dyDescent="0.4">
      <c r="J3577" s="140"/>
    </row>
    <row r="3578" spans="10:10" x14ac:dyDescent="0.4">
      <c r="J3578" s="140"/>
    </row>
    <row r="3579" spans="10:10" x14ac:dyDescent="0.4">
      <c r="J3579" s="140"/>
    </row>
    <row r="3580" spans="10:10" x14ac:dyDescent="0.4">
      <c r="J3580" s="140"/>
    </row>
    <row r="3581" spans="10:10" x14ac:dyDescent="0.4">
      <c r="J3581" s="140"/>
    </row>
    <row r="3582" spans="10:10" x14ac:dyDescent="0.4">
      <c r="J3582" s="140"/>
    </row>
    <row r="3583" spans="10:10" x14ac:dyDescent="0.4">
      <c r="J3583" s="140"/>
    </row>
    <row r="3584" spans="10:10" x14ac:dyDescent="0.4">
      <c r="J3584" s="140"/>
    </row>
    <row r="3585" spans="10:10" x14ac:dyDescent="0.4">
      <c r="J3585" s="140"/>
    </row>
    <row r="3586" spans="10:10" x14ac:dyDescent="0.4">
      <c r="J3586" s="140"/>
    </row>
    <row r="3587" spans="10:10" x14ac:dyDescent="0.4">
      <c r="J3587" s="140"/>
    </row>
    <row r="3588" spans="10:10" x14ac:dyDescent="0.4">
      <c r="J3588" s="140"/>
    </row>
    <row r="3589" spans="10:10" x14ac:dyDescent="0.4">
      <c r="J3589" s="140"/>
    </row>
    <row r="3590" spans="10:10" x14ac:dyDescent="0.4">
      <c r="J3590" s="140"/>
    </row>
    <row r="3591" spans="10:10" x14ac:dyDescent="0.4">
      <c r="J3591" s="140"/>
    </row>
    <row r="3592" spans="10:10" x14ac:dyDescent="0.4">
      <c r="J3592" s="140"/>
    </row>
    <row r="3593" spans="10:10" x14ac:dyDescent="0.4">
      <c r="J3593" s="140"/>
    </row>
    <row r="3594" spans="10:10" x14ac:dyDescent="0.4">
      <c r="J3594" s="140"/>
    </row>
    <row r="3595" spans="10:10" x14ac:dyDescent="0.4">
      <c r="J3595" s="140"/>
    </row>
    <row r="3596" spans="10:10" x14ac:dyDescent="0.4">
      <c r="J3596" s="140"/>
    </row>
    <row r="3597" spans="10:10" x14ac:dyDescent="0.4">
      <c r="J3597" s="140"/>
    </row>
    <row r="3598" spans="10:10" x14ac:dyDescent="0.4">
      <c r="J3598" s="140"/>
    </row>
    <row r="3599" spans="10:10" x14ac:dyDescent="0.4">
      <c r="J3599" s="140"/>
    </row>
    <row r="3600" spans="10:10" x14ac:dyDescent="0.4">
      <c r="J3600" s="140"/>
    </row>
    <row r="3601" spans="10:10" x14ac:dyDescent="0.4">
      <c r="J3601" s="140"/>
    </row>
    <row r="3602" spans="10:10" x14ac:dyDescent="0.4">
      <c r="J3602" s="140"/>
    </row>
    <row r="3603" spans="10:10" x14ac:dyDescent="0.4">
      <c r="J3603" s="140"/>
    </row>
    <row r="3604" spans="10:10" x14ac:dyDescent="0.4">
      <c r="J3604" s="140"/>
    </row>
    <row r="3605" spans="10:10" x14ac:dyDescent="0.4">
      <c r="J3605" s="140"/>
    </row>
    <row r="3606" spans="10:10" x14ac:dyDescent="0.4">
      <c r="J3606" s="140"/>
    </row>
    <row r="3607" spans="10:10" x14ac:dyDescent="0.4">
      <c r="J3607" s="140"/>
    </row>
    <row r="3608" spans="10:10" x14ac:dyDescent="0.4">
      <c r="J3608" s="140"/>
    </row>
    <row r="3609" spans="10:10" x14ac:dyDescent="0.4">
      <c r="J3609" s="140"/>
    </row>
    <row r="3610" spans="10:10" x14ac:dyDescent="0.4">
      <c r="J3610" s="140"/>
    </row>
    <row r="3611" spans="10:10" x14ac:dyDescent="0.4">
      <c r="J3611" s="140"/>
    </row>
    <row r="3612" spans="10:10" x14ac:dyDescent="0.4">
      <c r="J3612" s="140"/>
    </row>
    <row r="3613" spans="10:10" x14ac:dyDescent="0.4">
      <c r="J3613" s="140"/>
    </row>
    <row r="3614" spans="10:10" x14ac:dyDescent="0.4">
      <c r="J3614" s="140"/>
    </row>
    <row r="3615" spans="10:10" x14ac:dyDescent="0.4">
      <c r="J3615" s="140"/>
    </row>
    <row r="3616" spans="10:10" x14ac:dyDescent="0.4">
      <c r="J3616" s="140"/>
    </row>
    <row r="3617" spans="10:10" x14ac:dyDescent="0.4">
      <c r="J3617" s="140"/>
    </row>
    <row r="3618" spans="10:10" x14ac:dyDescent="0.4">
      <c r="J3618" s="140"/>
    </row>
    <row r="3619" spans="10:10" x14ac:dyDescent="0.4">
      <c r="J3619" s="140"/>
    </row>
    <row r="3620" spans="10:10" x14ac:dyDescent="0.4">
      <c r="J3620" s="140"/>
    </row>
    <row r="3621" spans="10:10" x14ac:dyDescent="0.4">
      <c r="J3621" s="140"/>
    </row>
    <row r="3622" spans="10:10" x14ac:dyDescent="0.4">
      <c r="J3622" s="140"/>
    </row>
    <row r="3623" spans="10:10" x14ac:dyDescent="0.4">
      <c r="J3623" s="140"/>
    </row>
    <row r="3624" spans="10:10" x14ac:dyDescent="0.4">
      <c r="J3624" s="140"/>
    </row>
    <row r="3625" spans="10:10" x14ac:dyDescent="0.4">
      <c r="J3625" s="140"/>
    </row>
    <row r="3626" spans="10:10" x14ac:dyDescent="0.4">
      <c r="J3626" s="140"/>
    </row>
    <row r="3627" spans="10:10" x14ac:dyDescent="0.4">
      <c r="J3627" s="140"/>
    </row>
    <row r="3628" spans="10:10" x14ac:dyDescent="0.4">
      <c r="J3628" s="140"/>
    </row>
    <row r="3629" spans="10:10" x14ac:dyDescent="0.4">
      <c r="J3629" s="140"/>
    </row>
    <row r="3630" spans="10:10" x14ac:dyDescent="0.4">
      <c r="J3630" s="140"/>
    </row>
    <row r="3631" spans="10:10" x14ac:dyDescent="0.4">
      <c r="J3631" s="140"/>
    </row>
    <row r="3632" spans="10:10" x14ac:dyDescent="0.4">
      <c r="J3632" s="140"/>
    </row>
    <row r="3633" spans="10:10" x14ac:dyDescent="0.4">
      <c r="J3633" s="140"/>
    </row>
    <row r="3634" spans="10:10" x14ac:dyDescent="0.4">
      <c r="J3634" s="140"/>
    </row>
    <row r="3635" spans="10:10" x14ac:dyDescent="0.4">
      <c r="J3635" s="140"/>
    </row>
    <row r="3636" spans="10:10" x14ac:dyDescent="0.4">
      <c r="J3636" s="140"/>
    </row>
    <row r="3637" spans="10:10" x14ac:dyDescent="0.4">
      <c r="J3637" s="140"/>
    </row>
    <row r="3638" spans="10:10" x14ac:dyDescent="0.4">
      <c r="J3638" s="140"/>
    </row>
    <row r="3639" spans="10:10" x14ac:dyDescent="0.4">
      <c r="J3639" s="140"/>
    </row>
    <row r="3640" spans="10:10" x14ac:dyDescent="0.4">
      <c r="J3640" s="140"/>
    </row>
    <row r="3641" spans="10:10" x14ac:dyDescent="0.4">
      <c r="J3641" s="140"/>
    </row>
    <row r="3642" spans="10:10" x14ac:dyDescent="0.4">
      <c r="J3642" s="140"/>
    </row>
    <row r="3643" spans="10:10" x14ac:dyDescent="0.4">
      <c r="J3643" s="140"/>
    </row>
    <row r="3644" spans="10:10" x14ac:dyDescent="0.4">
      <c r="J3644" s="140"/>
    </row>
    <row r="3645" spans="10:10" x14ac:dyDescent="0.4">
      <c r="J3645" s="140"/>
    </row>
    <row r="3646" spans="10:10" x14ac:dyDescent="0.4">
      <c r="J3646" s="140"/>
    </row>
    <row r="3647" spans="10:10" x14ac:dyDescent="0.4">
      <c r="J3647" s="140"/>
    </row>
    <row r="3648" spans="10:10" x14ac:dyDescent="0.4">
      <c r="J3648" s="140"/>
    </row>
    <row r="3649" spans="10:10" x14ac:dyDescent="0.4">
      <c r="J3649" s="140"/>
    </row>
    <row r="3650" spans="10:10" x14ac:dyDescent="0.4">
      <c r="J3650" s="140"/>
    </row>
    <row r="3651" spans="10:10" x14ac:dyDescent="0.4">
      <c r="J3651" s="140"/>
    </row>
    <row r="3652" spans="10:10" x14ac:dyDescent="0.4">
      <c r="J3652" s="140"/>
    </row>
    <row r="3653" spans="10:10" x14ac:dyDescent="0.4">
      <c r="J3653" s="140"/>
    </row>
    <row r="3654" spans="10:10" x14ac:dyDescent="0.4">
      <c r="J3654" s="140"/>
    </row>
    <row r="3655" spans="10:10" x14ac:dyDescent="0.4">
      <c r="J3655" s="140"/>
    </row>
    <row r="3656" spans="10:10" x14ac:dyDescent="0.4">
      <c r="J3656" s="140"/>
    </row>
    <row r="3657" spans="10:10" x14ac:dyDescent="0.4">
      <c r="J3657" s="140"/>
    </row>
    <row r="3658" spans="10:10" x14ac:dyDescent="0.4">
      <c r="J3658" s="140"/>
    </row>
    <row r="3659" spans="10:10" x14ac:dyDescent="0.4">
      <c r="J3659" s="140"/>
    </row>
    <row r="3660" spans="10:10" x14ac:dyDescent="0.4">
      <c r="J3660" s="140"/>
    </row>
    <row r="3661" spans="10:10" x14ac:dyDescent="0.4">
      <c r="J3661" s="140"/>
    </row>
    <row r="3662" spans="10:10" x14ac:dyDescent="0.4">
      <c r="J3662" s="140"/>
    </row>
    <row r="3663" spans="10:10" x14ac:dyDescent="0.4">
      <c r="J3663" s="140"/>
    </row>
    <row r="3664" spans="10:10" x14ac:dyDescent="0.4">
      <c r="J3664" s="140"/>
    </row>
    <row r="3665" spans="10:10" x14ac:dyDescent="0.4">
      <c r="J3665" s="140"/>
    </row>
    <row r="3666" spans="10:10" x14ac:dyDescent="0.4">
      <c r="J3666" s="140"/>
    </row>
    <row r="3667" spans="10:10" x14ac:dyDescent="0.4">
      <c r="J3667" s="140"/>
    </row>
    <row r="3668" spans="10:10" x14ac:dyDescent="0.4">
      <c r="J3668" s="140"/>
    </row>
    <row r="3669" spans="10:10" x14ac:dyDescent="0.4">
      <c r="J3669" s="140"/>
    </row>
    <row r="3670" spans="10:10" x14ac:dyDescent="0.4">
      <c r="J3670" s="140"/>
    </row>
    <row r="3671" spans="10:10" x14ac:dyDescent="0.4">
      <c r="J3671" s="140"/>
    </row>
    <row r="3672" spans="10:10" x14ac:dyDescent="0.4">
      <c r="J3672" s="140"/>
    </row>
    <row r="3673" spans="10:10" x14ac:dyDescent="0.4">
      <c r="J3673" s="140"/>
    </row>
    <row r="3674" spans="10:10" x14ac:dyDescent="0.4">
      <c r="J3674" s="140"/>
    </row>
    <row r="3675" spans="10:10" x14ac:dyDescent="0.4">
      <c r="J3675" s="140"/>
    </row>
    <row r="3676" spans="10:10" x14ac:dyDescent="0.4">
      <c r="J3676" s="140"/>
    </row>
    <row r="3677" spans="10:10" x14ac:dyDescent="0.4">
      <c r="J3677" s="140"/>
    </row>
    <row r="3678" spans="10:10" x14ac:dyDescent="0.4">
      <c r="J3678" s="140"/>
    </row>
    <row r="3679" spans="10:10" x14ac:dyDescent="0.4">
      <c r="J3679" s="140"/>
    </row>
    <row r="3680" spans="10:10" x14ac:dyDescent="0.4">
      <c r="J3680" s="140"/>
    </row>
    <row r="3681" spans="10:10" x14ac:dyDescent="0.4">
      <c r="J3681" s="140"/>
    </row>
    <row r="3682" spans="10:10" x14ac:dyDescent="0.4">
      <c r="J3682" s="140"/>
    </row>
    <row r="3683" spans="10:10" x14ac:dyDescent="0.4">
      <c r="J3683" s="140"/>
    </row>
    <row r="3684" spans="10:10" x14ac:dyDescent="0.4">
      <c r="J3684" s="140"/>
    </row>
    <row r="3685" spans="10:10" x14ac:dyDescent="0.4">
      <c r="J3685" s="140"/>
    </row>
    <row r="3686" spans="10:10" x14ac:dyDescent="0.4">
      <c r="J3686" s="140"/>
    </row>
    <row r="3687" spans="10:10" x14ac:dyDescent="0.4">
      <c r="J3687" s="140"/>
    </row>
    <row r="3688" spans="10:10" x14ac:dyDescent="0.4">
      <c r="J3688" s="140"/>
    </row>
    <row r="3689" spans="10:10" x14ac:dyDescent="0.4">
      <c r="J3689" s="140"/>
    </row>
    <row r="3690" spans="10:10" x14ac:dyDescent="0.4">
      <c r="J3690" s="140"/>
    </row>
    <row r="3691" spans="10:10" x14ac:dyDescent="0.4">
      <c r="J3691" s="140"/>
    </row>
    <row r="3692" spans="10:10" x14ac:dyDescent="0.4">
      <c r="J3692" s="140"/>
    </row>
    <row r="3693" spans="10:10" x14ac:dyDescent="0.4">
      <c r="J3693" s="140"/>
    </row>
    <row r="3694" spans="10:10" x14ac:dyDescent="0.4">
      <c r="J3694" s="140"/>
    </row>
    <row r="3695" spans="10:10" x14ac:dyDescent="0.4">
      <c r="J3695" s="140"/>
    </row>
    <row r="3696" spans="10:10" x14ac:dyDescent="0.4">
      <c r="J3696" s="140"/>
    </row>
    <row r="3697" spans="10:10" x14ac:dyDescent="0.4">
      <c r="J3697" s="140"/>
    </row>
    <row r="3698" spans="10:10" x14ac:dyDescent="0.4">
      <c r="J3698" s="140"/>
    </row>
    <row r="3699" spans="10:10" x14ac:dyDescent="0.4">
      <c r="J3699" s="140"/>
    </row>
    <row r="3700" spans="10:10" x14ac:dyDescent="0.4">
      <c r="J3700" s="140"/>
    </row>
    <row r="3701" spans="10:10" x14ac:dyDescent="0.4">
      <c r="J3701" s="140"/>
    </row>
    <row r="3702" spans="10:10" x14ac:dyDescent="0.4">
      <c r="J3702" s="140"/>
    </row>
    <row r="3703" spans="10:10" x14ac:dyDescent="0.4">
      <c r="J3703" s="140"/>
    </row>
    <row r="3704" spans="10:10" x14ac:dyDescent="0.4">
      <c r="J3704" s="140"/>
    </row>
    <row r="3705" spans="10:10" x14ac:dyDescent="0.4">
      <c r="J3705" s="140"/>
    </row>
    <row r="3706" spans="10:10" x14ac:dyDescent="0.4">
      <c r="J3706" s="140"/>
    </row>
    <row r="3707" spans="10:10" x14ac:dyDescent="0.4">
      <c r="J3707" s="140"/>
    </row>
    <row r="3708" spans="10:10" x14ac:dyDescent="0.4">
      <c r="J3708" s="140"/>
    </row>
    <row r="3709" spans="10:10" x14ac:dyDescent="0.4">
      <c r="J3709" s="140"/>
    </row>
    <row r="3710" spans="10:10" x14ac:dyDescent="0.4">
      <c r="J3710" s="140"/>
    </row>
    <row r="3711" spans="10:10" x14ac:dyDescent="0.4">
      <c r="J3711" s="140"/>
    </row>
    <row r="3712" spans="10:10" x14ac:dyDescent="0.4">
      <c r="J3712" s="140"/>
    </row>
    <row r="3713" spans="10:10" x14ac:dyDescent="0.4">
      <c r="J3713" s="140"/>
    </row>
    <row r="3714" spans="10:10" x14ac:dyDescent="0.4">
      <c r="J3714" s="140"/>
    </row>
    <row r="3715" spans="10:10" x14ac:dyDescent="0.4">
      <c r="J3715" s="140"/>
    </row>
    <row r="3716" spans="10:10" x14ac:dyDescent="0.4">
      <c r="J3716" s="140"/>
    </row>
    <row r="3717" spans="10:10" x14ac:dyDescent="0.4">
      <c r="J3717" s="140"/>
    </row>
    <row r="3718" spans="10:10" x14ac:dyDescent="0.4">
      <c r="J3718" s="140"/>
    </row>
    <row r="3719" spans="10:10" x14ac:dyDescent="0.4">
      <c r="J3719" s="140"/>
    </row>
    <row r="3720" spans="10:10" x14ac:dyDescent="0.4">
      <c r="J3720" s="140"/>
    </row>
    <row r="3721" spans="10:10" x14ac:dyDescent="0.4">
      <c r="J3721" s="140"/>
    </row>
    <row r="3722" spans="10:10" x14ac:dyDescent="0.4">
      <c r="J3722" s="140"/>
    </row>
    <row r="3723" spans="10:10" x14ac:dyDescent="0.4">
      <c r="J3723" s="140"/>
    </row>
    <row r="3724" spans="10:10" x14ac:dyDescent="0.4">
      <c r="J3724" s="140"/>
    </row>
    <row r="3725" spans="10:10" x14ac:dyDescent="0.4">
      <c r="J3725" s="140"/>
    </row>
    <row r="3726" spans="10:10" x14ac:dyDescent="0.4">
      <c r="J3726" s="140"/>
    </row>
    <row r="3727" spans="10:10" x14ac:dyDescent="0.4">
      <c r="J3727" s="140"/>
    </row>
    <row r="3728" spans="10:10" x14ac:dyDescent="0.4">
      <c r="J3728" s="140"/>
    </row>
    <row r="3729" spans="10:10" x14ac:dyDescent="0.4">
      <c r="J3729" s="140"/>
    </row>
    <row r="3730" spans="10:10" x14ac:dyDescent="0.4">
      <c r="J3730" s="140"/>
    </row>
    <row r="3731" spans="10:10" x14ac:dyDescent="0.4">
      <c r="J3731" s="140"/>
    </row>
    <row r="3732" spans="10:10" x14ac:dyDescent="0.4">
      <c r="J3732" s="140"/>
    </row>
    <row r="3733" spans="10:10" x14ac:dyDescent="0.4">
      <c r="J3733" s="140"/>
    </row>
    <row r="3734" spans="10:10" x14ac:dyDescent="0.4">
      <c r="J3734" s="140"/>
    </row>
    <row r="3735" spans="10:10" x14ac:dyDescent="0.4">
      <c r="J3735" s="140"/>
    </row>
    <row r="3736" spans="10:10" x14ac:dyDescent="0.4">
      <c r="J3736" s="140"/>
    </row>
    <row r="3737" spans="10:10" x14ac:dyDescent="0.4">
      <c r="J3737" s="140"/>
    </row>
    <row r="3738" spans="10:10" x14ac:dyDescent="0.4">
      <c r="J3738" s="140"/>
    </row>
    <row r="3739" spans="10:10" x14ac:dyDescent="0.4">
      <c r="J3739" s="140"/>
    </row>
    <row r="3740" spans="10:10" x14ac:dyDescent="0.4">
      <c r="J3740" s="140"/>
    </row>
    <row r="3741" spans="10:10" x14ac:dyDescent="0.4">
      <c r="J3741" s="140"/>
    </row>
    <row r="3742" spans="10:10" x14ac:dyDescent="0.4">
      <c r="J3742" s="140"/>
    </row>
    <row r="3743" spans="10:10" x14ac:dyDescent="0.4">
      <c r="J3743" s="140"/>
    </row>
    <row r="3744" spans="10:10" x14ac:dyDescent="0.4">
      <c r="J3744" s="140"/>
    </row>
    <row r="3745" spans="10:10" x14ac:dyDescent="0.4">
      <c r="J3745" s="140"/>
    </row>
    <row r="3746" spans="10:10" x14ac:dyDescent="0.4">
      <c r="J3746" s="140"/>
    </row>
    <row r="3747" spans="10:10" x14ac:dyDescent="0.4">
      <c r="J3747" s="140"/>
    </row>
    <row r="3748" spans="10:10" x14ac:dyDescent="0.4">
      <c r="J3748" s="140"/>
    </row>
    <row r="3749" spans="10:10" x14ac:dyDescent="0.4">
      <c r="J3749" s="140"/>
    </row>
    <row r="3750" spans="10:10" x14ac:dyDescent="0.4">
      <c r="J3750" s="140"/>
    </row>
    <row r="3751" spans="10:10" x14ac:dyDescent="0.4">
      <c r="J3751" s="140"/>
    </row>
    <row r="3752" spans="10:10" x14ac:dyDescent="0.4">
      <c r="J3752" s="140"/>
    </row>
    <row r="3753" spans="10:10" x14ac:dyDescent="0.4">
      <c r="J3753" s="140"/>
    </row>
    <row r="3754" spans="10:10" x14ac:dyDescent="0.4">
      <c r="J3754" s="140"/>
    </row>
    <row r="3755" spans="10:10" x14ac:dyDescent="0.4">
      <c r="J3755" s="140"/>
    </row>
    <row r="3756" spans="10:10" x14ac:dyDescent="0.4">
      <c r="J3756" s="140"/>
    </row>
    <row r="3757" spans="10:10" x14ac:dyDescent="0.4">
      <c r="J3757" s="140"/>
    </row>
    <row r="3758" spans="10:10" x14ac:dyDescent="0.4">
      <c r="J3758" s="140"/>
    </row>
    <row r="3759" spans="10:10" x14ac:dyDescent="0.4">
      <c r="J3759" s="140"/>
    </row>
    <row r="3760" spans="10:10" x14ac:dyDescent="0.4">
      <c r="J3760" s="140"/>
    </row>
    <row r="3761" spans="10:10" x14ac:dyDescent="0.4">
      <c r="J3761" s="140"/>
    </row>
    <row r="3762" spans="10:10" x14ac:dyDescent="0.4">
      <c r="J3762" s="140"/>
    </row>
    <row r="3763" spans="10:10" x14ac:dyDescent="0.4">
      <c r="J3763" s="140"/>
    </row>
    <row r="3764" spans="10:10" x14ac:dyDescent="0.4">
      <c r="J3764" s="140"/>
    </row>
    <row r="3765" spans="10:10" x14ac:dyDescent="0.4">
      <c r="J3765" s="140"/>
    </row>
    <row r="3766" spans="10:10" x14ac:dyDescent="0.4">
      <c r="J3766" s="140"/>
    </row>
    <row r="3767" spans="10:10" x14ac:dyDescent="0.4">
      <c r="J3767" s="140"/>
    </row>
    <row r="3768" spans="10:10" x14ac:dyDescent="0.4">
      <c r="J3768" s="140"/>
    </row>
    <row r="3769" spans="10:10" x14ac:dyDescent="0.4">
      <c r="J3769" s="140"/>
    </row>
    <row r="3770" spans="10:10" x14ac:dyDescent="0.4">
      <c r="J3770" s="140"/>
    </row>
    <row r="3771" spans="10:10" x14ac:dyDescent="0.4">
      <c r="J3771" s="140"/>
    </row>
    <row r="3772" spans="10:10" x14ac:dyDescent="0.4">
      <c r="J3772" s="140"/>
    </row>
    <row r="3773" spans="10:10" x14ac:dyDescent="0.4">
      <c r="J3773" s="140"/>
    </row>
    <row r="3774" spans="10:10" x14ac:dyDescent="0.4">
      <c r="J3774" s="140"/>
    </row>
    <row r="3775" spans="10:10" x14ac:dyDescent="0.4">
      <c r="J3775" s="140"/>
    </row>
    <row r="3776" spans="10:10" x14ac:dyDescent="0.4">
      <c r="J3776" s="140"/>
    </row>
    <row r="3777" spans="10:10" x14ac:dyDescent="0.4">
      <c r="J3777" s="140"/>
    </row>
    <row r="3778" spans="10:10" x14ac:dyDescent="0.4">
      <c r="J3778" s="140"/>
    </row>
    <row r="3779" spans="10:10" x14ac:dyDescent="0.4">
      <c r="J3779" s="140"/>
    </row>
    <row r="3780" spans="10:10" x14ac:dyDescent="0.4">
      <c r="J3780" s="140"/>
    </row>
    <row r="3781" spans="10:10" x14ac:dyDescent="0.4">
      <c r="J3781" s="140"/>
    </row>
    <row r="3782" spans="10:10" x14ac:dyDescent="0.4">
      <c r="J3782" s="140"/>
    </row>
    <row r="3783" spans="10:10" x14ac:dyDescent="0.4">
      <c r="J3783" s="140"/>
    </row>
    <row r="3784" spans="10:10" x14ac:dyDescent="0.4">
      <c r="J3784" s="140"/>
    </row>
    <row r="3785" spans="10:10" x14ac:dyDescent="0.4">
      <c r="J3785" s="140"/>
    </row>
    <row r="3786" spans="10:10" x14ac:dyDescent="0.4">
      <c r="J3786" s="140"/>
    </row>
    <row r="3787" spans="10:10" x14ac:dyDescent="0.4">
      <c r="J3787" s="140"/>
    </row>
    <row r="3788" spans="10:10" x14ac:dyDescent="0.4">
      <c r="J3788" s="140"/>
    </row>
    <row r="3789" spans="10:10" x14ac:dyDescent="0.4">
      <c r="J3789" s="140"/>
    </row>
    <row r="3790" spans="10:10" x14ac:dyDescent="0.4">
      <c r="J3790" s="140"/>
    </row>
    <row r="3791" spans="10:10" x14ac:dyDescent="0.4">
      <c r="J3791" s="140"/>
    </row>
    <row r="3792" spans="10:10" x14ac:dyDescent="0.4">
      <c r="J3792" s="140"/>
    </row>
    <row r="3793" spans="10:10" x14ac:dyDescent="0.4">
      <c r="J3793" s="140"/>
    </row>
    <row r="3794" spans="10:10" x14ac:dyDescent="0.4">
      <c r="J3794" s="140"/>
    </row>
    <row r="3795" spans="10:10" x14ac:dyDescent="0.4">
      <c r="J3795" s="140"/>
    </row>
    <row r="3796" spans="10:10" x14ac:dyDescent="0.4">
      <c r="J3796" s="140"/>
    </row>
    <row r="3797" spans="10:10" x14ac:dyDescent="0.4">
      <c r="J3797" s="140"/>
    </row>
    <row r="3798" spans="10:10" x14ac:dyDescent="0.4">
      <c r="J3798" s="140"/>
    </row>
    <row r="3799" spans="10:10" x14ac:dyDescent="0.4">
      <c r="J3799" s="140"/>
    </row>
    <row r="3800" spans="10:10" x14ac:dyDescent="0.4">
      <c r="J3800" s="140"/>
    </row>
    <row r="3801" spans="10:10" x14ac:dyDescent="0.4">
      <c r="J3801" s="140"/>
    </row>
    <row r="3802" spans="10:10" x14ac:dyDescent="0.4">
      <c r="J3802" s="140"/>
    </row>
    <row r="3803" spans="10:10" x14ac:dyDescent="0.4">
      <c r="J3803" s="140"/>
    </row>
    <row r="3804" spans="10:10" x14ac:dyDescent="0.4">
      <c r="J3804" s="140"/>
    </row>
    <row r="3805" spans="10:10" x14ac:dyDescent="0.4">
      <c r="J3805" s="140"/>
    </row>
    <row r="3806" spans="10:10" x14ac:dyDescent="0.4">
      <c r="J3806" s="140"/>
    </row>
    <row r="3807" spans="10:10" x14ac:dyDescent="0.4">
      <c r="J3807" s="140"/>
    </row>
    <row r="3808" spans="10:10" x14ac:dyDescent="0.4">
      <c r="J3808" s="140"/>
    </row>
    <row r="3809" spans="10:10" x14ac:dyDescent="0.4">
      <c r="J3809" s="140"/>
    </row>
    <row r="3810" spans="10:10" x14ac:dyDescent="0.4">
      <c r="J3810" s="140"/>
    </row>
    <row r="3811" spans="10:10" x14ac:dyDescent="0.4">
      <c r="J3811" s="140"/>
    </row>
    <row r="3812" spans="10:10" x14ac:dyDescent="0.4">
      <c r="J3812" s="140"/>
    </row>
    <row r="3813" spans="10:10" x14ac:dyDescent="0.4">
      <c r="J3813" s="140"/>
    </row>
    <row r="3814" spans="10:10" x14ac:dyDescent="0.4">
      <c r="J3814" s="140"/>
    </row>
    <row r="3815" spans="10:10" x14ac:dyDescent="0.4">
      <c r="J3815" s="140"/>
    </row>
    <row r="3816" spans="10:10" x14ac:dyDescent="0.4">
      <c r="J3816" s="140"/>
    </row>
    <row r="3817" spans="10:10" x14ac:dyDescent="0.4">
      <c r="J3817" s="140"/>
    </row>
    <row r="3818" spans="10:10" x14ac:dyDescent="0.4">
      <c r="J3818" s="140"/>
    </row>
    <row r="3819" spans="10:10" x14ac:dyDescent="0.4">
      <c r="J3819" s="140"/>
    </row>
    <row r="3820" spans="10:10" x14ac:dyDescent="0.4">
      <c r="J3820" s="140"/>
    </row>
    <row r="3821" spans="10:10" x14ac:dyDescent="0.4">
      <c r="J3821" s="140"/>
    </row>
    <row r="3822" spans="10:10" x14ac:dyDescent="0.4">
      <c r="J3822" s="140"/>
    </row>
    <row r="3823" spans="10:10" x14ac:dyDescent="0.4">
      <c r="J3823" s="140"/>
    </row>
    <row r="3824" spans="10:10" x14ac:dyDescent="0.4">
      <c r="J3824" s="140"/>
    </row>
    <row r="3825" spans="10:10" x14ac:dyDescent="0.4">
      <c r="J3825" s="140"/>
    </row>
    <row r="3826" spans="10:10" x14ac:dyDescent="0.4">
      <c r="J3826" s="140"/>
    </row>
    <row r="3827" spans="10:10" x14ac:dyDescent="0.4">
      <c r="J3827" s="140"/>
    </row>
    <row r="3828" spans="10:10" x14ac:dyDescent="0.4">
      <c r="J3828" s="140"/>
    </row>
    <row r="3829" spans="10:10" x14ac:dyDescent="0.4">
      <c r="J3829" s="140"/>
    </row>
    <row r="3830" spans="10:10" x14ac:dyDescent="0.4">
      <c r="J3830" s="140"/>
    </row>
    <row r="3831" spans="10:10" x14ac:dyDescent="0.4">
      <c r="J3831" s="140"/>
    </row>
    <row r="3832" spans="10:10" x14ac:dyDescent="0.4">
      <c r="J3832" s="140"/>
    </row>
    <row r="3833" spans="10:10" x14ac:dyDescent="0.4">
      <c r="J3833" s="140"/>
    </row>
    <row r="3834" spans="10:10" x14ac:dyDescent="0.4">
      <c r="J3834" s="140"/>
    </row>
    <row r="3835" spans="10:10" x14ac:dyDescent="0.4">
      <c r="J3835" s="140"/>
    </row>
    <row r="3836" spans="10:10" x14ac:dyDescent="0.4">
      <c r="J3836" s="140"/>
    </row>
    <row r="3837" spans="10:10" x14ac:dyDescent="0.4">
      <c r="J3837" s="140"/>
    </row>
    <row r="3838" spans="10:10" x14ac:dyDescent="0.4">
      <c r="J3838" s="140"/>
    </row>
    <row r="3839" spans="10:10" x14ac:dyDescent="0.4">
      <c r="J3839" s="140"/>
    </row>
    <row r="3840" spans="10:10" x14ac:dyDescent="0.4">
      <c r="J3840" s="140"/>
    </row>
    <row r="3841" spans="10:10" x14ac:dyDescent="0.4">
      <c r="J3841" s="140"/>
    </row>
    <row r="3842" spans="10:10" x14ac:dyDescent="0.4">
      <c r="J3842" s="140"/>
    </row>
    <row r="3843" spans="10:10" x14ac:dyDescent="0.4">
      <c r="J3843" s="140"/>
    </row>
    <row r="3844" spans="10:10" x14ac:dyDescent="0.4">
      <c r="J3844" s="140"/>
    </row>
    <row r="3845" spans="10:10" x14ac:dyDescent="0.4">
      <c r="J3845" s="140"/>
    </row>
    <row r="3846" spans="10:10" x14ac:dyDescent="0.4">
      <c r="J3846" s="140"/>
    </row>
    <row r="3847" spans="10:10" x14ac:dyDescent="0.4">
      <c r="J3847" s="140"/>
    </row>
    <row r="3848" spans="10:10" x14ac:dyDescent="0.4">
      <c r="J3848" s="140"/>
    </row>
    <row r="3849" spans="10:10" x14ac:dyDescent="0.4">
      <c r="J3849" s="140"/>
    </row>
    <row r="3850" spans="10:10" x14ac:dyDescent="0.4">
      <c r="J3850" s="140"/>
    </row>
    <row r="3851" spans="10:10" x14ac:dyDescent="0.4">
      <c r="J3851" s="140"/>
    </row>
    <row r="3852" spans="10:10" x14ac:dyDescent="0.4">
      <c r="J3852" s="140"/>
    </row>
    <row r="3853" spans="10:10" x14ac:dyDescent="0.4">
      <c r="J3853" s="140"/>
    </row>
    <row r="3854" spans="10:10" x14ac:dyDescent="0.4">
      <c r="J3854" s="140"/>
    </row>
    <row r="3855" spans="10:10" x14ac:dyDescent="0.4">
      <c r="J3855" s="140"/>
    </row>
    <row r="3856" spans="10:10" x14ac:dyDescent="0.4">
      <c r="J3856" s="140"/>
    </row>
    <row r="3857" spans="10:10" x14ac:dyDescent="0.4">
      <c r="J3857" s="140"/>
    </row>
    <row r="3858" spans="10:10" x14ac:dyDescent="0.4">
      <c r="J3858" s="140"/>
    </row>
    <row r="3859" spans="10:10" x14ac:dyDescent="0.4">
      <c r="J3859" s="140"/>
    </row>
    <row r="3860" spans="10:10" x14ac:dyDescent="0.4">
      <c r="J3860" s="140"/>
    </row>
    <row r="3861" spans="10:10" x14ac:dyDescent="0.4">
      <c r="J3861" s="140"/>
    </row>
    <row r="3862" spans="10:10" x14ac:dyDescent="0.4">
      <c r="J3862" s="140"/>
    </row>
    <row r="3863" spans="10:10" x14ac:dyDescent="0.4">
      <c r="J3863" s="140"/>
    </row>
    <row r="3864" spans="10:10" x14ac:dyDescent="0.4">
      <c r="J3864" s="140"/>
    </row>
    <row r="3865" spans="10:10" x14ac:dyDescent="0.4">
      <c r="J3865" s="140"/>
    </row>
    <row r="3866" spans="10:10" x14ac:dyDescent="0.4">
      <c r="J3866" s="140"/>
    </row>
    <row r="3867" spans="10:10" x14ac:dyDescent="0.4">
      <c r="J3867" s="140"/>
    </row>
    <row r="3868" spans="10:10" x14ac:dyDescent="0.4">
      <c r="J3868" s="140"/>
    </row>
    <row r="3869" spans="10:10" x14ac:dyDescent="0.4">
      <c r="J3869" s="140"/>
    </row>
    <row r="3870" spans="10:10" x14ac:dyDescent="0.4">
      <c r="J3870" s="140"/>
    </row>
    <row r="3871" spans="10:10" x14ac:dyDescent="0.4">
      <c r="J3871" s="140"/>
    </row>
    <row r="3872" spans="10:10" x14ac:dyDescent="0.4">
      <c r="J3872" s="140"/>
    </row>
    <row r="3873" spans="10:10" x14ac:dyDescent="0.4">
      <c r="J3873" s="140"/>
    </row>
    <row r="3874" spans="10:10" x14ac:dyDescent="0.4">
      <c r="J3874" s="140"/>
    </row>
    <row r="3875" spans="10:10" x14ac:dyDescent="0.4">
      <c r="J3875" s="140"/>
    </row>
    <row r="3876" spans="10:10" x14ac:dyDescent="0.4">
      <c r="J3876" s="140"/>
    </row>
    <row r="3877" spans="10:10" x14ac:dyDescent="0.4">
      <c r="J3877" s="140"/>
    </row>
    <row r="3878" spans="10:10" x14ac:dyDescent="0.4">
      <c r="J3878" s="140"/>
    </row>
    <row r="3879" spans="10:10" x14ac:dyDescent="0.4">
      <c r="J3879" s="140"/>
    </row>
    <row r="3880" spans="10:10" x14ac:dyDescent="0.4">
      <c r="J3880" s="140"/>
    </row>
    <row r="3881" spans="10:10" x14ac:dyDescent="0.4">
      <c r="J3881" s="140"/>
    </row>
    <row r="3882" spans="10:10" x14ac:dyDescent="0.4">
      <c r="J3882" s="140"/>
    </row>
    <row r="3883" spans="10:10" x14ac:dyDescent="0.4">
      <c r="J3883" s="140"/>
    </row>
    <row r="3884" spans="10:10" x14ac:dyDescent="0.4">
      <c r="J3884" s="140"/>
    </row>
    <row r="3885" spans="10:10" x14ac:dyDescent="0.4">
      <c r="J3885" s="140"/>
    </row>
    <row r="3886" spans="10:10" x14ac:dyDescent="0.4">
      <c r="J3886" s="140"/>
    </row>
    <row r="3887" spans="10:10" x14ac:dyDescent="0.4">
      <c r="J3887" s="140"/>
    </row>
    <row r="3888" spans="10:10" x14ac:dyDescent="0.4">
      <c r="J3888" s="140"/>
    </row>
    <row r="3889" spans="10:10" x14ac:dyDescent="0.4">
      <c r="J3889" s="140"/>
    </row>
    <row r="3890" spans="10:10" x14ac:dyDescent="0.4">
      <c r="J3890" s="140"/>
    </row>
    <row r="3891" spans="10:10" x14ac:dyDescent="0.4">
      <c r="J3891" s="140"/>
    </row>
    <row r="3892" spans="10:10" x14ac:dyDescent="0.4">
      <c r="J3892" s="140"/>
    </row>
    <row r="3893" spans="10:10" x14ac:dyDescent="0.4">
      <c r="J3893" s="140"/>
    </row>
    <row r="3894" spans="10:10" x14ac:dyDescent="0.4">
      <c r="J3894" s="140"/>
    </row>
    <row r="3895" spans="10:10" x14ac:dyDescent="0.4">
      <c r="J3895" s="140"/>
    </row>
    <row r="3896" spans="10:10" x14ac:dyDescent="0.4">
      <c r="J3896" s="140"/>
    </row>
    <row r="3897" spans="10:10" x14ac:dyDescent="0.4">
      <c r="J3897" s="140"/>
    </row>
    <row r="3898" spans="10:10" x14ac:dyDescent="0.4">
      <c r="J3898" s="140"/>
    </row>
    <row r="3899" spans="10:10" x14ac:dyDescent="0.4">
      <c r="J3899" s="140"/>
    </row>
    <row r="3900" spans="10:10" x14ac:dyDescent="0.4">
      <c r="J3900" s="140"/>
    </row>
    <row r="3901" spans="10:10" x14ac:dyDescent="0.4">
      <c r="J3901" s="140"/>
    </row>
    <row r="3902" spans="10:10" x14ac:dyDescent="0.4">
      <c r="J3902" s="140"/>
    </row>
    <row r="3903" spans="10:10" x14ac:dyDescent="0.4">
      <c r="J3903" s="140"/>
    </row>
    <row r="3904" spans="10:10" x14ac:dyDescent="0.4">
      <c r="J3904" s="140"/>
    </row>
    <row r="3905" spans="10:10" x14ac:dyDescent="0.4">
      <c r="J3905" s="140"/>
    </row>
    <row r="3906" spans="10:10" x14ac:dyDescent="0.4">
      <c r="J3906" s="140"/>
    </row>
    <row r="3907" spans="10:10" x14ac:dyDescent="0.4">
      <c r="J3907" s="140"/>
    </row>
    <row r="3908" spans="10:10" x14ac:dyDescent="0.4">
      <c r="J3908" s="140"/>
    </row>
    <row r="3909" spans="10:10" x14ac:dyDescent="0.4">
      <c r="J3909" s="140"/>
    </row>
    <row r="3910" spans="10:10" x14ac:dyDescent="0.4">
      <c r="J3910" s="140"/>
    </row>
    <row r="3911" spans="10:10" x14ac:dyDescent="0.4">
      <c r="J3911" s="140"/>
    </row>
    <row r="3912" spans="10:10" x14ac:dyDescent="0.4">
      <c r="J3912" s="140"/>
    </row>
    <row r="3913" spans="10:10" x14ac:dyDescent="0.4">
      <c r="J3913" s="140"/>
    </row>
    <row r="3914" spans="10:10" x14ac:dyDescent="0.4">
      <c r="J3914" s="140"/>
    </row>
    <row r="3915" spans="10:10" x14ac:dyDescent="0.4">
      <c r="J3915" s="140"/>
    </row>
    <row r="3916" spans="10:10" x14ac:dyDescent="0.4">
      <c r="J3916" s="140"/>
    </row>
    <row r="3917" spans="10:10" x14ac:dyDescent="0.4">
      <c r="J3917" s="140"/>
    </row>
    <row r="3918" spans="10:10" x14ac:dyDescent="0.4">
      <c r="J3918" s="140"/>
    </row>
    <row r="3919" spans="10:10" x14ac:dyDescent="0.4">
      <c r="J3919" s="140"/>
    </row>
    <row r="3920" spans="10:10" x14ac:dyDescent="0.4">
      <c r="J3920" s="140"/>
    </row>
    <row r="3921" spans="10:10" x14ac:dyDescent="0.4">
      <c r="J3921" s="140"/>
    </row>
    <row r="3922" spans="10:10" x14ac:dyDescent="0.4">
      <c r="J3922" s="140"/>
    </row>
    <row r="3923" spans="10:10" x14ac:dyDescent="0.4">
      <c r="J3923" s="140"/>
    </row>
    <row r="3924" spans="10:10" x14ac:dyDescent="0.4">
      <c r="J3924" s="140"/>
    </row>
    <row r="3925" spans="10:10" x14ac:dyDescent="0.4">
      <c r="J3925" s="140"/>
    </row>
    <row r="3926" spans="10:10" x14ac:dyDescent="0.4">
      <c r="J3926" s="140"/>
    </row>
    <row r="3927" spans="10:10" x14ac:dyDescent="0.4">
      <c r="J3927" s="140"/>
    </row>
    <row r="3928" spans="10:10" x14ac:dyDescent="0.4">
      <c r="J3928" s="140"/>
    </row>
    <row r="3929" spans="10:10" x14ac:dyDescent="0.4">
      <c r="J3929" s="140"/>
    </row>
    <row r="3930" spans="10:10" x14ac:dyDescent="0.4">
      <c r="J3930" s="140"/>
    </row>
    <row r="3931" spans="10:10" x14ac:dyDescent="0.4">
      <c r="J3931" s="140"/>
    </row>
    <row r="3932" spans="10:10" x14ac:dyDescent="0.4">
      <c r="J3932" s="140"/>
    </row>
    <row r="3933" spans="10:10" x14ac:dyDescent="0.4">
      <c r="J3933" s="140"/>
    </row>
    <row r="3934" spans="10:10" x14ac:dyDescent="0.4">
      <c r="J3934" s="140"/>
    </row>
    <row r="3935" spans="10:10" x14ac:dyDescent="0.4">
      <c r="J3935" s="140"/>
    </row>
    <row r="3936" spans="10:10" x14ac:dyDescent="0.4">
      <c r="J3936" s="140"/>
    </row>
    <row r="3937" spans="10:10" x14ac:dyDescent="0.4">
      <c r="J3937" s="140"/>
    </row>
    <row r="3938" spans="10:10" x14ac:dyDescent="0.4">
      <c r="J3938" s="140"/>
    </row>
    <row r="3939" spans="10:10" x14ac:dyDescent="0.4">
      <c r="J3939" s="140"/>
    </row>
    <row r="3940" spans="10:10" x14ac:dyDescent="0.4">
      <c r="J3940" s="140"/>
    </row>
    <row r="3941" spans="10:10" x14ac:dyDescent="0.4">
      <c r="J3941" s="140"/>
    </row>
    <row r="3942" spans="10:10" x14ac:dyDescent="0.4">
      <c r="J3942" s="140"/>
    </row>
    <row r="3943" spans="10:10" x14ac:dyDescent="0.4">
      <c r="J3943" s="140"/>
    </row>
    <row r="3944" spans="10:10" x14ac:dyDescent="0.4">
      <c r="J3944" s="140"/>
    </row>
    <row r="3945" spans="10:10" x14ac:dyDescent="0.4">
      <c r="J3945" s="140"/>
    </row>
    <row r="3946" spans="10:10" x14ac:dyDescent="0.4">
      <c r="J3946" s="140"/>
    </row>
    <row r="3947" spans="10:10" x14ac:dyDescent="0.4">
      <c r="J3947" s="140"/>
    </row>
    <row r="3948" spans="10:10" x14ac:dyDescent="0.4">
      <c r="J3948" s="140"/>
    </row>
    <row r="3949" spans="10:10" x14ac:dyDescent="0.4">
      <c r="J3949" s="140"/>
    </row>
    <row r="3950" spans="10:10" x14ac:dyDescent="0.4">
      <c r="J3950" s="140"/>
    </row>
    <row r="3951" spans="10:10" x14ac:dyDescent="0.4">
      <c r="J3951" s="140"/>
    </row>
    <row r="3952" spans="10:10" x14ac:dyDescent="0.4">
      <c r="J3952" s="140"/>
    </row>
    <row r="3953" spans="10:10" x14ac:dyDescent="0.4">
      <c r="J3953" s="140"/>
    </row>
    <row r="3954" spans="10:10" x14ac:dyDescent="0.4">
      <c r="J3954" s="140"/>
    </row>
    <row r="3955" spans="10:10" x14ac:dyDescent="0.4">
      <c r="J3955" s="140"/>
    </row>
    <row r="3956" spans="10:10" x14ac:dyDescent="0.4">
      <c r="J3956" s="140"/>
    </row>
    <row r="3957" spans="10:10" x14ac:dyDescent="0.4">
      <c r="J3957" s="140"/>
    </row>
    <row r="3958" spans="10:10" x14ac:dyDescent="0.4">
      <c r="J3958" s="140"/>
    </row>
    <row r="3959" spans="10:10" x14ac:dyDescent="0.4">
      <c r="J3959" s="140"/>
    </row>
    <row r="3960" spans="10:10" x14ac:dyDescent="0.4">
      <c r="J3960" s="140"/>
    </row>
    <row r="3961" spans="10:10" x14ac:dyDescent="0.4">
      <c r="J3961" s="140"/>
    </row>
    <row r="3962" spans="10:10" x14ac:dyDescent="0.4">
      <c r="J3962" s="140"/>
    </row>
    <row r="3963" spans="10:10" x14ac:dyDescent="0.4">
      <c r="J3963" s="140"/>
    </row>
    <row r="3964" spans="10:10" x14ac:dyDescent="0.4">
      <c r="J3964" s="140"/>
    </row>
    <row r="3965" spans="10:10" x14ac:dyDescent="0.4">
      <c r="J3965" s="140"/>
    </row>
    <row r="3966" spans="10:10" x14ac:dyDescent="0.4">
      <c r="J3966" s="140"/>
    </row>
    <row r="3967" spans="10:10" x14ac:dyDescent="0.4">
      <c r="J3967" s="140"/>
    </row>
    <row r="3968" spans="10:10" x14ac:dyDescent="0.4">
      <c r="J3968" s="140"/>
    </row>
    <row r="3969" spans="10:10" x14ac:dyDescent="0.4">
      <c r="J3969" s="140"/>
    </row>
    <row r="3970" spans="10:10" x14ac:dyDescent="0.4">
      <c r="J3970" s="140"/>
    </row>
    <row r="3971" spans="10:10" x14ac:dyDescent="0.4">
      <c r="J3971" s="140"/>
    </row>
    <row r="3972" spans="10:10" x14ac:dyDescent="0.4">
      <c r="J3972" s="140"/>
    </row>
    <row r="3973" spans="10:10" x14ac:dyDescent="0.4">
      <c r="J3973" s="140"/>
    </row>
    <row r="3974" spans="10:10" x14ac:dyDescent="0.4">
      <c r="J3974" s="140"/>
    </row>
    <row r="3975" spans="10:10" x14ac:dyDescent="0.4">
      <c r="J3975" s="140"/>
    </row>
    <row r="3976" spans="10:10" x14ac:dyDescent="0.4">
      <c r="J3976" s="140"/>
    </row>
    <row r="3977" spans="10:10" x14ac:dyDescent="0.4">
      <c r="J3977" s="140"/>
    </row>
    <row r="3978" spans="10:10" x14ac:dyDescent="0.4">
      <c r="J3978" s="140"/>
    </row>
    <row r="3979" spans="10:10" x14ac:dyDescent="0.4">
      <c r="J3979" s="140"/>
    </row>
    <row r="3980" spans="10:10" x14ac:dyDescent="0.4">
      <c r="J3980" s="140"/>
    </row>
    <row r="3981" spans="10:10" x14ac:dyDescent="0.4">
      <c r="J3981" s="140"/>
    </row>
    <row r="3982" spans="10:10" x14ac:dyDescent="0.4">
      <c r="J3982" s="140"/>
    </row>
    <row r="3983" spans="10:10" x14ac:dyDescent="0.4">
      <c r="J3983" s="140"/>
    </row>
    <row r="3984" spans="10:10" x14ac:dyDescent="0.4">
      <c r="J3984" s="140"/>
    </row>
    <row r="3985" spans="10:10" x14ac:dyDescent="0.4">
      <c r="J3985" s="140"/>
    </row>
    <row r="3986" spans="10:10" x14ac:dyDescent="0.4">
      <c r="J3986" s="140"/>
    </row>
    <row r="3987" spans="10:10" x14ac:dyDescent="0.4">
      <c r="J3987" s="140"/>
    </row>
    <row r="3988" spans="10:10" x14ac:dyDescent="0.4">
      <c r="J3988" s="140"/>
    </row>
    <row r="3989" spans="10:10" x14ac:dyDescent="0.4">
      <c r="J3989" s="140"/>
    </row>
    <row r="3990" spans="10:10" x14ac:dyDescent="0.4">
      <c r="J3990" s="140"/>
    </row>
    <row r="3991" spans="10:10" x14ac:dyDescent="0.4">
      <c r="J3991" s="140"/>
    </row>
    <row r="3992" spans="10:10" x14ac:dyDescent="0.4">
      <c r="J3992" s="140"/>
    </row>
    <row r="3993" spans="10:10" x14ac:dyDescent="0.4">
      <c r="J3993" s="140"/>
    </row>
    <row r="3994" spans="10:10" x14ac:dyDescent="0.4">
      <c r="J3994" s="140"/>
    </row>
    <row r="3995" spans="10:10" x14ac:dyDescent="0.4">
      <c r="J3995" s="140"/>
    </row>
    <row r="3996" spans="10:10" x14ac:dyDescent="0.4">
      <c r="J3996" s="140"/>
    </row>
    <row r="3997" spans="10:10" x14ac:dyDescent="0.4">
      <c r="J3997" s="140"/>
    </row>
    <row r="3998" spans="10:10" x14ac:dyDescent="0.4">
      <c r="J3998" s="140"/>
    </row>
    <row r="3999" spans="10:10" x14ac:dyDescent="0.4">
      <c r="J3999" s="140"/>
    </row>
    <row r="4000" spans="10:10" x14ac:dyDescent="0.4">
      <c r="J4000" s="140"/>
    </row>
    <row r="4001" spans="10:10" x14ac:dyDescent="0.4">
      <c r="J4001" s="140"/>
    </row>
    <row r="4002" spans="10:10" x14ac:dyDescent="0.4">
      <c r="J4002" s="140"/>
    </row>
    <row r="4003" spans="10:10" x14ac:dyDescent="0.4">
      <c r="J4003" s="140"/>
    </row>
    <row r="4004" spans="10:10" x14ac:dyDescent="0.4">
      <c r="J4004" s="140"/>
    </row>
    <row r="4005" spans="10:10" x14ac:dyDescent="0.4">
      <c r="J4005" s="140"/>
    </row>
    <row r="4006" spans="10:10" x14ac:dyDescent="0.4">
      <c r="J4006" s="140"/>
    </row>
    <row r="4007" spans="10:10" x14ac:dyDescent="0.4">
      <c r="J4007" s="140"/>
    </row>
    <row r="4008" spans="10:10" x14ac:dyDescent="0.4">
      <c r="J4008" s="140"/>
    </row>
    <row r="4009" spans="10:10" x14ac:dyDescent="0.4">
      <c r="J4009" s="140"/>
    </row>
    <row r="4010" spans="10:10" x14ac:dyDescent="0.4">
      <c r="J4010" s="140"/>
    </row>
    <row r="4011" spans="10:10" x14ac:dyDescent="0.4">
      <c r="J4011" s="140"/>
    </row>
    <row r="4012" spans="10:10" x14ac:dyDescent="0.4">
      <c r="J4012" s="140"/>
    </row>
    <row r="4013" spans="10:10" x14ac:dyDescent="0.4">
      <c r="J4013" s="140"/>
    </row>
    <row r="4014" spans="10:10" x14ac:dyDescent="0.4">
      <c r="J4014" s="140"/>
    </row>
    <row r="4015" spans="10:10" x14ac:dyDescent="0.4">
      <c r="J4015" s="140"/>
    </row>
    <row r="4016" spans="10:10" x14ac:dyDescent="0.4">
      <c r="J4016" s="140"/>
    </row>
    <row r="4017" spans="10:10" x14ac:dyDescent="0.4">
      <c r="J4017" s="140"/>
    </row>
    <row r="4018" spans="10:10" x14ac:dyDescent="0.4">
      <c r="J4018" s="140"/>
    </row>
    <row r="4019" spans="10:10" x14ac:dyDescent="0.4">
      <c r="J4019" s="140"/>
    </row>
    <row r="4020" spans="10:10" x14ac:dyDescent="0.4">
      <c r="J4020" s="140"/>
    </row>
    <row r="4021" spans="10:10" x14ac:dyDescent="0.4">
      <c r="J4021" s="140"/>
    </row>
    <row r="4022" spans="10:10" x14ac:dyDescent="0.4">
      <c r="J4022" s="140"/>
    </row>
    <row r="4023" spans="10:10" x14ac:dyDescent="0.4">
      <c r="J4023" s="140"/>
    </row>
    <row r="4024" spans="10:10" x14ac:dyDescent="0.4">
      <c r="J4024" s="140"/>
    </row>
    <row r="4025" spans="10:10" x14ac:dyDescent="0.4">
      <c r="J4025" s="140"/>
    </row>
    <row r="4026" spans="10:10" x14ac:dyDescent="0.4">
      <c r="J4026" s="140"/>
    </row>
    <row r="4027" spans="10:10" x14ac:dyDescent="0.4">
      <c r="J4027" s="140"/>
    </row>
    <row r="4028" spans="10:10" x14ac:dyDescent="0.4">
      <c r="J4028" s="140"/>
    </row>
    <row r="4029" spans="10:10" x14ac:dyDescent="0.4">
      <c r="J4029" s="140"/>
    </row>
    <row r="4030" spans="10:10" x14ac:dyDescent="0.4">
      <c r="J4030" s="140"/>
    </row>
    <row r="4031" spans="10:10" x14ac:dyDescent="0.4">
      <c r="J4031" s="140"/>
    </row>
    <row r="4032" spans="10:10" x14ac:dyDescent="0.4">
      <c r="J4032" s="140"/>
    </row>
    <row r="4033" spans="10:10" x14ac:dyDescent="0.4">
      <c r="J4033" s="140"/>
    </row>
    <row r="4034" spans="10:10" x14ac:dyDescent="0.4">
      <c r="J4034" s="140"/>
    </row>
    <row r="4035" spans="10:10" x14ac:dyDescent="0.4">
      <c r="J4035" s="140"/>
    </row>
    <row r="4036" spans="10:10" x14ac:dyDescent="0.4">
      <c r="J4036" s="140"/>
    </row>
    <row r="4037" spans="10:10" x14ac:dyDescent="0.4">
      <c r="J4037" s="140"/>
    </row>
    <row r="4038" spans="10:10" x14ac:dyDescent="0.4">
      <c r="J4038" s="140"/>
    </row>
    <row r="4039" spans="10:10" x14ac:dyDescent="0.4">
      <c r="J4039" s="140"/>
    </row>
    <row r="4040" spans="10:10" x14ac:dyDescent="0.4">
      <c r="J4040" s="140"/>
    </row>
    <row r="4041" spans="10:10" x14ac:dyDescent="0.4">
      <c r="J4041" s="140"/>
    </row>
    <row r="4042" spans="10:10" x14ac:dyDescent="0.4">
      <c r="J4042" s="140"/>
    </row>
    <row r="4043" spans="10:10" x14ac:dyDescent="0.4">
      <c r="J4043" s="140"/>
    </row>
    <row r="4044" spans="10:10" x14ac:dyDescent="0.4">
      <c r="J4044" s="140"/>
    </row>
    <row r="4045" spans="10:10" x14ac:dyDescent="0.4">
      <c r="J4045" s="140"/>
    </row>
    <row r="4046" spans="10:10" x14ac:dyDescent="0.4">
      <c r="J4046" s="140"/>
    </row>
    <row r="4047" spans="10:10" x14ac:dyDescent="0.4">
      <c r="J4047" s="140"/>
    </row>
    <row r="4048" spans="10:10" x14ac:dyDescent="0.4">
      <c r="J4048" s="140"/>
    </row>
    <row r="4049" spans="10:10" x14ac:dyDescent="0.4">
      <c r="J4049" s="140"/>
    </row>
    <row r="4050" spans="10:10" x14ac:dyDescent="0.4">
      <c r="J4050" s="140"/>
    </row>
    <row r="4051" spans="10:10" x14ac:dyDescent="0.4">
      <c r="J4051" s="140"/>
    </row>
    <row r="4052" spans="10:10" x14ac:dyDescent="0.4">
      <c r="J4052" s="140"/>
    </row>
    <row r="4053" spans="10:10" x14ac:dyDescent="0.4">
      <c r="J4053" s="140"/>
    </row>
    <row r="4054" spans="10:10" x14ac:dyDescent="0.4">
      <c r="J4054" s="140"/>
    </row>
    <row r="4055" spans="10:10" x14ac:dyDescent="0.4">
      <c r="J4055" s="140"/>
    </row>
    <row r="4056" spans="10:10" x14ac:dyDescent="0.4">
      <c r="J4056" s="140"/>
    </row>
    <row r="4057" spans="10:10" x14ac:dyDescent="0.4">
      <c r="J4057" s="140"/>
    </row>
    <row r="4058" spans="10:10" x14ac:dyDescent="0.4">
      <c r="J4058" s="140"/>
    </row>
    <row r="4059" spans="10:10" x14ac:dyDescent="0.4">
      <c r="J4059" s="140"/>
    </row>
    <row r="4060" spans="10:10" x14ac:dyDescent="0.4">
      <c r="J4060" s="140"/>
    </row>
    <row r="4061" spans="10:10" x14ac:dyDescent="0.4">
      <c r="J4061" s="140"/>
    </row>
    <row r="4062" spans="10:10" x14ac:dyDescent="0.4">
      <c r="J4062" s="140"/>
    </row>
    <row r="4063" spans="10:10" x14ac:dyDescent="0.4">
      <c r="J4063" s="140"/>
    </row>
    <row r="4064" spans="10:10" x14ac:dyDescent="0.4">
      <c r="J4064" s="140"/>
    </row>
    <row r="4065" spans="10:10" x14ac:dyDescent="0.4">
      <c r="J4065" s="140"/>
    </row>
    <row r="4066" spans="10:10" x14ac:dyDescent="0.4">
      <c r="J4066" s="140"/>
    </row>
    <row r="4067" spans="10:10" x14ac:dyDescent="0.4">
      <c r="J4067" s="140"/>
    </row>
    <row r="4068" spans="10:10" x14ac:dyDescent="0.4">
      <c r="J4068" s="140"/>
    </row>
    <row r="4069" spans="10:10" x14ac:dyDescent="0.4">
      <c r="J4069" s="140"/>
    </row>
    <row r="4070" spans="10:10" x14ac:dyDescent="0.4">
      <c r="J4070" s="140"/>
    </row>
    <row r="4071" spans="10:10" x14ac:dyDescent="0.4">
      <c r="J4071" s="140"/>
    </row>
    <row r="4072" spans="10:10" x14ac:dyDescent="0.4">
      <c r="J4072" s="140"/>
    </row>
    <row r="4073" spans="10:10" x14ac:dyDescent="0.4">
      <c r="J4073" s="140"/>
    </row>
    <row r="4074" spans="10:10" x14ac:dyDescent="0.4">
      <c r="J4074" s="140"/>
    </row>
    <row r="4075" spans="10:10" x14ac:dyDescent="0.4">
      <c r="J4075" s="140"/>
    </row>
    <row r="4076" spans="10:10" x14ac:dyDescent="0.4">
      <c r="J4076" s="140"/>
    </row>
    <row r="4077" spans="10:10" x14ac:dyDescent="0.4">
      <c r="J4077" s="140"/>
    </row>
    <row r="4078" spans="10:10" x14ac:dyDescent="0.4">
      <c r="J4078" s="140"/>
    </row>
    <row r="4079" spans="10:10" x14ac:dyDescent="0.4">
      <c r="J4079" s="140"/>
    </row>
    <row r="4080" spans="10:10" x14ac:dyDescent="0.4">
      <c r="J4080" s="140"/>
    </row>
    <row r="4081" spans="10:10" x14ac:dyDescent="0.4">
      <c r="J4081" s="140"/>
    </row>
    <row r="4082" spans="10:10" x14ac:dyDescent="0.4">
      <c r="J4082" s="140"/>
    </row>
    <row r="4083" spans="10:10" x14ac:dyDescent="0.4">
      <c r="J4083" s="140"/>
    </row>
    <row r="4084" spans="10:10" x14ac:dyDescent="0.4">
      <c r="J4084" s="140"/>
    </row>
    <row r="4085" spans="10:10" x14ac:dyDescent="0.4">
      <c r="J4085" s="140"/>
    </row>
    <row r="4086" spans="10:10" x14ac:dyDescent="0.4">
      <c r="J4086" s="140"/>
    </row>
    <row r="4087" spans="10:10" x14ac:dyDescent="0.4">
      <c r="J4087" s="140"/>
    </row>
    <row r="4088" spans="10:10" x14ac:dyDescent="0.4">
      <c r="J4088" s="140"/>
    </row>
    <row r="4089" spans="10:10" x14ac:dyDescent="0.4">
      <c r="J4089" s="140"/>
    </row>
    <row r="4090" spans="10:10" x14ac:dyDescent="0.4">
      <c r="J4090" s="140"/>
    </row>
    <row r="4091" spans="10:10" x14ac:dyDescent="0.4">
      <c r="J4091" s="140"/>
    </row>
    <row r="4092" spans="10:10" x14ac:dyDescent="0.4">
      <c r="J4092" s="140"/>
    </row>
    <row r="4093" spans="10:10" x14ac:dyDescent="0.4">
      <c r="J4093" s="140"/>
    </row>
    <row r="4094" spans="10:10" x14ac:dyDescent="0.4">
      <c r="J4094" s="140"/>
    </row>
    <row r="4095" spans="10:10" x14ac:dyDescent="0.4">
      <c r="J4095" s="140"/>
    </row>
    <row r="4096" spans="10:10" x14ac:dyDescent="0.4">
      <c r="J4096" s="140"/>
    </row>
    <row r="4097" spans="10:10" x14ac:dyDescent="0.4">
      <c r="J4097" s="140"/>
    </row>
    <row r="4098" spans="10:10" x14ac:dyDescent="0.4">
      <c r="J4098" s="140"/>
    </row>
    <row r="4099" spans="10:10" x14ac:dyDescent="0.4">
      <c r="J4099" s="140"/>
    </row>
    <row r="4100" spans="10:10" x14ac:dyDescent="0.4">
      <c r="J4100" s="140"/>
    </row>
    <row r="4101" spans="10:10" x14ac:dyDescent="0.4">
      <c r="J4101" s="140"/>
    </row>
    <row r="4102" spans="10:10" x14ac:dyDescent="0.4">
      <c r="J4102" s="140"/>
    </row>
    <row r="4103" spans="10:10" x14ac:dyDescent="0.4">
      <c r="J4103" s="140"/>
    </row>
    <row r="4104" spans="10:10" x14ac:dyDescent="0.4">
      <c r="J4104" s="140"/>
    </row>
    <row r="4105" spans="10:10" x14ac:dyDescent="0.4">
      <c r="J4105" s="140"/>
    </row>
    <row r="4106" spans="10:10" x14ac:dyDescent="0.4">
      <c r="J4106" s="140"/>
    </row>
    <row r="4107" spans="10:10" x14ac:dyDescent="0.4">
      <c r="J4107" s="140"/>
    </row>
    <row r="4108" spans="10:10" x14ac:dyDescent="0.4">
      <c r="J4108" s="140"/>
    </row>
    <row r="4109" spans="10:10" x14ac:dyDescent="0.4">
      <c r="J4109" s="140"/>
    </row>
    <row r="4110" spans="10:10" x14ac:dyDescent="0.4">
      <c r="J4110" s="140"/>
    </row>
    <row r="4111" spans="10:10" x14ac:dyDescent="0.4">
      <c r="J4111" s="140"/>
    </row>
    <row r="4112" spans="10:10" x14ac:dyDescent="0.4">
      <c r="J4112" s="140"/>
    </row>
    <row r="4113" spans="10:10" x14ac:dyDescent="0.4">
      <c r="J4113" s="140"/>
    </row>
    <row r="4114" spans="10:10" x14ac:dyDescent="0.4">
      <c r="J4114" s="140"/>
    </row>
    <row r="4115" spans="10:10" x14ac:dyDescent="0.4">
      <c r="J4115" s="140"/>
    </row>
    <row r="4116" spans="10:10" x14ac:dyDescent="0.4">
      <c r="J4116" s="140"/>
    </row>
    <row r="4117" spans="10:10" x14ac:dyDescent="0.4">
      <c r="J4117" s="140"/>
    </row>
    <row r="4118" spans="10:10" x14ac:dyDescent="0.4">
      <c r="J4118" s="140"/>
    </row>
    <row r="4119" spans="10:10" x14ac:dyDescent="0.4">
      <c r="J4119" s="140"/>
    </row>
    <row r="4120" spans="10:10" x14ac:dyDescent="0.4">
      <c r="J4120" s="140"/>
    </row>
    <row r="4121" spans="10:10" x14ac:dyDescent="0.4">
      <c r="J4121" s="140"/>
    </row>
    <row r="4122" spans="10:10" x14ac:dyDescent="0.4">
      <c r="J4122" s="140"/>
    </row>
    <row r="4123" spans="10:10" x14ac:dyDescent="0.4">
      <c r="J4123" s="140"/>
    </row>
    <row r="4124" spans="10:10" x14ac:dyDescent="0.4">
      <c r="J4124" s="140"/>
    </row>
    <row r="4125" spans="10:10" x14ac:dyDescent="0.4">
      <c r="J4125" s="140"/>
    </row>
    <row r="4126" spans="10:10" x14ac:dyDescent="0.4">
      <c r="J4126" s="140"/>
    </row>
    <row r="4127" spans="10:10" x14ac:dyDescent="0.4">
      <c r="J4127" s="140"/>
    </row>
    <row r="4128" spans="10:10" x14ac:dyDescent="0.4">
      <c r="J4128" s="140"/>
    </row>
    <row r="4129" spans="10:10" x14ac:dyDescent="0.4">
      <c r="J4129" s="140"/>
    </row>
    <row r="4130" spans="10:10" x14ac:dyDescent="0.4">
      <c r="J4130" s="140"/>
    </row>
    <row r="4131" spans="10:10" x14ac:dyDescent="0.4">
      <c r="J4131" s="140"/>
    </row>
    <row r="4132" spans="10:10" x14ac:dyDescent="0.4">
      <c r="J4132" s="140"/>
    </row>
    <row r="4133" spans="10:10" x14ac:dyDescent="0.4">
      <c r="J4133" s="140"/>
    </row>
    <row r="4134" spans="10:10" x14ac:dyDescent="0.4">
      <c r="J4134" s="140"/>
    </row>
    <row r="4135" spans="10:10" x14ac:dyDescent="0.4">
      <c r="J4135" s="140"/>
    </row>
    <row r="4136" spans="10:10" x14ac:dyDescent="0.4">
      <c r="J4136" s="140"/>
    </row>
    <row r="4137" spans="10:10" x14ac:dyDescent="0.4">
      <c r="J4137" s="140"/>
    </row>
    <row r="4138" spans="10:10" x14ac:dyDescent="0.4">
      <c r="J4138" s="140"/>
    </row>
    <row r="4139" spans="10:10" x14ac:dyDescent="0.4">
      <c r="J4139" s="140"/>
    </row>
    <row r="4140" spans="10:10" x14ac:dyDescent="0.4">
      <c r="J4140" s="140"/>
    </row>
    <row r="4141" spans="10:10" x14ac:dyDescent="0.4">
      <c r="J4141" s="140"/>
    </row>
    <row r="4142" spans="10:10" x14ac:dyDescent="0.4">
      <c r="J4142" s="140"/>
    </row>
    <row r="4143" spans="10:10" x14ac:dyDescent="0.4">
      <c r="J4143" s="140"/>
    </row>
    <row r="4144" spans="10:10" x14ac:dyDescent="0.4">
      <c r="J4144" s="140"/>
    </row>
    <row r="4145" spans="10:10" x14ac:dyDescent="0.4">
      <c r="J4145" s="140"/>
    </row>
    <row r="4146" spans="10:10" x14ac:dyDescent="0.4">
      <c r="J4146" s="140"/>
    </row>
    <row r="4147" spans="10:10" x14ac:dyDescent="0.4">
      <c r="J4147" s="140"/>
    </row>
    <row r="4148" spans="10:10" x14ac:dyDescent="0.4">
      <c r="J4148" s="140"/>
    </row>
    <row r="4149" spans="10:10" x14ac:dyDescent="0.4">
      <c r="J4149" s="140"/>
    </row>
    <row r="4150" spans="10:10" x14ac:dyDescent="0.4">
      <c r="J4150" s="140"/>
    </row>
    <row r="4151" spans="10:10" x14ac:dyDescent="0.4">
      <c r="J4151" s="140"/>
    </row>
    <row r="4152" spans="10:10" x14ac:dyDescent="0.4">
      <c r="J4152" s="140"/>
    </row>
    <row r="4153" spans="10:10" x14ac:dyDescent="0.4">
      <c r="J4153" s="140"/>
    </row>
    <row r="4154" spans="10:10" x14ac:dyDescent="0.4">
      <c r="J4154" s="140"/>
    </row>
    <row r="4155" spans="10:10" x14ac:dyDescent="0.4">
      <c r="J4155" s="140"/>
    </row>
    <row r="4156" spans="10:10" x14ac:dyDescent="0.4">
      <c r="J4156" s="140"/>
    </row>
    <row r="4157" spans="10:10" x14ac:dyDescent="0.4">
      <c r="J4157" s="140"/>
    </row>
    <row r="4158" spans="10:10" x14ac:dyDescent="0.4">
      <c r="J4158" s="140"/>
    </row>
    <row r="4159" spans="10:10" x14ac:dyDescent="0.4">
      <c r="J4159" s="140"/>
    </row>
    <row r="4160" spans="10:10" x14ac:dyDescent="0.4">
      <c r="J4160" s="140"/>
    </row>
    <row r="4161" spans="10:10" x14ac:dyDescent="0.4">
      <c r="J4161" s="140"/>
    </row>
    <row r="4162" spans="10:10" x14ac:dyDescent="0.4">
      <c r="J4162" s="140"/>
    </row>
    <row r="4163" spans="10:10" x14ac:dyDescent="0.4">
      <c r="J4163" s="140"/>
    </row>
    <row r="4164" spans="10:10" x14ac:dyDescent="0.4">
      <c r="J4164" s="140"/>
    </row>
    <row r="4165" spans="10:10" x14ac:dyDescent="0.4">
      <c r="J4165" s="140"/>
    </row>
    <row r="4166" spans="10:10" x14ac:dyDescent="0.4">
      <c r="J4166" s="140"/>
    </row>
    <row r="4167" spans="10:10" x14ac:dyDescent="0.4">
      <c r="J4167" s="140"/>
    </row>
    <row r="4168" spans="10:10" x14ac:dyDescent="0.4">
      <c r="J4168" s="140"/>
    </row>
    <row r="4169" spans="10:10" x14ac:dyDescent="0.4">
      <c r="J4169" s="140"/>
    </row>
    <row r="4170" spans="10:10" x14ac:dyDescent="0.4">
      <c r="J4170" s="140"/>
    </row>
    <row r="4171" spans="10:10" x14ac:dyDescent="0.4">
      <c r="J4171" s="140"/>
    </row>
    <row r="4172" spans="10:10" x14ac:dyDescent="0.4">
      <c r="J4172" s="140"/>
    </row>
    <row r="4173" spans="10:10" x14ac:dyDescent="0.4">
      <c r="J4173" s="140"/>
    </row>
    <row r="4174" spans="10:10" x14ac:dyDescent="0.4">
      <c r="J4174" s="140"/>
    </row>
    <row r="4175" spans="10:10" x14ac:dyDescent="0.4">
      <c r="J4175" s="140"/>
    </row>
    <row r="4176" spans="10:10" x14ac:dyDescent="0.4">
      <c r="J4176" s="140"/>
    </row>
    <row r="4177" spans="10:10" x14ac:dyDescent="0.4">
      <c r="J4177" s="140"/>
    </row>
    <row r="4178" spans="10:10" x14ac:dyDescent="0.4">
      <c r="J4178" s="140"/>
    </row>
    <row r="4179" spans="10:10" x14ac:dyDescent="0.4">
      <c r="J4179" s="140"/>
    </row>
    <row r="4180" spans="10:10" x14ac:dyDescent="0.4">
      <c r="J4180" s="140"/>
    </row>
    <row r="4181" spans="10:10" x14ac:dyDescent="0.4">
      <c r="J4181" s="140"/>
    </row>
    <row r="4182" spans="10:10" x14ac:dyDescent="0.4">
      <c r="J4182" s="140"/>
    </row>
    <row r="4183" spans="10:10" x14ac:dyDescent="0.4">
      <c r="J4183" s="140"/>
    </row>
    <row r="4184" spans="10:10" x14ac:dyDescent="0.4">
      <c r="J4184" s="140"/>
    </row>
    <row r="4185" spans="10:10" x14ac:dyDescent="0.4">
      <c r="J4185" s="140"/>
    </row>
    <row r="4186" spans="10:10" x14ac:dyDescent="0.4">
      <c r="J4186" s="140"/>
    </row>
    <row r="4187" spans="10:10" x14ac:dyDescent="0.4">
      <c r="J4187" s="140"/>
    </row>
    <row r="4188" spans="10:10" x14ac:dyDescent="0.4">
      <c r="J4188" s="140"/>
    </row>
    <row r="4189" spans="10:10" x14ac:dyDescent="0.4">
      <c r="J4189" s="140"/>
    </row>
    <row r="4190" spans="10:10" x14ac:dyDescent="0.4">
      <c r="J4190" s="140"/>
    </row>
    <row r="4191" spans="10:10" x14ac:dyDescent="0.4">
      <c r="J4191" s="140"/>
    </row>
    <row r="4192" spans="10:10" x14ac:dyDescent="0.4">
      <c r="J4192" s="140"/>
    </row>
    <row r="4193" spans="10:10" x14ac:dyDescent="0.4">
      <c r="J4193" s="140"/>
    </row>
    <row r="4194" spans="10:10" x14ac:dyDescent="0.4">
      <c r="J4194" s="140"/>
    </row>
    <row r="4195" spans="10:10" x14ac:dyDescent="0.4">
      <c r="J4195" s="140"/>
    </row>
    <row r="4196" spans="10:10" x14ac:dyDescent="0.4">
      <c r="J4196" s="140"/>
    </row>
    <row r="4197" spans="10:10" x14ac:dyDescent="0.4">
      <c r="J4197" s="140"/>
    </row>
    <row r="4198" spans="10:10" x14ac:dyDescent="0.4">
      <c r="J4198" s="140"/>
    </row>
    <row r="4199" spans="10:10" x14ac:dyDescent="0.4">
      <c r="J4199" s="140"/>
    </row>
    <row r="4200" spans="10:10" x14ac:dyDescent="0.4">
      <c r="J4200" s="140"/>
    </row>
    <row r="4201" spans="10:10" x14ac:dyDescent="0.4">
      <c r="J4201" s="140"/>
    </row>
    <row r="4202" spans="10:10" x14ac:dyDescent="0.4">
      <c r="J4202" s="140"/>
    </row>
    <row r="4203" spans="10:10" x14ac:dyDescent="0.4">
      <c r="J4203" s="140"/>
    </row>
    <row r="4204" spans="10:10" x14ac:dyDescent="0.4">
      <c r="J4204" s="140"/>
    </row>
    <row r="4205" spans="10:10" x14ac:dyDescent="0.4">
      <c r="J4205" s="140"/>
    </row>
    <row r="4206" spans="10:10" x14ac:dyDescent="0.4">
      <c r="J4206" s="140"/>
    </row>
    <row r="4207" spans="10:10" x14ac:dyDescent="0.4">
      <c r="J4207" s="140"/>
    </row>
    <row r="4208" spans="10:10" x14ac:dyDescent="0.4">
      <c r="J4208" s="140"/>
    </row>
    <row r="4209" spans="10:10" x14ac:dyDescent="0.4">
      <c r="J4209" s="140"/>
    </row>
    <row r="4210" spans="10:10" x14ac:dyDescent="0.4">
      <c r="J4210" s="140"/>
    </row>
    <row r="4211" spans="10:10" x14ac:dyDescent="0.4">
      <c r="J4211" s="140"/>
    </row>
    <row r="4212" spans="10:10" x14ac:dyDescent="0.4">
      <c r="J4212" s="140"/>
    </row>
    <row r="4213" spans="10:10" x14ac:dyDescent="0.4">
      <c r="J4213" s="140"/>
    </row>
    <row r="4214" spans="10:10" x14ac:dyDescent="0.4">
      <c r="J4214" s="140"/>
    </row>
    <row r="4215" spans="10:10" x14ac:dyDescent="0.4">
      <c r="J4215" s="140"/>
    </row>
    <row r="4216" spans="10:10" x14ac:dyDescent="0.4">
      <c r="J4216" s="140"/>
    </row>
    <row r="4217" spans="10:10" x14ac:dyDescent="0.4">
      <c r="J4217" s="140"/>
    </row>
    <row r="4218" spans="10:10" x14ac:dyDescent="0.4">
      <c r="J4218" s="140"/>
    </row>
    <row r="4219" spans="10:10" x14ac:dyDescent="0.4">
      <c r="J4219" s="140"/>
    </row>
    <row r="4220" spans="10:10" x14ac:dyDescent="0.4">
      <c r="J4220" s="140"/>
    </row>
    <row r="4221" spans="10:10" x14ac:dyDescent="0.4">
      <c r="J4221" s="140"/>
    </row>
    <row r="4222" spans="10:10" x14ac:dyDescent="0.4">
      <c r="J4222" s="140"/>
    </row>
    <row r="4223" spans="10:10" x14ac:dyDescent="0.4">
      <c r="J4223" s="140"/>
    </row>
    <row r="4224" spans="10:10" x14ac:dyDescent="0.4">
      <c r="J4224" s="140"/>
    </row>
    <row r="4225" spans="10:10" x14ac:dyDescent="0.4">
      <c r="J4225" s="140"/>
    </row>
    <row r="4226" spans="10:10" x14ac:dyDescent="0.4">
      <c r="J4226" s="140"/>
    </row>
    <row r="4227" spans="10:10" x14ac:dyDescent="0.4">
      <c r="J4227" s="140"/>
    </row>
    <row r="4228" spans="10:10" x14ac:dyDescent="0.4">
      <c r="J4228" s="140"/>
    </row>
    <row r="4229" spans="10:10" x14ac:dyDescent="0.4">
      <c r="J4229" s="140"/>
    </row>
    <row r="4230" spans="10:10" x14ac:dyDescent="0.4">
      <c r="J4230" s="140"/>
    </row>
    <row r="4231" spans="10:10" x14ac:dyDescent="0.4">
      <c r="J4231" s="140"/>
    </row>
    <row r="4232" spans="10:10" x14ac:dyDescent="0.4">
      <c r="J4232" s="140"/>
    </row>
    <row r="4233" spans="10:10" x14ac:dyDescent="0.4">
      <c r="J4233" s="140"/>
    </row>
    <row r="4234" spans="10:10" x14ac:dyDescent="0.4">
      <c r="J4234" s="140"/>
    </row>
    <row r="4235" spans="10:10" x14ac:dyDescent="0.4">
      <c r="J4235" s="140"/>
    </row>
    <row r="4236" spans="10:10" x14ac:dyDescent="0.4">
      <c r="J4236" s="140"/>
    </row>
    <row r="4237" spans="10:10" x14ac:dyDescent="0.4">
      <c r="J4237" s="140"/>
    </row>
    <row r="4238" spans="10:10" x14ac:dyDescent="0.4">
      <c r="J4238" s="140"/>
    </row>
    <row r="4239" spans="10:10" x14ac:dyDescent="0.4">
      <c r="J4239" s="140"/>
    </row>
    <row r="4240" spans="10:10" x14ac:dyDescent="0.4">
      <c r="J4240" s="140"/>
    </row>
    <row r="4241" spans="10:10" x14ac:dyDescent="0.4">
      <c r="J4241" s="140"/>
    </row>
    <row r="4242" spans="10:10" x14ac:dyDescent="0.4">
      <c r="J4242" s="140"/>
    </row>
    <row r="4243" spans="10:10" x14ac:dyDescent="0.4">
      <c r="J4243" s="140"/>
    </row>
    <row r="4244" spans="10:10" x14ac:dyDescent="0.4">
      <c r="J4244" s="140"/>
    </row>
    <row r="4245" spans="10:10" x14ac:dyDescent="0.4">
      <c r="J4245" s="140"/>
    </row>
    <row r="4246" spans="10:10" x14ac:dyDescent="0.4">
      <c r="J4246" s="140"/>
    </row>
    <row r="4247" spans="10:10" x14ac:dyDescent="0.4">
      <c r="J4247" s="140"/>
    </row>
    <row r="4248" spans="10:10" x14ac:dyDescent="0.4">
      <c r="J4248" s="140"/>
    </row>
    <row r="4249" spans="10:10" x14ac:dyDescent="0.4">
      <c r="J4249" s="140"/>
    </row>
    <row r="4250" spans="10:10" x14ac:dyDescent="0.4">
      <c r="J4250" s="140"/>
    </row>
    <row r="4251" spans="10:10" x14ac:dyDescent="0.4">
      <c r="J4251" s="140"/>
    </row>
    <row r="4252" spans="10:10" x14ac:dyDescent="0.4">
      <c r="J4252" s="140"/>
    </row>
    <row r="4253" spans="10:10" x14ac:dyDescent="0.4">
      <c r="J4253" s="140"/>
    </row>
    <row r="4254" spans="10:10" x14ac:dyDescent="0.4">
      <c r="J4254" s="140"/>
    </row>
    <row r="4255" spans="10:10" x14ac:dyDescent="0.4">
      <c r="J4255" s="140"/>
    </row>
    <row r="4256" spans="10:10" x14ac:dyDescent="0.4">
      <c r="J4256" s="140"/>
    </row>
    <row r="4257" spans="10:10" x14ac:dyDescent="0.4">
      <c r="J4257" s="140"/>
    </row>
    <row r="4258" spans="10:10" x14ac:dyDescent="0.4">
      <c r="J4258" s="140"/>
    </row>
    <row r="4259" spans="10:10" x14ac:dyDescent="0.4">
      <c r="J4259" s="140"/>
    </row>
    <row r="4260" spans="10:10" x14ac:dyDescent="0.4">
      <c r="J4260" s="140"/>
    </row>
    <row r="4261" spans="10:10" x14ac:dyDescent="0.4">
      <c r="J4261" s="140"/>
    </row>
    <row r="4262" spans="10:10" x14ac:dyDescent="0.4">
      <c r="J4262" s="140"/>
    </row>
    <row r="4263" spans="10:10" x14ac:dyDescent="0.4">
      <c r="J4263" s="140"/>
    </row>
    <row r="4264" spans="10:10" x14ac:dyDescent="0.4">
      <c r="J4264" s="140"/>
    </row>
    <row r="4265" spans="10:10" x14ac:dyDescent="0.4">
      <c r="J4265" s="140"/>
    </row>
    <row r="4266" spans="10:10" x14ac:dyDescent="0.4">
      <c r="J4266" s="140"/>
    </row>
    <row r="4267" spans="10:10" x14ac:dyDescent="0.4">
      <c r="J4267" s="140"/>
    </row>
    <row r="4268" spans="10:10" x14ac:dyDescent="0.4">
      <c r="J4268" s="140"/>
    </row>
    <row r="4269" spans="10:10" x14ac:dyDescent="0.4">
      <c r="J4269" s="140"/>
    </row>
    <row r="4270" spans="10:10" x14ac:dyDescent="0.4">
      <c r="J4270" s="140"/>
    </row>
    <row r="4271" spans="10:10" x14ac:dyDescent="0.4">
      <c r="J4271" s="140"/>
    </row>
    <row r="4272" spans="10:10" x14ac:dyDescent="0.4">
      <c r="J4272" s="140"/>
    </row>
    <row r="4273" spans="10:10" x14ac:dyDescent="0.4">
      <c r="J4273" s="140"/>
    </row>
    <row r="4274" spans="10:10" x14ac:dyDescent="0.4">
      <c r="J4274" s="140"/>
    </row>
    <row r="4275" spans="10:10" x14ac:dyDescent="0.4">
      <c r="J4275" s="140"/>
    </row>
    <row r="4276" spans="10:10" x14ac:dyDescent="0.4">
      <c r="J4276" s="140"/>
    </row>
    <row r="4277" spans="10:10" x14ac:dyDescent="0.4">
      <c r="J4277" s="140"/>
    </row>
    <row r="4278" spans="10:10" x14ac:dyDescent="0.4">
      <c r="J4278" s="140"/>
    </row>
    <row r="4279" spans="10:10" x14ac:dyDescent="0.4">
      <c r="J4279" s="140"/>
    </row>
    <row r="4280" spans="10:10" x14ac:dyDescent="0.4">
      <c r="J4280" s="140"/>
    </row>
    <row r="4281" spans="10:10" x14ac:dyDescent="0.4">
      <c r="J4281" s="140"/>
    </row>
    <row r="4282" spans="10:10" x14ac:dyDescent="0.4">
      <c r="J4282" s="140"/>
    </row>
    <row r="4283" spans="10:10" x14ac:dyDescent="0.4">
      <c r="J4283" s="140"/>
    </row>
    <row r="4284" spans="10:10" x14ac:dyDescent="0.4">
      <c r="J4284" s="140"/>
    </row>
    <row r="4285" spans="10:10" x14ac:dyDescent="0.4">
      <c r="J4285" s="140"/>
    </row>
    <row r="4286" spans="10:10" x14ac:dyDescent="0.4">
      <c r="J4286" s="140"/>
    </row>
    <row r="4287" spans="10:10" x14ac:dyDescent="0.4">
      <c r="J4287" s="140"/>
    </row>
    <row r="4288" spans="10:10" x14ac:dyDescent="0.4">
      <c r="J4288" s="140"/>
    </row>
    <row r="4289" spans="10:10" x14ac:dyDescent="0.4">
      <c r="J4289" s="140"/>
    </row>
    <row r="4290" spans="10:10" x14ac:dyDescent="0.4">
      <c r="J4290" s="140"/>
    </row>
    <row r="4291" spans="10:10" x14ac:dyDescent="0.4">
      <c r="J4291" s="140"/>
    </row>
    <row r="4292" spans="10:10" x14ac:dyDescent="0.4">
      <c r="J4292" s="140"/>
    </row>
    <row r="4293" spans="10:10" x14ac:dyDescent="0.4">
      <c r="J4293" s="140"/>
    </row>
    <row r="4294" spans="10:10" x14ac:dyDescent="0.4">
      <c r="J4294" s="140"/>
    </row>
    <row r="4295" spans="10:10" x14ac:dyDescent="0.4">
      <c r="J4295" s="140"/>
    </row>
    <row r="4296" spans="10:10" x14ac:dyDescent="0.4">
      <c r="J4296" s="140"/>
    </row>
    <row r="4297" spans="10:10" x14ac:dyDescent="0.4">
      <c r="J4297" s="140"/>
    </row>
    <row r="4298" spans="10:10" x14ac:dyDescent="0.4">
      <c r="J4298" s="140"/>
    </row>
    <row r="4299" spans="10:10" x14ac:dyDescent="0.4">
      <c r="J4299" s="140"/>
    </row>
    <row r="4300" spans="10:10" x14ac:dyDescent="0.4">
      <c r="J4300" s="140"/>
    </row>
    <row r="4301" spans="10:10" x14ac:dyDescent="0.4">
      <c r="J4301" s="140"/>
    </row>
    <row r="4302" spans="10:10" x14ac:dyDescent="0.4">
      <c r="J4302" s="140"/>
    </row>
    <row r="4303" spans="10:10" x14ac:dyDescent="0.4">
      <c r="J4303" s="140"/>
    </row>
    <row r="4304" spans="10:10" x14ac:dyDescent="0.4">
      <c r="J4304" s="140"/>
    </row>
    <row r="4305" spans="10:10" x14ac:dyDescent="0.4">
      <c r="J4305" s="140"/>
    </row>
    <row r="4306" spans="10:10" x14ac:dyDescent="0.4">
      <c r="J4306" s="140"/>
    </row>
    <row r="4307" spans="10:10" x14ac:dyDescent="0.4">
      <c r="J4307" s="140"/>
    </row>
    <row r="4308" spans="10:10" x14ac:dyDescent="0.4">
      <c r="J4308" s="140"/>
    </row>
    <row r="4309" spans="10:10" x14ac:dyDescent="0.4">
      <c r="J4309" s="140"/>
    </row>
    <row r="4310" spans="10:10" x14ac:dyDescent="0.4">
      <c r="J4310" s="140"/>
    </row>
    <row r="4311" spans="10:10" x14ac:dyDescent="0.4">
      <c r="J4311" s="140"/>
    </row>
    <row r="4312" spans="10:10" x14ac:dyDescent="0.4">
      <c r="J4312" s="140"/>
    </row>
    <row r="4313" spans="10:10" x14ac:dyDescent="0.4">
      <c r="J4313" s="140"/>
    </row>
    <row r="4314" spans="10:10" x14ac:dyDescent="0.4">
      <c r="J4314" s="140"/>
    </row>
    <row r="4315" spans="10:10" x14ac:dyDescent="0.4">
      <c r="J4315" s="140"/>
    </row>
    <row r="4316" spans="10:10" x14ac:dyDescent="0.4">
      <c r="J4316" s="140"/>
    </row>
    <row r="4317" spans="10:10" x14ac:dyDescent="0.4">
      <c r="J4317" s="140"/>
    </row>
    <row r="4318" spans="10:10" x14ac:dyDescent="0.4">
      <c r="J4318" s="140"/>
    </row>
    <row r="4319" spans="10:10" x14ac:dyDescent="0.4">
      <c r="J4319" s="140"/>
    </row>
    <row r="4320" spans="10:10" x14ac:dyDescent="0.4">
      <c r="J4320" s="140"/>
    </row>
    <row r="4321" spans="10:10" x14ac:dyDescent="0.4">
      <c r="J4321" s="140"/>
    </row>
    <row r="4322" spans="10:10" x14ac:dyDescent="0.4">
      <c r="J4322" s="140"/>
    </row>
    <row r="4323" spans="10:10" x14ac:dyDescent="0.4">
      <c r="J4323" s="140"/>
    </row>
    <row r="4324" spans="10:10" x14ac:dyDescent="0.4">
      <c r="J4324" s="140"/>
    </row>
    <row r="4325" spans="10:10" x14ac:dyDescent="0.4">
      <c r="J4325" s="140"/>
    </row>
    <row r="4326" spans="10:10" x14ac:dyDescent="0.4">
      <c r="J4326" s="140"/>
    </row>
    <row r="4327" spans="10:10" x14ac:dyDescent="0.4">
      <c r="J4327" s="140"/>
    </row>
    <row r="4328" spans="10:10" x14ac:dyDescent="0.4">
      <c r="J4328" s="140"/>
    </row>
    <row r="4329" spans="10:10" x14ac:dyDescent="0.4">
      <c r="J4329" s="140"/>
    </row>
    <row r="4330" spans="10:10" x14ac:dyDescent="0.4">
      <c r="J4330" s="140"/>
    </row>
    <row r="4331" spans="10:10" x14ac:dyDescent="0.4">
      <c r="J4331" s="140"/>
    </row>
    <row r="4332" spans="10:10" x14ac:dyDescent="0.4">
      <c r="J4332" s="140"/>
    </row>
    <row r="4333" spans="10:10" x14ac:dyDescent="0.4">
      <c r="J4333" s="140"/>
    </row>
    <row r="4334" spans="10:10" x14ac:dyDescent="0.4">
      <c r="J4334" s="140"/>
    </row>
    <row r="4335" spans="10:10" x14ac:dyDescent="0.4">
      <c r="J4335" s="140"/>
    </row>
    <row r="4336" spans="10:10" x14ac:dyDescent="0.4">
      <c r="J4336" s="140"/>
    </row>
    <row r="4337" spans="10:10" x14ac:dyDescent="0.4">
      <c r="J4337" s="140"/>
    </row>
    <row r="4338" spans="10:10" x14ac:dyDescent="0.4">
      <c r="J4338" s="140"/>
    </row>
    <row r="4339" spans="10:10" x14ac:dyDescent="0.4">
      <c r="J4339" s="140"/>
    </row>
    <row r="4340" spans="10:10" x14ac:dyDescent="0.4">
      <c r="J4340" s="140"/>
    </row>
    <row r="4341" spans="10:10" x14ac:dyDescent="0.4">
      <c r="J4341" s="140"/>
    </row>
    <row r="4342" spans="10:10" x14ac:dyDescent="0.4">
      <c r="J4342" s="140"/>
    </row>
    <row r="4343" spans="10:10" x14ac:dyDescent="0.4">
      <c r="J4343" s="140"/>
    </row>
    <row r="4344" spans="10:10" x14ac:dyDescent="0.4">
      <c r="J4344" s="140"/>
    </row>
    <row r="4345" spans="10:10" x14ac:dyDescent="0.4">
      <c r="J4345" s="140"/>
    </row>
    <row r="4346" spans="10:10" x14ac:dyDescent="0.4">
      <c r="J4346" s="140"/>
    </row>
    <row r="4347" spans="10:10" x14ac:dyDescent="0.4">
      <c r="J4347" s="140"/>
    </row>
    <row r="4348" spans="10:10" x14ac:dyDescent="0.4">
      <c r="J4348" s="140"/>
    </row>
    <row r="4349" spans="10:10" x14ac:dyDescent="0.4">
      <c r="J4349" s="140"/>
    </row>
    <row r="4350" spans="10:10" x14ac:dyDescent="0.4">
      <c r="J4350" s="140"/>
    </row>
    <row r="4351" spans="10:10" x14ac:dyDescent="0.4">
      <c r="J4351" s="140"/>
    </row>
    <row r="4352" spans="10:10" x14ac:dyDescent="0.4">
      <c r="J4352" s="140"/>
    </row>
    <row r="4353" spans="10:10" x14ac:dyDescent="0.4">
      <c r="J4353" s="140"/>
    </row>
    <row r="4354" spans="10:10" x14ac:dyDescent="0.4">
      <c r="J4354" s="140"/>
    </row>
    <row r="4355" spans="10:10" x14ac:dyDescent="0.4">
      <c r="J4355" s="140"/>
    </row>
    <row r="4356" spans="10:10" x14ac:dyDescent="0.4">
      <c r="J4356" s="140"/>
    </row>
    <row r="4357" spans="10:10" x14ac:dyDescent="0.4">
      <c r="J4357" s="140"/>
    </row>
    <row r="4358" spans="10:10" x14ac:dyDescent="0.4">
      <c r="J4358" s="140"/>
    </row>
    <row r="4359" spans="10:10" x14ac:dyDescent="0.4">
      <c r="J4359" s="140"/>
    </row>
    <row r="4360" spans="10:10" x14ac:dyDescent="0.4">
      <c r="J4360" s="140"/>
    </row>
    <row r="4361" spans="10:10" x14ac:dyDescent="0.4">
      <c r="J4361" s="140"/>
    </row>
    <row r="4362" spans="10:10" x14ac:dyDescent="0.4">
      <c r="J4362" s="140"/>
    </row>
    <row r="4363" spans="10:10" x14ac:dyDescent="0.4">
      <c r="J4363" s="140"/>
    </row>
    <row r="4364" spans="10:10" x14ac:dyDescent="0.4">
      <c r="J4364" s="140"/>
    </row>
    <row r="4365" spans="10:10" x14ac:dyDescent="0.4">
      <c r="J4365" s="140"/>
    </row>
    <row r="4366" spans="10:10" x14ac:dyDescent="0.4">
      <c r="J4366" s="140"/>
    </row>
    <row r="4367" spans="10:10" x14ac:dyDescent="0.4">
      <c r="J4367" s="140"/>
    </row>
    <row r="4368" spans="10:10" x14ac:dyDescent="0.4">
      <c r="J4368" s="140"/>
    </row>
    <row r="4369" spans="10:10" x14ac:dyDescent="0.4">
      <c r="J4369" s="140"/>
    </row>
    <row r="4370" spans="10:10" x14ac:dyDescent="0.4">
      <c r="J4370" s="140"/>
    </row>
    <row r="4371" spans="10:10" x14ac:dyDescent="0.4">
      <c r="J4371" s="140"/>
    </row>
    <row r="4372" spans="10:10" x14ac:dyDescent="0.4">
      <c r="J4372" s="140"/>
    </row>
    <row r="4373" spans="10:10" x14ac:dyDescent="0.4">
      <c r="J4373" s="140"/>
    </row>
    <row r="4374" spans="10:10" x14ac:dyDescent="0.4">
      <c r="J4374" s="140"/>
    </row>
    <row r="4375" spans="10:10" x14ac:dyDescent="0.4">
      <c r="J4375" s="140"/>
    </row>
    <row r="4376" spans="10:10" x14ac:dyDescent="0.4">
      <c r="J4376" s="140"/>
    </row>
    <row r="4377" spans="10:10" x14ac:dyDescent="0.4">
      <c r="J4377" s="140"/>
    </row>
    <row r="4378" spans="10:10" x14ac:dyDescent="0.4">
      <c r="J4378" s="140"/>
    </row>
    <row r="4379" spans="10:10" x14ac:dyDescent="0.4">
      <c r="J4379" s="140"/>
    </row>
    <row r="4380" spans="10:10" x14ac:dyDescent="0.4">
      <c r="J4380" s="140"/>
    </row>
    <row r="4381" spans="10:10" x14ac:dyDescent="0.4">
      <c r="J4381" s="140"/>
    </row>
    <row r="4382" spans="10:10" x14ac:dyDescent="0.4">
      <c r="J4382" s="140"/>
    </row>
    <row r="4383" spans="10:10" x14ac:dyDescent="0.4">
      <c r="J4383" s="140"/>
    </row>
    <row r="4384" spans="10:10" x14ac:dyDescent="0.4">
      <c r="J4384" s="140"/>
    </row>
    <row r="4385" spans="10:10" x14ac:dyDescent="0.4">
      <c r="J4385" s="140"/>
    </row>
    <row r="4386" spans="10:10" x14ac:dyDescent="0.4">
      <c r="J4386" s="140"/>
    </row>
    <row r="4387" spans="10:10" x14ac:dyDescent="0.4">
      <c r="J4387" s="140"/>
    </row>
    <row r="4388" spans="10:10" x14ac:dyDescent="0.4">
      <c r="J4388" s="140"/>
    </row>
    <row r="4389" spans="10:10" x14ac:dyDescent="0.4">
      <c r="J4389" s="140"/>
    </row>
    <row r="4390" spans="10:10" x14ac:dyDescent="0.4">
      <c r="J4390" s="140"/>
    </row>
    <row r="4391" spans="10:10" x14ac:dyDescent="0.4">
      <c r="J4391" s="140"/>
    </row>
    <row r="4392" spans="10:10" x14ac:dyDescent="0.4">
      <c r="J4392" s="140"/>
    </row>
    <row r="4393" spans="10:10" x14ac:dyDescent="0.4">
      <c r="J4393" s="140"/>
    </row>
    <row r="4394" spans="10:10" x14ac:dyDescent="0.4">
      <c r="J4394" s="140"/>
    </row>
    <row r="4395" spans="10:10" x14ac:dyDescent="0.4">
      <c r="J4395" s="140"/>
    </row>
    <row r="4396" spans="10:10" x14ac:dyDescent="0.4">
      <c r="J4396" s="140"/>
    </row>
    <row r="4397" spans="10:10" x14ac:dyDescent="0.4">
      <c r="J4397" s="140"/>
    </row>
    <row r="4398" spans="10:10" x14ac:dyDescent="0.4">
      <c r="J4398" s="140"/>
    </row>
    <row r="4399" spans="10:10" x14ac:dyDescent="0.4">
      <c r="J4399" s="140"/>
    </row>
    <row r="4400" spans="10:10" x14ac:dyDescent="0.4">
      <c r="J4400" s="140"/>
    </row>
    <row r="4401" spans="10:10" x14ac:dyDescent="0.4">
      <c r="J4401" s="140"/>
    </row>
    <row r="4402" spans="10:10" x14ac:dyDescent="0.4">
      <c r="J4402" s="140"/>
    </row>
    <row r="4403" spans="10:10" x14ac:dyDescent="0.4">
      <c r="J4403" s="140"/>
    </row>
    <row r="4404" spans="10:10" x14ac:dyDescent="0.4">
      <c r="J4404" s="140"/>
    </row>
    <row r="4405" spans="10:10" x14ac:dyDescent="0.4">
      <c r="J4405" s="140"/>
    </row>
    <row r="4406" spans="10:10" x14ac:dyDescent="0.4">
      <c r="J4406" s="140"/>
    </row>
    <row r="4407" spans="10:10" x14ac:dyDescent="0.4">
      <c r="J4407" s="140"/>
    </row>
    <row r="4408" spans="10:10" x14ac:dyDescent="0.4">
      <c r="J4408" s="140"/>
    </row>
    <row r="4409" spans="10:10" x14ac:dyDescent="0.4">
      <c r="J4409" s="140"/>
    </row>
    <row r="4410" spans="10:10" x14ac:dyDescent="0.4">
      <c r="J4410" s="140"/>
    </row>
    <row r="4411" spans="10:10" x14ac:dyDescent="0.4">
      <c r="J4411" s="140"/>
    </row>
    <row r="4412" spans="10:10" x14ac:dyDescent="0.4">
      <c r="J4412" s="140"/>
    </row>
    <row r="4413" spans="10:10" x14ac:dyDescent="0.4">
      <c r="J4413" s="140"/>
    </row>
    <row r="4414" spans="10:10" x14ac:dyDescent="0.4">
      <c r="J4414" s="140"/>
    </row>
    <row r="4415" spans="10:10" x14ac:dyDescent="0.4">
      <c r="J4415" s="140"/>
    </row>
    <row r="4416" spans="10:10" x14ac:dyDescent="0.4">
      <c r="J4416" s="140"/>
    </row>
    <row r="4417" spans="10:10" x14ac:dyDescent="0.4">
      <c r="J4417" s="140"/>
    </row>
    <row r="4418" spans="10:10" x14ac:dyDescent="0.4">
      <c r="J4418" s="140"/>
    </row>
    <row r="4419" spans="10:10" x14ac:dyDescent="0.4">
      <c r="J4419" s="140"/>
    </row>
    <row r="4420" spans="10:10" x14ac:dyDescent="0.4">
      <c r="J4420" s="140"/>
    </row>
    <row r="4421" spans="10:10" x14ac:dyDescent="0.4">
      <c r="J4421" s="140"/>
    </row>
    <row r="4422" spans="10:10" x14ac:dyDescent="0.4">
      <c r="J4422" s="140"/>
    </row>
    <row r="4423" spans="10:10" x14ac:dyDescent="0.4">
      <c r="J4423" s="140"/>
    </row>
    <row r="4424" spans="10:10" x14ac:dyDescent="0.4">
      <c r="J4424" s="140"/>
    </row>
    <row r="4425" spans="10:10" x14ac:dyDescent="0.4">
      <c r="J4425" s="140"/>
    </row>
    <row r="4426" spans="10:10" x14ac:dyDescent="0.4">
      <c r="J4426" s="140"/>
    </row>
    <row r="4427" spans="10:10" x14ac:dyDescent="0.4">
      <c r="J4427" s="140"/>
    </row>
    <row r="4428" spans="10:10" x14ac:dyDescent="0.4">
      <c r="J4428" s="140"/>
    </row>
    <row r="4429" spans="10:10" x14ac:dyDescent="0.4">
      <c r="J4429" s="140"/>
    </row>
    <row r="4430" spans="10:10" x14ac:dyDescent="0.4">
      <c r="J4430" s="140"/>
    </row>
    <row r="4431" spans="10:10" x14ac:dyDescent="0.4">
      <c r="J4431" s="140"/>
    </row>
    <row r="4432" spans="10:10" x14ac:dyDescent="0.4">
      <c r="J4432" s="140"/>
    </row>
    <row r="4433" spans="10:10" x14ac:dyDescent="0.4">
      <c r="J4433" s="140"/>
    </row>
    <row r="4434" spans="10:10" x14ac:dyDescent="0.4">
      <c r="J4434" s="140"/>
    </row>
    <row r="4435" spans="10:10" x14ac:dyDescent="0.4">
      <c r="J4435" s="140"/>
    </row>
    <row r="4436" spans="10:10" x14ac:dyDescent="0.4">
      <c r="J4436" s="140"/>
    </row>
    <row r="4437" spans="10:10" x14ac:dyDescent="0.4">
      <c r="J4437" s="140"/>
    </row>
    <row r="4438" spans="10:10" x14ac:dyDescent="0.4">
      <c r="J4438" s="140"/>
    </row>
    <row r="4439" spans="10:10" x14ac:dyDescent="0.4">
      <c r="J4439" s="140"/>
    </row>
    <row r="4440" spans="10:10" x14ac:dyDescent="0.4">
      <c r="J4440" s="140"/>
    </row>
    <row r="4441" spans="10:10" x14ac:dyDescent="0.4">
      <c r="J4441" s="140"/>
    </row>
    <row r="4442" spans="10:10" x14ac:dyDescent="0.4">
      <c r="J4442" s="140"/>
    </row>
    <row r="4443" spans="10:10" x14ac:dyDescent="0.4">
      <c r="J4443" s="140"/>
    </row>
    <row r="4444" spans="10:10" x14ac:dyDescent="0.4">
      <c r="J4444" s="140"/>
    </row>
    <row r="4445" spans="10:10" x14ac:dyDescent="0.4">
      <c r="J4445" s="140"/>
    </row>
    <row r="4446" spans="10:10" x14ac:dyDescent="0.4">
      <c r="J4446" s="140"/>
    </row>
    <row r="4447" spans="10:10" x14ac:dyDescent="0.4">
      <c r="J4447" s="140"/>
    </row>
    <row r="4448" spans="10:10" x14ac:dyDescent="0.4">
      <c r="J4448" s="140"/>
    </row>
    <row r="4449" spans="10:10" x14ac:dyDescent="0.4">
      <c r="J4449" s="140"/>
    </row>
    <row r="4450" spans="10:10" x14ac:dyDescent="0.4">
      <c r="J4450" s="140"/>
    </row>
    <row r="4451" spans="10:10" x14ac:dyDescent="0.4">
      <c r="J4451" s="140"/>
    </row>
    <row r="4452" spans="10:10" x14ac:dyDescent="0.4">
      <c r="J4452" s="140"/>
    </row>
    <row r="4453" spans="10:10" x14ac:dyDescent="0.4">
      <c r="J4453" s="140"/>
    </row>
    <row r="4454" spans="10:10" x14ac:dyDescent="0.4">
      <c r="J4454" s="140"/>
    </row>
    <row r="4455" spans="10:10" x14ac:dyDescent="0.4">
      <c r="J4455" s="140"/>
    </row>
    <row r="4456" spans="10:10" x14ac:dyDescent="0.4">
      <c r="J4456" s="140"/>
    </row>
    <row r="4457" spans="10:10" x14ac:dyDescent="0.4">
      <c r="J4457" s="140"/>
    </row>
    <row r="4458" spans="10:10" x14ac:dyDescent="0.4">
      <c r="J4458" s="140"/>
    </row>
    <row r="4459" spans="10:10" x14ac:dyDescent="0.4">
      <c r="J4459" s="140"/>
    </row>
    <row r="4460" spans="10:10" x14ac:dyDescent="0.4">
      <c r="J4460" s="140"/>
    </row>
    <row r="4461" spans="10:10" x14ac:dyDescent="0.4">
      <c r="J4461" s="140"/>
    </row>
    <row r="4462" spans="10:10" x14ac:dyDescent="0.4">
      <c r="J4462" s="140"/>
    </row>
    <row r="4463" spans="10:10" x14ac:dyDescent="0.4">
      <c r="J4463" s="140"/>
    </row>
    <row r="4464" spans="10:10" x14ac:dyDescent="0.4">
      <c r="J4464" s="140"/>
    </row>
    <row r="4465" spans="10:10" x14ac:dyDescent="0.4">
      <c r="J4465" s="140"/>
    </row>
    <row r="4466" spans="10:10" x14ac:dyDescent="0.4">
      <c r="J4466" s="140"/>
    </row>
    <row r="4467" spans="10:10" x14ac:dyDescent="0.4">
      <c r="J4467" s="140"/>
    </row>
    <row r="4468" spans="10:10" x14ac:dyDescent="0.4">
      <c r="J4468" s="140"/>
    </row>
    <row r="4469" spans="10:10" x14ac:dyDescent="0.4">
      <c r="J4469" s="140"/>
    </row>
    <row r="4470" spans="10:10" x14ac:dyDescent="0.4">
      <c r="J4470" s="140"/>
    </row>
    <row r="4471" spans="10:10" x14ac:dyDescent="0.4">
      <c r="J4471" s="140"/>
    </row>
    <row r="4472" spans="10:10" x14ac:dyDescent="0.4">
      <c r="J4472" s="140"/>
    </row>
    <row r="4473" spans="10:10" x14ac:dyDescent="0.4">
      <c r="J4473" s="140"/>
    </row>
    <row r="4474" spans="10:10" x14ac:dyDescent="0.4">
      <c r="J4474" s="140"/>
    </row>
    <row r="4475" spans="10:10" x14ac:dyDescent="0.4">
      <c r="J4475" s="140"/>
    </row>
    <row r="4476" spans="10:10" x14ac:dyDescent="0.4">
      <c r="J4476" s="140"/>
    </row>
    <row r="4477" spans="10:10" x14ac:dyDescent="0.4">
      <c r="J4477" s="140"/>
    </row>
    <row r="4478" spans="10:10" x14ac:dyDescent="0.4">
      <c r="J4478" s="140"/>
    </row>
    <row r="4479" spans="10:10" x14ac:dyDescent="0.4">
      <c r="J4479" s="140"/>
    </row>
    <row r="4480" spans="10:10" x14ac:dyDescent="0.4">
      <c r="J4480" s="140"/>
    </row>
    <row r="4481" spans="10:10" x14ac:dyDescent="0.4">
      <c r="J4481" s="140"/>
    </row>
    <row r="4482" spans="10:10" x14ac:dyDescent="0.4">
      <c r="J4482" s="140"/>
    </row>
    <row r="4483" spans="10:10" x14ac:dyDescent="0.4">
      <c r="J4483" s="140"/>
    </row>
    <row r="4484" spans="10:10" x14ac:dyDescent="0.4">
      <c r="J4484" s="140"/>
    </row>
    <row r="4485" spans="10:10" x14ac:dyDescent="0.4">
      <c r="J4485" s="140"/>
    </row>
    <row r="4486" spans="10:10" x14ac:dyDescent="0.4">
      <c r="J4486" s="140"/>
    </row>
    <row r="4487" spans="10:10" x14ac:dyDescent="0.4">
      <c r="J4487" s="140"/>
    </row>
    <row r="4488" spans="10:10" x14ac:dyDescent="0.4">
      <c r="J4488" s="140"/>
    </row>
    <row r="4489" spans="10:10" x14ac:dyDescent="0.4">
      <c r="J4489" s="140"/>
    </row>
    <row r="4490" spans="10:10" x14ac:dyDescent="0.4">
      <c r="J4490" s="140"/>
    </row>
    <row r="4491" spans="10:10" x14ac:dyDescent="0.4">
      <c r="J4491" s="140"/>
    </row>
    <row r="4492" spans="10:10" x14ac:dyDescent="0.4">
      <c r="J4492" s="140"/>
    </row>
    <row r="4493" spans="10:10" x14ac:dyDescent="0.4">
      <c r="J4493" s="140"/>
    </row>
    <row r="4494" spans="10:10" x14ac:dyDescent="0.4">
      <c r="J4494" s="140"/>
    </row>
    <row r="4495" spans="10:10" x14ac:dyDescent="0.4">
      <c r="J4495" s="140"/>
    </row>
    <row r="4496" spans="10:10" x14ac:dyDescent="0.4">
      <c r="J4496" s="140"/>
    </row>
    <row r="4497" spans="10:10" x14ac:dyDescent="0.4">
      <c r="J4497" s="140"/>
    </row>
    <row r="4498" spans="10:10" x14ac:dyDescent="0.4">
      <c r="J4498" s="140"/>
    </row>
    <row r="4499" spans="10:10" x14ac:dyDescent="0.4">
      <c r="J4499" s="140"/>
    </row>
    <row r="4500" spans="10:10" x14ac:dyDescent="0.4">
      <c r="J4500" s="140"/>
    </row>
    <row r="4501" spans="10:10" x14ac:dyDescent="0.4">
      <c r="J4501" s="140"/>
    </row>
    <row r="4502" spans="10:10" x14ac:dyDescent="0.4">
      <c r="J4502" s="140"/>
    </row>
    <row r="4503" spans="10:10" x14ac:dyDescent="0.4">
      <c r="J4503" s="140"/>
    </row>
    <row r="4504" spans="10:10" x14ac:dyDescent="0.4">
      <c r="J4504" s="140"/>
    </row>
    <row r="4505" spans="10:10" x14ac:dyDescent="0.4">
      <c r="J4505" s="140"/>
    </row>
    <row r="4506" spans="10:10" x14ac:dyDescent="0.4">
      <c r="J4506" s="140"/>
    </row>
    <row r="4507" spans="10:10" x14ac:dyDescent="0.4">
      <c r="J4507" s="140"/>
    </row>
    <row r="4508" spans="10:10" x14ac:dyDescent="0.4">
      <c r="J4508" s="140"/>
    </row>
    <row r="4509" spans="10:10" x14ac:dyDescent="0.4">
      <c r="J4509" s="140"/>
    </row>
    <row r="4510" spans="10:10" x14ac:dyDescent="0.4">
      <c r="J4510" s="140"/>
    </row>
    <row r="4511" spans="10:10" x14ac:dyDescent="0.4">
      <c r="J4511" s="140"/>
    </row>
    <row r="4512" spans="10:10" x14ac:dyDescent="0.4">
      <c r="J4512" s="140"/>
    </row>
    <row r="4513" spans="10:10" x14ac:dyDescent="0.4">
      <c r="J4513" s="140"/>
    </row>
    <row r="4514" spans="10:10" x14ac:dyDescent="0.4">
      <c r="J4514" s="140"/>
    </row>
    <row r="4515" spans="10:10" x14ac:dyDescent="0.4">
      <c r="J4515" s="140"/>
    </row>
    <row r="4516" spans="10:10" x14ac:dyDescent="0.4">
      <c r="J4516" s="140"/>
    </row>
    <row r="4517" spans="10:10" x14ac:dyDescent="0.4">
      <c r="J4517" s="140"/>
    </row>
    <row r="4518" spans="10:10" x14ac:dyDescent="0.4">
      <c r="J4518" s="140"/>
    </row>
    <row r="4519" spans="10:10" x14ac:dyDescent="0.4">
      <c r="J4519" s="140"/>
    </row>
    <row r="4520" spans="10:10" x14ac:dyDescent="0.4">
      <c r="J4520" s="140"/>
    </row>
    <row r="4521" spans="10:10" x14ac:dyDescent="0.4">
      <c r="J4521" s="140"/>
    </row>
    <row r="4522" spans="10:10" x14ac:dyDescent="0.4">
      <c r="J4522" s="140"/>
    </row>
    <row r="4523" spans="10:10" x14ac:dyDescent="0.4">
      <c r="J4523" s="140"/>
    </row>
    <row r="4524" spans="10:10" x14ac:dyDescent="0.4">
      <c r="J4524" s="140"/>
    </row>
    <row r="4525" spans="10:10" x14ac:dyDescent="0.4">
      <c r="J4525" s="140"/>
    </row>
    <row r="4526" spans="10:10" x14ac:dyDescent="0.4">
      <c r="J4526" s="140"/>
    </row>
    <row r="4527" spans="10:10" x14ac:dyDescent="0.4">
      <c r="J4527" s="140"/>
    </row>
    <row r="4528" spans="10:10" x14ac:dyDescent="0.4">
      <c r="J4528" s="140"/>
    </row>
    <row r="4529" spans="10:10" x14ac:dyDescent="0.4">
      <c r="J4529" s="140"/>
    </row>
    <row r="4530" spans="10:10" x14ac:dyDescent="0.4">
      <c r="J4530" s="140"/>
    </row>
    <row r="4531" spans="10:10" x14ac:dyDescent="0.4">
      <c r="J4531" s="140"/>
    </row>
    <row r="4532" spans="10:10" x14ac:dyDescent="0.4">
      <c r="J4532" s="140"/>
    </row>
    <row r="4533" spans="10:10" x14ac:dyDescent="0.4">
      <c r="J4533" s="140"/>
    </row>
    <row r="4534" spans="10:10" x14ac:dyDescent="0.4">
      <c r="J4534" s="140"/>
    </row>
    <row r="4535" spans="10:10" x14ac:dyDescent="0.4">
      <c r="J4535" s="140"/>
    </row>
    <row r="4536" spans="10:10" x14ac:dyDescent="0.4">
      <c r="J4536" s="140"/>
    </row>
    <row r="4537" spans="10:10" x14ac:dyDescent="0.4">
      <c r="J4537" s="140"/>
    </row>
    <row r="4538" spans="10:10" x14ac:dyDescent="0.4">
      <c r="J4538" s="140"/>
    </row>
    <row r="4539" spans="10:10" x14ac:dyDescent="0.4">
      <c r="J4539" s="140"/>
    </row>
    <row r="4540" spans="10:10" x14ac:dyDescent="0.4">
      <c r="J4540" s="140"/>
    </row>
    <row r="4541" spans="10:10" x14ac:dyDescent="0.4">
      <c r="J4541" s="140"/>
    </row>
    <row r="4542" spans="10:10" x14ac:dyDescent="0.4">
      <c r="J4542" s="140"/>
    </row>
    <row r="4543" spans="10:10" x14ac:dyDescent="0.4">
      <c r="J4543" s="140"/>
    </row>
    <row r="4544" spans="10:10" x14ac:dyDescent="0.4">
      <c r="J4544" s="140"/>
    </row>
    <row r="4545" spans="10:10" x14ac:dyDescent="0.4">
      <c r="J4545" s="140"/>
    </row>
    <row r="4546" spans="10:10" x14ac:dyDescent="0.4">
      <c r="J4546" s="140"/>
    </row>
    <row r="4547" spans="10:10" x14ac:dyDescent="0.4">
      <c r="J4547" s="140"/>
    </row>
    <row r="4548" spans="10:10" x14ac:dyDescent="0.4">
      <c r="J4548" s="140"/>
    </row>
    <row r="4549" spans="10:10" x14ac:dyDescent="0.4">
      <c r="J4549" s="140"/>
    </row>
    <row r="4550" spans="10:10" x14ac:dyDescent="0.4">
      <c r="J4550" s="140"/>
    </row>
    <row r="4551" spans="10:10" x14ac:dyDescent="0.4">
      <c r="J4551" s="140"/>
    </row>
    <row r="4552" spans="10:10" x14ac:dyDescent="0.4">
      <c r="J4552" s="140"/>
    </row>
    <row r="4553" spans="10:10" x14ac:dyDescent="0.4">
      <c r="J4553" s="140"/>
    </row>
    <row r="4554" spans="10:10" x14ac:dyDescent="0.4">
      <c r="J4554" s="140"/>
    </row>
    <row r="4555" spans="10:10" x14ac:dyDescent="0.4">
      <c r="J4555" s="140"/>
    </row>
    <row r="4556" spans="10:10" x14ac:dyDescent="0.4">
      <c r="J4556" s="140"/>
    </row>
    <row r="4557" spans="10:10" x14ac:dyDescent="0.4">
      <c r="J4557" s="140"/>
    </row>
    <row r="4558" spans="10:10" x14ac:dyDescent="0.4">
      <c r="J4558" s="140"/>
    </row>
    <row r="4559" spans="10:10" x14ac:dyDescent="0.4">
      <c r="J4559" s="140"/>
    </row>
    <row r="4560" spans="10:10" x14ac:dyDescent="0.4">
      <c r="J4560" s="140"/>
    </row>
    <row r="4561" spans="10:10" x14ac:dyDescent="0.4">
      <c r="J4561" s="140"/>
    </row>
    <row r="4562" spans="10:10" x14ac:dyDescent="0.4">
      <c r="J4562" s="140"/>
    </row>
    <row r="4563" spans="10:10" x14ac:dyDescent="0.4">
      <c r="J4563" s="140"/>
    </row>
    <row r="4564" spans="10:10" x14ac:dyDescent="0.4">
      <c r="J4564" s="140"/>
    </row>
    <row r="4565" spans="10:10" x14ac:dyDescent="0.4">
      <c r="J4565" s="140"/>
    </row>
    <row r="4566" spans="10:10" x14ac:dyDescent="0.4">
      <c r="J4566" s="140"/>
    </row>
    <row r="4567" spans="10:10" x14ac:dyDescent="0.4">
      <c r="J4567" s="140"/>
    </row>
    <row r="4568" spans="10:10" x14ac:dyDescent="0.4">
      <c r="J4568" s="140"/>
    </row>
    <row r="4569" spans="10:10" x14ac:dyDescent="0.4">
      <c r="J4569" s="140"/>
    </row>
    <row r="4570" spans="10:10" x14ac:dyDescent="0.4">
      <c r="J4570" s="140"/>
    </row>
    <row r="4571" spans="10:10" x14ac:dyDescent="0.4">
      <c r="J4571" s="140"/>
    </row>
    <row r="4572" spans="10:10" x14ac:dyDescent="0.4">
      <c r="J4572" s="140"/>
    </row>
    <row r="4573" spans="10:10" x14ac:dyDescent="0.4">
      <c r="J4573" s="140"/>
    </row>
    <row r="4574" spans="10:10" x14ac:dyDescent="0.4">
      <c r="J4574" s="140"/>
    </row>
    <row r="4575" spans="10:10" x14ac:dyDescent="0.4">
      <c r="J4575" s="140"/>
    </row>
    <row r="4576" spans="10:10" x14ac:dyDescent="0.4">
      <c r="J4576" s="140"/>
    </row>
    <row r="4577" spans="10:10" x14ac:dyDescent="0.4">
      <c r="J4577" s="140"/>
    </row>
    <row r="4578" spans="10:10" x14ac:dyDescent="0.4">
      <c r="J4578" s="140"/>
    </row>
    <row r="4579" spans="10:10" x14ac:dyDescent="0.4">
      <c r="J4579" s="140"/>
    </row>
    <row r="4580" spans="10:10" x14ac:dyDescent="0.4">
      <c r="J4580" s="140"/>
    </row>
    <row r="4581" spans="10:10" x14ac:dyDescent="0.4">
      <c r="J4581" s="140"/>
    </row>
    <row r="4582" spans="10:10" x14ac:dyDescent="0.4">
      <c r="J4582" s="140"/>
    </row>
    <row r="4583" spans="10:10" x14ac:dyDescent="0.4">
      <c r="J4583" s="140"/>
    </row>
    <row r="4584" spans="10:10" x14ac:dyDescent="0.4">
      <c r="J4584" s="140"/>
    </row>
    <row r="4585" spans="10:10" x14ac:dyDescent="0.4">
      <c r="J4585" s="140"/>
    </row>
    <row r="4586" spans="10:10" x14ac:dyDescent="0.4">
      <c r="J4586" s="140"/>
    </row>
    <row r="4587" spans="10:10" x14ac:dyDescent="0.4">
      <c r="J4587" s="140"/>
    </row>
    <row r="4588" spans="10:10" x14ac:dyDescent="0.4">
      <c r="J4588" s="140"/>
    </row>
    <row r="4589" spans="10:10" x14ac:dyDescent="0.4">
      <c r="J4589" s="140"/>
    </row>
    <row r="4590" spans="10:10" x14ac:dyDescent="0.4">
      <c r="J4590" s="140"/>
    </row>
    <row r="4591" spans="10:10" x14ac:dyDescent="0.4">
      <c r="J4591" s="140"/>
    </row>
    <row r="4592" spans="10:10" x14ac:dyDescent="0.4">
      <c r="J4592" s="140"/>
    </row>
    <row r="4593" spans="10:10" x14ac:dyDescent="0.4">
      <c r="J4593" s="140"/>
    </row>
    <row r="4594" spans="10:10" x14ac:dyDescent="0.4">
      <c r="J4594" s="140"/>
    </row>
    <row r="4595" spans="10:10" x14ac:dyDescent="0.4">
      <c r="J4595" s="140"/>
    </row>
    <row r="4596" spans="10:10" x14ac:dyDescent="0.4">
      <c r="J4596" s="140"/>
    </row>
    <row r="4597" spans="10:10" x14ac:dyDescent="0.4">
      <c r="J4597" s="140"/>
    </row>
    <row r="4598" spans="10:10" x14ac:dyDescent="0.4">
      <c r="J4598" s="140"/>
    </row>
    <row r="4599" spans="10:10" x14ac:dyDescent="0.4">
      <c r="J4599" s="140"/>
    </row>
    <row r="4600" spans="10:10" x14ac:dyDescent="0.4">
      <c r="J4600" s="140"/>
    </row>
    <row r="4601" spans="10:10" x14ac:dyDescent="0.4">
      <c r="J4601" s="140"/>
    </row>
    <row r="4602" spans="10:10" x14ac:dyDescent="0.4">
      <c r="J4602" s="140"/>
    </row>
    <row r="4603" spans="10:10" x14ac:dyDescent="0.4">
      <c r="J4603" s="140"/>
    </row>
    <row r="4604" spans="10:10" x14ac:dyDescent="0.4">
      <c r="J4604" s="140"/>
    </row>
    <row r="4605" spans="10:10" x14ac:dyDescent="0.4">
      <c r="J4605" s="140"/>
    </row>
    <row r="4606" spans="10:10" x14ac:dyDescent="0.4">
      <c r="J4606" s="140"/>
    </row>
    <row r="4607" spans="10:10" x14ac:dyDescent="0.4">
      <c r="J4607" s="140"/>
    </row>
    <row r="4608" spans="10:10" x14ac:dyDescent="0.4">
      <c r="J4608" s="140"/>
    </row>
    <row r="4609" spans="10:10" x14ac:dyDescent="0.4">
      <c r="J4609" s="140"/>
    </row>
    <row r="4610" spans="10:10" x14ac:dyDescent="0.4">
      <c r="J4610" s="140"/>
    </row>
    <row r="4611" spans="10:10" x14ac:dyDescent="0.4">
      <c r="J4611" s="140"/>
    </row>
    <row r="4612" spans="10:10" x14ac:dyDescent="0.4">
      <c r="J4612" s="140"/>
    </row>
    <row r="4613" spans="10:10" x14ac:dyDescent="0.4">
      <c r="J4613" s="140"/>
    </row>
    <row r="4614" spans="10:10" x14ac:dyDescent="0.4">
      <c r="J4614" s="140"/>
    </row>
    <row r="4615" spans="10:10" x14ac:dyDescent="0.4">
      <c r="J4615" s="140"/>
    </row>
    <row r="4616" spans="10:10" x14ac:dyDescent="0.4">
      <c r="J4616" s="140"/>
    </row>
    <row r="4617" spans="10:10" x14ac:dyDescent="0.4">
      <c r="J4617" s="140"/>
    </row>
    <row r="4618" spans="10:10" x14ac:dyDescent="0.4">
      <c r="J4618" s="140"/>
    </row>
    <row r="4619" spans="10:10" x14ac:dyDescent="0.4">
      <c r="J4619" s="140"/>
    </row>
    <row r="4620" spans="10:10" x14ac:dyDescent="0.4">
      <c r="J4620" s="140"/>
    </row>
    <row r="4621" spans="10:10" x14ac:dyDescent="0.4">
      <c r="J4621" s="140"/>
    </row>
    <row r="4622" spans="10:10" x14ac:dyDescent="0.4">
      <c r="J4622" s="140"/>
    </row>
    <row r="4623" spans="10:10" x14ac:dyDescent="0.4">
      <c r="J4623" s="140"/>
    </row>
    <row r="4624" spans="10:10" x14ac:dyDescent="0.4">
      <c r="J4624" s="140"/>
    </row>
    <row r="4625" spans="10:10" x14ac:dyDescent="0.4">
      <c r="J4625" s="140"/>
    </row>
    <row r="4626" spans="10:10" x14ac:dyDescent="0.4">
      <c r="J4626" s="140"/>
    </row>
    <row r="4627" spans="10:10" x14ac:dyDescent="0.4">
      <c r="J4627" s="140"/>
    </row>
    <row r="4628" spans="10:10" x14ac:dyDescent="0.4">
      <c r="J4628" s="140"/>
    </row>
    <row r="4629" spans="10:10" x14ac:dyDescent="0.4">
      <c r="J4629" s="140"/>
    </row>
    <row r="4630" spans="10:10" x14ac:dyDescent="0.4">
      <c r="J4630" s="140"/>
    </row>
    <row r="4631" spans="10:10" x14ac:dyDescent="0.4">
      <c r="J4631" s="140"/>
    </row>
    <row r="4632" spans="10:10" x14ac:dyDescent="0.4">
      <c r="J4632" s="140"/>
    </row>
    <row r="4633" spans="10:10" x14ac:dyDescent="0.4">
      <c r="J4633" s="140"/>
    </row>
    <row r="4634" spans="10:10" x14ac:dyDescent="0.4">
      <c r="J4634" s="140"/>
    </row>
    <row r="4635" spans="10:10" x14ac:dyDescent="0.4">
      <c r="J4635" s="140"/>
    </row>
    <row r="4636" spans="10:10" x14ac:dyDescent="0.4">
      <c r="J4636" s="140"/>
    </row>
    <row r="4637" spans="10:10" x14ac:dyDescent="0.4">
      <c r="J4637" s="140"/>
    </row>
    <row r="4638" spans="10:10" x14ac:dyDescent="0.4">
      <c r="J4638" s="140"/>
    </row>
    <row r="4639" spans="10:10" x14ac:dyDescent="0.4">
      <c r="J4639" s="140"/>
    </row>
    <row r="4640" spans="10:10" x14ac:dyDescent="0.4">
      <c r="J4640" s="140"/>
    </row>
    <row r="4641" spans="10:10" x14ac:dyDescent="0.4">
      <c r="J4641" s="140"/>
    </row>
    <row r="4642" spans="10:10" x14ac:dyDescent="0.4">
      <c r="J4642" s="140"/>
    </row>
    <row r="4643" spans="10:10" x14ac:dyDescent="0.4">
      <c r="J4643" s="140"/>
    </row>
    <row r="4644" spans="10:10" x14ac:dyDescent="0.4">
      <c r="J4644" s="140"/>
    </row>
    <row r="4645" spans="10:10" x14ac:dyDescent="0.4">
      <c r="J4645" s="140"/>
    </row>
    <row r="4646" spans="10:10" x14ac:dyDescent="0.4">
      <c r="J4646" s="140"/>
    </row>
    <row r="4647" spans="10:10" x14ac:dyDescent="0.4">
      <c r="J4647" s="140"/>
    </row>
    <row r="4648" spans="10:10" x14ac:dyDescent="0.4">
      <c r="J4648" s="140"/>
    </row>
    <row r="4649" spans="10:10" x14ac:dyDescent="0.4">
      <c r="J4649" s="140"/>
    </row>
    <row r="4650" spans="10:10" x14ac:dyDescent="0.4">
      <c r="J4650" s="140"/>
    </row>
    <row r="4651" spans="10:10" x14ac:dyDescent="0.4">
      <c r="J4651" s="140"/>
    </row>
    <row r="4652" spans="10:10" x14ac:dyDescent="0.4">
      <c r="J4652" s="140"/>
    </row>
    <row r="4653" spans="10:10" x14ac:dyDescent="0.4">
      <c r="J4653" s="140"/>
    </row>
    <row r="4654" spans="10:10" x14ac:dyDescent="0.4">
      <c r="J4654" s="140"/>
    </row>
    <row r="4655" spans="10:10" x14ac:dyDescent="0.4">
      <c r="J4655" s="140"/>
    </row>
    <row r="4656" spans="10:10" x14ac:dyDescent="0.4">
      <c r="J4656" s="140"/>
    </row>
    <row r="4657" spans="10:10" x14ac:dyDescent="0.4">
      <c r="J4657" s="140"/>
    </row>
    <row r="4658" spans="10:10" x14ac:dyDescent="0.4">
      <c r="J4658" s="140"/>
    </row>
    <row r="4659" spans="10:10" x14ac:dyDescent="0.4">
      <c r="J4659" s="140"/>
    </row>
    <row r="4660" spans="10:10" x14ac:dyDescent="0.4">
      <c r="J4660" s="140"/>
    </row>
    <row r="4661" spans="10:10" x14ac:dyDescent="0.4">
      <c r="J4661" s="140"/>
    </row>
    <row r="4662" spans="10:10" x14ac:dyDescent="0.4">
      <c r="J4662" s="140"/>
    </row>
    <row r="4663" spans="10:10" x14ac:dyDescent="0.4">
      <c r="J4663" s="140"/>
    </row>
    <row r="4664" spans="10:10" x14ac:dyDescent="0.4">
      <c r="J4664" s="140"/>
    </row>
    <row r="4665" spans="10:10" x14ac:dyDescent="0.4">
      <c r="J4665" s="140"/>
    </row>
    <row r="4666" spans="10:10" x14ac:dyDescent="0.4">
      <c r="J4666" s="140"/>
    </row>
    <row r="4667" spans="10:10" x14ac:dyDescent="0.4">
      <c r="J4667" s="140"/>
    </row>
    <row r="4668" spans="10:10" x14ac:dyDescent="0.4">
      <c r="J4668" s="140"/>
    </row>
    <row r="4669" spans="10:10" x14ac:dyDescent="0.4">
      <c r="J4669" s="140"/>
    </row>
    <row r="4670" spans="10:10" x14ac:dyDescent="0.4">
      <c r="J4670" s="140"/>
    </row>
    <row r="4671" spans="10:10" x14ac:dyDescent="0.4">
      <c r="J4671" s="140"/>
    </row>
    <row r="4672" spans="10:10" x14ac:dyDescent="0.4">
      <c r="J4672" s="140"/>
    </row>
    <row r="4673" spans="10:10" x14ac:dyDescent="0.4">
      <c r="J4673" s="140"/>
    </row>
    <row r="4674" spans="10:10" x14ac:dyDescent="0.4">
      <c r="J4674" s="140"/>
    </row>
    <row r="4675" spans="10:10" x14ac:dyDescent="0.4">
      <c r="J4675" s="140"/>
    </row>
    <row r="4676" spans="10:10" x14ac:dyDescent="0.4">
      <c r="J4676" s="140"/>
    </row>
    <row r="4677" spans="10:10" x14ac:dyDescent="0.4">
      <c r="J4677" s="140"/>
    </row>
    <row r="4678" spans="10:10" x14ac:dyDescent="0.4">
      <c r="J4678" s="140"/>
    </row>
    <row r="4679" spans="10:10" x14ac:dyDescent="0.4">
      <c r="J4679" s="140"/>
    </row>
    <row r="4680" spans="10:10" x14ac:dyDescent="0.4">
      <c r="J4680" s="140"/>
    </row>
    <row r="4681" spans="10:10" x14ac:dyDescent="0.4">
      <c r="J4681" s="140"/>
    </row>
    <row r="4682" spans="10:10" x14ac:dyDescent="0.4">
      <c r="J4682" s="140"/>
    </row>
    <row r="4683" spans="10:10" x14ac:dyDescent="0.4">
      <c r="J4683" s="140"/>
    </row>
    <row r="4684" spans="10:10" x14ac:dyDescent="0.4">
      <c r="J4684" s="140"/>
    </row>
    <row r="4685" spans="10:10" x14ac:dyDescent="0.4">
      <c r="J4685" s="140"/>
    </row>
    <row r="4686" spans="10:10" x14ac:dyDescent="0.4">
      <c r="J4686" s="140"/>
    </row>
    <row r="4687" spans="10:10" x14ac:dyDescent="0.4">
      <c r="J4687" s="140"/>
    </row>
    <row r="4688" spans="10:10" x14ac:dyDescent="0.4">
      <c r="J4688" s="140"/>
    </row>
    <row r="4689" spans="10:10" x14ac:dyDescent="0.4">
      <c r="J4689" s="140"/>
    </row>
    <row r="4690" spans="10:10" x14ac:dyDescent="0.4">
      <c r="J4690" s="140"/>
    </row>
    <row r="4691" spans="10:10" x14ac:dyDescent="0.4">
      <c r="J4691" s="140"/>
    </row>
    <row r="4692" spans="10:10" x14ac:dyDescent="0.4">
      <c r="J4692" s="140"/>
    </row>
    <row r="4693" spans="10:10" x14ac:dyDescent="0.4">
      <c r="J4693" s="140"/>
    </row>
    <row r="4694" spans="10:10" x14ac:dyDescent="0.4">
      <c r="J4694" s="140"/>
    </row>
    <row r="4695" spans="10:10" x14ac:dyDescent="0.4">
      <c r="J4695" s="140"/>
    </row>
    <row r="4696" spans="10:10" x14ac:dyDescent="0.4">
      <c r="J4696" s="140"/>
    </row>
    <row r="4697" spans="10:10" x14ac:dyDescent="0.4">
      <c r="J4697" s="140"/>
    </row>
    <row r="4698" spans="10:10" x14ac:dyDescent="0.4">
      <c r="J4698" s="140"/>
    </row>
    <row r="4699" spans="10:10" x14ac:dyDescent="0.4">
      <c r="J4699" s="140"/>
    </row>
    <row r="4700" spans="10:10" x14ac:dyDescent="0.4">
      <c r="J4700" s="140"/>
    </row>
    <row r="4701" spans="10:10" x14ac:dyDescent="0.4">
      <c r="J4701" s="140"/>
    </row>
    <row r="4702" spans="10:10" x14ac:dyDescent="0.4">
      <c r="J4702" s="140"/>
    </row>
    <row r="4703" spans="10:10" x14ac:dyDescent="0.4">
      <c r="J4703" s="140"/>
    </row>
    <row r="4704" spans="10:10" x14ac:dyDescent="0.4">
      <c r="J4704" s="140"/>
    </row>
    <row r="4705" spans="10:10" x14ac:dyDescent="0.4">
      <c r="J4705" s="140"/>
    </row>
    <row r="4706" spans="10:10" x14ac:dyDescent="0.4">
      <c r="J4706" s="140"/>
    </row>
    <row r="4707" spans="10:10" x14ac:dyDescent="0.4">
      <c r="J4707" s="140"/>
    </row>
    <row r="4708" spans="10:10" x14ac:dyDescent="0.4">
      <c r="J4708" s="140"/>
    </row>
    <row r="4709" spans="10:10" x14ac:dyDescent="0.4">
      <c r="J4709" s="140"/>
    </row>
    <row r="4710" spans="10:10" x14ac:dyDescent="0.4">
      <c r="J4710" s="140"/>
    </row>
    <row r="4711" spans="10:10" x14ac:dyDescent="0.4">
      <c r="J4711" s="140"/>
    </row>
    <row r="4712" spans="10:10" x14ac:dyDescent="0.4">
      <c r="J4712" s="140"/>
    </row>
    <row r="4713" spans="10:10" x14ac:dyDescent="0.4">
      <c r="J4713" s="140"/>
    </row>
    <row r="4714" spans="10:10" x14ac:dyDescent="0.4">
      <c r="J4714" s="140"/>
    </row>
    <row r="4715" spans="10:10" x14ac:dyDescent="0.4">
      <c r="J4715" s="140"/>
    </row>
    <row r="4716" spans="10:10" x14ac:dyDescent="0.4">
      <c r="J4716" s="140"/>
    </row>
    <row r="4717" spans="10:10" x14ac:dyDescent="0.4">
      <c r="J4717" s="140"/>
    </row>
    <row r="4718" spans="10:10" x14ac:dyDescent="0.4">
      <c r="J4718" s="140"/>
    </row>
    <row r="4719" spans="10:10" x14ac:dyDescent="0.4">
      <c r="J4719" s="140"/>
    </row>
    <row r="4720" spans="10:10" x14ac:dyDescent="0.4">
      <c r="J4720" s="140"/>
    </row>
    <row r="4721" spans="10:10" x14ac:dyDescent="0.4">
      <c r="J4721" s="140"/>
    </row>
    <row r="4722" spans="10:10" x14ac:dyDescent="0.4">
      <c r="J4722" s="140"/>
    </row>
    <row r="4723" spans="10:10" x14ac:dyDescent="0.4">
      <c r="J4723" s="140"/>
    </row>
    <row r="4724" spans="10:10" x14ac:dyDescent="0.4">
      <c r="J4724" s="140"/>
    </row>
    <row r="4725" spans="10:10" x14ac:dyDescent="0.4">
      <c r="J4725" s="140"/>
    </row>
    <row r="4726" spans="10:10" x14ac:dyDescent="0.4">
      <c r="J4726" s="140"/>
    </row>
    <row r="4727" spans="10:10" x14ac:dyDescent="0.4">
      <c r="J4727" s="140"/>
    </row>
    <row r="4728" spans="10:10" x14ac:dyDescent="0.4">
      <c r="J4728" s="140"/>
    </row>
    <row r="4729" spans="10:10" x14ac:dyDescent="0.4">
      <c r="J4729" s="140"/>
    </row>
    <row r="4730" spans="10:10" x14ac:dyDescent="0.4">
      <c r="J4730" s="140"/>
    </row>
    <row r="4731" spans="10:10" x14ac:dyDescent="0.4">
      <c r="J4731" s="140"/>
    </row>
    <row r="4732" spans="10:10" x14ac:dyDescent="0.4">
      <c r="J4732" s="140"/>
    </row>
    <row r="4733" spans="10:10" x14ac:dyDescent="0.4">
      <c r="J4733" s="140"/>
    </row>
    <row r="4734" spans="10:10" x14ac:dyDescent="0.4">
      <c r="J4734" s="140"/>
    </row>
    <row r="4735" spans="10:10" x14ac:dyDescent="0.4">
      <c r="J4735" s="140"/>
    </row>
    <row r="4736" spans="10:10" x14ac:dyDescent="0.4">
      <c r="J4736" s="140"/>
    </row>
    <row r="4737" spans="10:10" x14ac:dyDescent="0.4">
      <c r="J4737" s="140"/>
    </row>
    <row r="4738" spans="10:10" x14ac:dyDescent="0.4">
      <c r="J4738" s="140"/>
    </row>
    <row r="4739" spans="10:10" x14ac:dyDescent="0.4">
      <c r="J4739" s="140"/>
    </row>
    <row r="4740" spans="10:10" x14ac:dyDescent="0.4">
      <c r="J4740" s="140"/>
    </row>
    <row r="4741" spans="10:10" x14ac:dyDescent="0.4">
      <c r="J4741" s="140"/>
    </row>
    <row r="4742" spans="10:10" x14ac:dyDescent="0.4">
      <c r="J4742" s="140"/>
    </row>
    <row r="4743" spans="10:10" x14ac:dyDescent="0.4">
      <c r="J4743" s="140"/>
    </row>
    <row r="4744" spans="10:10" x14ac:dyDescent="0.4">
      <c r="J4744" s="140"/>
    </row>
    <row r="4745" spans="10:10" x14ac:dyDescent="0.4">
      <c r="J4745" s="140"/>
    </row>
    <row r="4746" spans="10:10" x14ac:dyDescent="0.4">
      <c r="J4746" s="140"/>
    </row>
    <row r="4747" spans="10:10" x14ac:dyDescent="0.4">
      <c r="J4747" s="140"/>
    </row>
    <row r="4748" spans="10:10" x14ac:dyDescent="0.4">
      <c r="J4748" s="140"/>
    </row>
    <row r="4749" spans="10:10" x14ac:dyDescent="0.4">
      <c r="J4749" s="140"/>
    </row>
    <row r="4750" spans="10:10" x14ac:dyDescent="0.4">
      <c r="J4750" s="140"/>
    </row>
    <row r="4751" spans="10:10" x14ac:dyDescent="0.4">
      <c r="J4751" s="140"/>
    </row>
    <row r="4752" spans="10:10" x14ac:dyDescent="0.4">
      <c r="J4752" s="140"/>
    </row>
    <row r="4753" spans="10:10" x14ac:dyDescent="0.4">
      <c r="J4753" s="140"/>
    </row>
    <row r="4754" spans="10:10" x14ac:dyDescent="0.4">
      <c r="J4754" s="140"/>
    </row>
    <row r="4755" spans="10:10" x14ac:dyDescent="0.4">
      <c r="J4755" s="140"/>
    </row>
    <row r="4756" spans="10:10" x14ac:dyDescent="0.4">
      <c r="J4756" s="140"/>
    </row>
    <row r="4757" spans="10:10" x14ac:dyDescent="0.4">
      <c r="J4757" s="140"/>
    </row>
    <row r="4758" spans="10:10" x14ac:dyDescent="0.4">
      <c r="J4758" s="140"/>
    </row>
    <row r="4759" spans="10:10" x14ac:dyDescent="0.4">
      <c r="J4759" s="140"/>
    </row>
    <row r="4760" spans="10:10" x14ac:dyDescent="0.4">
      <c r="J4760" s="140"/>
    </row>
    <row r="4761" spans="10:10" x14ac:dyDescent="0.4">
      <c r="J4761" s="140"/>
    </row>
    <row r="4762" spans="10:10" x14ac:dyDescent="0.4">
      <c r="J4762" s="140"/>
    </row>
    <row r="4763" spans="10:10" x14ac:dyDescent="0.4">
      <c r="J4763" s="140"/>
    </row>
    <row r="4764" spans="10:10" x14ac:dyDescent="0.4">
      <c r="J4764" s="140"/>
    </row>
    <row r="4765" spans="10:10" x14ac:dyDescent="0.4">
      <c r="J4765" s="140"/>
    </row>
    <row r="4766" spans="10:10" x14ac:dyDescent="0.4">
      <c r="J4766" s="140"/>
    </row>
    <row r="4767" spans="10:10" x14ac:dyDescent="0.4">
      <c r="J4767" s="140"/>
    </row>
    <row r="4768" spans="10:10" x14ac:dyDescent="0.4">
      <c r="J4768" s="140"/>
    </row>
    <row r="4769" spans="10:10" x14ac:dyDescent="0.4">
      <c r="J4769" s="140"/>
    </row>
    <row r="4770" spans="10:10" x14ac:dyDescent="0.4">
      <c r="J4770" s="140"/>
    </row>
    <row r="4771" spans="10:10" x14ac:dyDescent="0.4">
      <c r="J4771" s="140"/>
    </row>
    <row r="4772" spans="10:10" x14ac:dyDescent="0.4">
      <c r="J4772" s="140"/>
    </row>
    <row r="4773" spans="10:10" x14ac:dyDescent="0.4">
      <c r="J4773" s="140"/>
    </row>
    <row r="4774" spans="10:10" x14ac:dyDescent="0.4">
      <c r="J4774" s="140"/>
    </row>
    <row r="4775" spans="10:10" x14ac:dyDescent="0.4">
      <c r="J4775" s="140"/>
    </row>
    <row r="4776" spans="10:10" x14ac:dyDescent="0.4">
      <c r="J4776" s="140"/>
    </row>
    <row r="4777" spans="10:10" x14ac:dyDescent="0.4">
      <c r="J4777" s="140"/>
    </row>
    <row r="4778" spans="10:10" x14ac:dyDescent="0.4">
      <c r="J4778" s="140"/>
    </row>
    <row r="4779" spans="10:10" x14ac:dyDescent="0.4">
      <c r="J4779" s="140"/>
    </row>
    <row r="4780" spans="10:10" x14ac:dyDescent="0.4">
      <c r="J4780" s="140"/>
    </row>
    <row r="4781" spans="10:10" x14ac:dyDescent="0.4">
      <c r="J4781" s="140"/>
    </row>
    <row r="4782" spans="10:10" x14ac:dyDescent="0.4">
      <c r="J4782" s="140"/>
    </row>
    <row r="4783" spans="10:10" x14ac:dyDescent="0.4">
      <c r="J4783" s="140"/>
    </row>
    <row r="4784" spans="10:10" x14ac:dyDescent="0.4">
      <c r="J4784" s="140"/>
    </row>
    <row r="4785" spans="10:10" x14ac:dyDescent="0.4">
      <c r="J4785" s="140"/>
    </row>
    <row r="4786" spans="10:10" x14ac:dyDescent="0.4">
      <c r="J4786" s="140"/>
    </row>
    <row r="4787" spans="10:10" x14ac:dyDescent="0.4">
      <c r="J4787" s="140"/>
    </row>
    <row r="4788" spans="10:10" x14ac:dyDescent="0.4">
      <c r="J4788" s="140"/>
    </row>
    <row r="4789" spans="10:10" x14ac:dyDescent="0.4">
      <c r="J4789" s="140"/>
    </row>
    <row r="4790" spans="10:10" x14ac:dyDescent="0.4">
      <c r="J4790" s="140"/>
    </row>
    <row r="4791" spans="10:10" x14ac:dyDescent="0.4">
      <c r="J4791" s="140"/>
    </row>
    <row r="4792" spans="10:10" x14ac:dyDescent="0.4">
      <c r="J4792" s="140"/>
    </row>
    <row r="4793" spans="10:10" x14ac:dyDescent="0.4">
      <c r="J4793" s="140"/>
    </row>
    <row r="4794" spans="10:10" x14ac:dyDescent="0.4">
      <c r="J4794" s="140"/>
    </row>
    <row r="4795" spans="10:10" x14ac:dyDescent="0.4">
      <c r="J4795" s="140"/>
    </row>
    <row r="4796" spans="10:10" x14ac:dyDescent="0.4">
      <c r="J4796" s="140"/>
    </row>
    <row r="4797" spans="10:10" x14ac:dyDescent="0.4">
      <c r="J4797" s="140"/>
    </row>
    <row r="4798" spans="10:10" x14ac:dyDescent="0.4">
      <c r="J4798" s="140"/>
    </row>
    <row r="4799" spans="10:10" x14ac:dyDescent="0.4">
      <c r="J4799" s="140"/>
    </row>
    <row r="4800" spans="10:10" x14ac:dyDescent="0.4">
      <c r="J4800" s="140"/>
    </row>
    <row r="4801" spans="10:10" x14ac:dyDescent="0.4">
      <c r="J4801" s="140"/>
    </row>
    <row r="4802" spans="10:10" x14ac:dyDescent="0.4">
      <c r="J4802" s="140"/>
    </row>
    <row r="4803" spans="10:10" x14ac:dyDescent="0.4">
      <c r="J4803" s="140"/>
    </row>
    <row r="4804" spans="10:10" x14ac:dyDescent="0.4">
      <c r="J4804" s="140"/>
    </row>
    <row r="4805" spans="10:10" x14ac:dyDescent="0.4">
      <c r="J4805" s="140"/>
    </row>
    <row r="4806" spans="10:10" x14ac:dyDescent="0.4">
      <c r="J4806" s="140"/>
    </row>
    <row r="4807" spans="10:10" x14ac:dyDescent="0.4">
      <c r="J4807" s="140"/>
    </row>
    <row r="4808" spans="10:10" x14ac:dyDescent="0.4">
      <c r="J4808" s="140"/>
    </row>
    <row r="4809" spans="10:10" x14ac:dyDescent="0.4">
      <c r="J4809" s="140"/>
    </row>
    <row r="4810" spans="10:10" x14ac:dyDescent="0.4">
      <c r="J4810" s="140"/>
    </row>
    <row r="4811" spans="10:10" x14ac:dyDescent="0.4">
      <c r="J4811" s="140"/>
    </row>
    <row r="4812" spans="10:10" x14ac:dyDescent="0.4">
      <c r="J4812" s="140"/>
    </row>
    <row r="4813" spans="10:10" x14ac:dyDescent="0.4">
      <c r="J4813" s="140"/>
    </row>
    <row r="4814" spans="10:10" x14ac:dyDescent="0.4">
      <c r="J4814" s="140"/>
    </row>
    <row r="4815" spans="10:10" x14ac:dyDescent="0.4">
      <c r="J4815" s="140"/>
    </row>
    <row r="4816" spans="10:10" x14ac:dyDescent="0.4">
      <c r="J4816" s="140"/>
    </row>
    <row r="4817" spans="10:10" x14ac:dyDescent="0.4">
      <c r="J4817" s="140"/>
    </row>
    <row r="4818" spans="10:10" x14ac:dyDescent="0.4">
      <c r="J4818" s="140"/>
    </row>
    <row r="4819" spans="10:10" x14ac:dyDescent="0.4">
      <c r="J4819" s="140"/>
    </row>
    <row r="4820" spans="10:10" x14ac:dyDescent="0.4">
      <c r="J4820" s="140"/>
    </row>
    <row r="4821" spans="10:10" x14ac:dyDescent="0.4">
      <c r="J4821" s="140"/>
    </row>
    <row r="4822" spans="10:10" x14ac:dyDescent="0.4">
      <c r="J4822" s="140"/>
    </row>
    <row r="4823" spans="10:10" x14ac:dyDescent="0.4">
      <c r="J4823" s="140"/>
    </row>
    <row r="4824" spans="10:10" x14ac:dyDescent="0.4">
      <c r="J4824" s="140"/>
    </row>
    <row r="4825" spans="10:10" x14ac:dyDescent="0.4">
      <c r="J4825" s="140"/>
    </row>
    <row r="4826" spans="10:10" x14ac:dyDescent="0.4">
      <c r="J4826" s="140"/>
    </row>
    <row r="4827" spans="10:10" x14ac:dyDescent="0.4">
      <c r="J4827" s="140"/>
    </row>
    <row r="4828" spans="10:10" x14ac:dyDescent="0.4">
      <c r="J4828" s="140"/>
    </row>
    <row r="4829" spans="10:10" x14ac:dyDescent="0.4">
      <c r="J4829" s="140"/>
    </row>
    <row r="4830" spans="10:10" x14ac:dyDescent="0.4">
      <c r="J4830" s="140"/>
    </row>
    <row r="4831" spans="10:10" x14ac:dyDescent="0.4">
      <c r="J4831" s="140"/>
    </row>
    <row r="4832" spans="10:10" x14ac:dyDescent="0.4">
      <c r="J4832" s="140"/>
    </row>
    <row r="4833" spans="10:10" x14ac:dyDescent="0.4">
      <c r="J4833" s="140"/>
    </row>
    <row r="4834" spans="10:10" x14ac:dyDescent="0.4">
      <c r="J4834" s="140"/>
    </row>
    <row r="4835" spans="10:10" x14ac:dyDescent="0.4">
      <c r="J4835" s="140"/>
    </row>
    <row r="4836" spans="10:10" x14ac:dyDescent="0.4">
      <c r="J4836" s="140"/>
    </row>
    <row r="4837" spans="10:10" x14ac:dyDescent="0.4">
      <c r="J4837" s="140"/>
    </row>
    <row r="4838" spans="10:10" x14ac:dyDescent="0.4">
      <c r="J4838" s="140"/>
    </row>
    <row r="4839" spans="10:10" x14ac:dyDescent="0.4">
      <c r="J4839" s="140"/>
    </row>
    <row r="4840" spans="10:10" x14ac:dyDescent="0.4">
      <c r="J4840" s="140"/>
    </row>
    <row r="4841" spans="10:10" x14ac:dyDescent="0.4">
      <c r="J4841" s="140"/>
    </row>
    <row r="4842" spans="10:10" x14ac:dyDescent="0.4">
      <c r="J4842" s="140"/>
    </row>
    <row r="4843" spans="10:10" x14ac:dyDescent="0.4">
      <c r="J4843" s="140"/>
    </row>
    <row r="4844" spans="10:10" x14ac:dyDescent="0.4">
      <c r="J4844" s="140"/>
    </row>
    <row r="4845" spans="10:10" x14ac:dyDescent="0.4">
      <c r="J4845" s="140"/>
    </row>
    <row r="4846" spans="10:10" x14ac:dyDescent="0.4">
      <c r="J4846" s="140"/>
    </row>
    <row r="4847" spans="10:10" x14ac:dyDescent="0.4">
      <c r="J4847" s="140"/>
    </row>
    <row r="4848" spans="10:10" x14ac:dyDescent="0.4">
      <c r="J4848" s="140"/>
    </row>
    <row r="4849" spans="10:10" x14ac:dyDescent="0.4">
      <c r="J4849" s="140"/>
    </row>
    <row r="4850" spans="10:10" x14ac:dyDescent="0.4">
      <c r="J4850" s="140"/>
    </row>
    <row r="4851" spans="10:10" x14ac:dyDescent="0.4">
      <c r="J4851" s="140"/>
    </row>
    <row r="4852" spans="10:10" x14ac:dyDescent="0.4">
      <c r="J4852" s="140"/>
    </row>
    <row r="4853" spans="10:10" x14ac:dyDescent="0.4">
      <c r="J4853" s="140"/>
    </row>
    <row r="4854" spans="10:10" x14ac:dyDescent="0.4">
      <c r="J4854" s="140"/>
    </row>
    <row r="4855" spans="10:10" x14ac:dyDescent="0.4">
      <c r="J4855" s="140"/>
    </row>
    <row r="4856" spans="10:10" x14ac:dyDescent="0.4">
      <c r="J4856" s="140"/>
    </row>
    <row r="4857" spans="10:10" x14ac:dyDescent="0.4">
      <c r="J4857" s="140"/>
    </row>
    <row r="4858" spans="10:10" x14ac:dyDescent="0.4">
      <c r="J4858" s="140"/>
    </row>
    <row r="4859" spans="10:10" x14ac:dyDescent="0.4">
      <c r="J4859" s="140"/>
    </row>
    <row r="4860" spans="10:10" x14ac:dyDescent="0.4">
      <c r="J4860" s="140"/>
    </row>
    <row r="4861" spans="10:10" x14ac:dyDescent="0.4">
      <c r="J4861" s="140"/>
    </row>
    <row r="4862" spans="10:10" x14ac:dyDescent="0.4">
      <c r="J4862" s="140"/>
    </row>
    <row r="4863" spans="10:10" x14ac:dyDescent="0.4">
      <c r="J4863" s="140"/>
    </row>
    <row r="4864" spans="10:10" x14ac:dyDescent="0.4">
      <c r="J4864" s="140"/>
    </row>
    <row r="4865" spans="10:10" x14ac:dyDescent="0.4">
      <c r="J4865" s="140"/>
    </row>
    <row r="4866" spans="10:10" x14ac:dyDescent="0.4">
      <c r="J4866" s="140"/>
    </row>
    <row r="4867" spans="10:10" x14ac:dyDescent="0.4">
      <c r="J4867" s="140"/>
    </row>
    <row r="4868" spans="10:10" x14ac:dyDescent="0.4">
      <c r="J4868" s="140"/>
    </row>
    <row r="4869" spans="10:10" x14ac:dyDescent="0.4">
      <c r="J4869" s="140"/>
    </row>
    <row r="4870" spans="10:10" x14ac:dyDescent="0.4">
      <c r="J4870" s="140"/>
    </row>
    <row r="4871" spans="10:10" x14ac:dyDescent="0.4">
      <c r="J4871" s="140"/>
    </row>
    <row r="4872" spans="10:10" x14ac:dyDescent="0.4">
      <c r="J4872" s="140"/>
    </row>
    <row r="4873" spans="10:10" x14ac:dyDescent="0.4">
      <c r="J4873" s="140"/>
    </row>
    <row r="4874" spans="10:10" x14ac:dyDescent="0.4">
      <c r="J4874" s="140"/>
    </row>
    <row r="4875" spans="10:10" x14ac:dyDescent="0.4">
      <c r="J4875" s="140"/>
    </row>
    <row r="4876" spans="10:10" x14ac:dyDescent="0.4">
      <c r="J4876" s="140"/>
    </row>
    <row r="4877" spans="10:10" x14ac:dyDescent="0.4">
      <c r="J4877" s="140"/>
    </row>
    <row r="4878" spans="10:10" x14ac:dyDescent="0.4">
      <c r="J4878" s="140"/>
    </row>
    <row r="4879" spans="10:10" x14ac:dyDescent="0.4">
      <c r="J4879" s="140"/>
    </row>
    <row r="4880" spans="10:10" x14ac:dyDescent="0.4">
      <c r="J4880" s="140"/>
    </row>
    <row r="4881" spans="10:10" x14ac:dyDescent="0.4">
      <c r="J4881" s="140"/>
    </row>
    <row r="4882" spans="10:10" x14ac:dyDescent="0.4">
      <c r="J4882" s="140"/>
    </row>
    <row r="4883" spans="10:10" x14ac:dyDescent="0.4">
      <c r="J4883" s="140"/>
    </row>
    <row r="4884" spans="10:10" x14ac:dyDescent="0.4">
      <c r="J4884" s="140"/>
    </row>
    <row r="4885" spans="10:10" x14ac:dyDescent="0.4">
      <c r="J4885" s="140"/>
    </row>
    <row r="4886" spans="10:10" x14ac:dyDescent="0.4">
      <c r="J4886" s="140"/>
    </row>
    <row r="4887" spans="10:10" x14ac:dyDescent="0.4">
      <c r="J4887" s="140"/>
    </row>
    <row r="4888" spans="10:10" x14ac:dyDescent="0.4">
      <c r="J4888" s="140"/>
    </row>
    <row r="4889" spans="10:10" x14ac:dyDescent="0.4">
      <c r="J4889" s="140"/>
    </row>
    <row r="4890" spans="10:10" x14ac:dyDescent="0.4">
      <c r="J4890" s="140"/>
    </row>
    <row r="4891" spans="10:10" x14ac:dyDescent="0.4">
      <c r="J4891" s="140"/>
    </row>
    <row r="4892" spans="10:10" x14ac:dyDescent="0.4">
      <c r="J4892" s="140"/>
    </row>
    <row r="4893" spans="10:10" x14ac:dyDescent="0.4">
      <c r="J4893" s="140"/>
    </row>
    <row r="4894" spans="10:10" x14ac:dyDescent="0.4">
      <c r="J4894" s="140"/>
    </row>
    <row r="4895" spans="10:10" x14ac:dyDescent="0.4">
      <c r="J4895" s="140"/>
    </row>
    <row r="4896" spans="10:10" x14ac:dyDescent="0.4">
      <c r="J4896" s="140"/>
    </row>
    <row r="4897" spans="10:10" x14ac:dyDescent="0.4">
      <c r="J4897" s="140"/>
    </row>
    <row r="4898" spans="10:10" x14ac:dyDescent="0.4">
      <c r="J4898" s="140"/>
    </row>
    <row r="4899" spans="10:10" x14ac:dyDescent="0.4">
      <c r="J4899" s="140"/>
    </row>
    <row r="4900" spans="10:10" x14ac:dyDescent="0.4">
      <c r="J4900" s="140"/>
    </row>
    <row r="4901" spans="10:10" x14ac:dyDescent="0.4">
      <c r="J4901" s="140"/>
    </row>
    <row r="4902" spans="10:10" x14ac:dyDescent="0.4">
      <c r="J4902" s="140"/>
    </row>
    <row r="4903" spans="10:10" x14ac:dyDescent="0.4">
      <c r="J4903" s="140"/>
    </row>
    <row r="4904" spans="10:10" x14ac:dyDescent="0.4">
      <c r="J4904" s="140"/>
    </row>
    <row r="4905" spans="10:10" x14ac:dyDescent="0.4">
      <c r="J4905" s="140"/>
    </row>
    <row r="4906" spans="10:10" x14ac:dyDescent="0.4">
      <c r="J4906" s="140"/>
    </row>
    <row r="4907" spans="10:10" x14ac:dyDescent="0.4">
      <c r="J4907" s="140"/>
    </row>
    <row r="4908" spans="10:10" x14ac:dyDescent="0.4">
      <c r="J4908" s="140"/>
    </row>
    <row r="4909" spans="10:10" x14ac:dyDescent="0.4">
      <c r="J4909" s="140"/>
    </row>
    <row r="4910" spans="10:10" x14ac:dyDescent="0.4">
      <c r="J4910" s="140"/>
    </row>
    <row r="4911" spans="10:10" x14ac:dyDescent="0.4">
      <c r="J4911" s="140"/>
    </row>
    <row r="4912" spans="10:10" x14ac:dyDescent="0.4">
      <c r="J4912" s="140"/>
    </row>
    <row r="4913" spans="10:10" x14ac:dyDescent="0.4">
      <c r="J4913" s="140"/>
    </row>
    <row r="4914" spans="10:10" x14ac:dyDescent="0.4">
      <c r="J4914" s="140"/>
    </row>
    <row r="4915" spans="10:10" x14ac:dyDescent="0.4">
      <c r="J4915" s="140"/>
    </row>
    <row r="4916" spans="10:10" x14ac:dyDescent="0.4">
      <c r="J4916" s="140"/>
    </row>
    <row r="4917" spans="10:10" x14ac:dyDescent="0.4">
      <c r="J4917" s="140"/>
    </row>
    <row r="4918" spans="10:10" x14ac:dyDescent="0.4">
      <c r="J4918" s="140"/>
    </row>
    <row r="4919" spans="10:10" x14ac:dyDescent="0.4">
      <c r="J4919" s="140"/>
    </row>
    <row r="4920" spans="10:10" x14ac:dyDescent="0.4">
      <c r="J4920" s="140"/>
    </row>
    <row r="4921" spans="10:10" x14ac:dyDescent="0.4">
      <c r="J4921" s="140"/>
    </row>
    <row r="4922" spans="10:10" x14ac:dyDescent="0.4">
      <c r="J4922" s="140"/>
    </row>
    <row r="4923" spans="10:10" x14ac:dyDescent="0.4">
      <c r="J4923" s="140"/>
    </row>
    <row r="4924" spans="10:10" x14ac:dyDescent="0.4">
      <c r="J4924" s="140"/>
    </row>
    <row r="4925" spans="10:10" x14ac:dyDescent="0.4">
      <c r="J4925" s="140"/>
    </row>
    <row r="4926" spans="10:10" x14ac:dyDescent="0.4">
      <c r="J4926" s="140"/>
    </row>
    <row r="4927" spans="10:10" x14ac:dyDescent="0.4">
      <c r="J4927" s="140"/>
    </row>
    <row r="4928" spans="10:10" x14ac:dyDescent="0.4">
      <c r="J4928" s="140"/>
    </row>
    <row r="4929" spans="10:10" x14ac:dyDescent="0.4">
      <c r="J4929" s="140"/>
    </row>
    <row r="4930" spans="10:10" x14ac:dyDescent="0.4">
      <c r="J4930" s="140"/>
    </row>
    <row r="4931" spans="10:10" x14ac:dyDescent="0.4">
      <c r="J4931" s="140"/>
    </row>
    <row r="4932" spans="10:10" x14ac:dyDescent="0.4">
      <c r="J4932" s="140"/>
    </row>
    <row r="4933" spans="10:10" x14ac:dyDescent="0.4">
      <c r="J4933" s="140"/>
    </row>
    <row r="4934" spans="10:10" x14ac:dyDescent="0.4">
      <c r="J4934" s="140"/>
    </row>
    <row r="4935" spans="10:10" x14ac:dyDescent="0.4">
      <c r="J4935" s="140"/>
    </row>
    <row r="4936" spans="10:10" x14ac:dyDescent="0.4">
      <c r="J4936" s="140"/>
    </row>
    <row r="4937" spans="10:10" x14ac:dyDescent="0.4">
      <c r="J4937" s="140"/>
    </row>
    <row r="4938" spans="10:10" x14ac:dyDescent="0.4">
      <c r="J4938" s="140"/>
    </row>
    <row r="4939" spans="10:10" x14ac:dyDescent="0.4">
      <c r="J4939" s="140"/>
    </row>
    <row r="4940" spans="10:10" x14ac:dyDescent="0.4">
      <c r="J4940" s="140"/>
    </row>
    <row r="4941" spans="10:10" x14ac:dyDescent="0.4">
      <c r="J4941" s="140"/>
    </row>
    <row r="4942" spans="10:10" x14ac:dyDescent="0.4">
      <c r="J4942" s="140"/>
    </row>
    <row r="4943" spans="10:10" x14ac:dyDescent="0.4">
      <c r="J4943" s="140"/>
    </row>
    <row r="4944" spans="10:10" x14ac:dyDescent="0.4">
      <c r="J4944" s="140"/>
    </row>
    <row r="4945" spans="10:10" x14ac:dyDescent="0.4">
      <c r="J4945" s="140"/>
    </row>
    <row r="4946" spans="10:10" x14ac:dyDescent="0.4">
      <c r="J4946" s="140"/>
    </row>
    <row r="4947" spans="10:10" x14ac:dyDescent="0.4">
      <c r="J4947" s="140"/>
    </row>
    <row r="4948" spans="10:10" x14ac:dyDescent="0.4">
      <c r="J4948" s="140"/>
    </row>
    <row r="4949" spans="10:10" x14ac:dyDescent="0.4">
      <c r="J4949" s="140"/>
    </row>
    <row r="4950" spans="10:10" x14ac:dyDescent="0.4">
      <c r="J4950" s="140"/>
    </row>
    <row r="4951" spans="10:10" x14ac:dyDescent="0.4">
      <c r="J4951" s="140"/>
    </row>
    <row r="4952" spans="10:10" x14ac:dyDescent="0.4">
      <c r="J4952" s="140"/>
    </row>
    <row r="4953" spans="10:10" x14ac:dyDescent="0.4">
      <c r="J4953" s="140"/>
    </row>
    <row r="4954" spans="10:10" x14ac:dyDescent="0.4">
      <c r="J4954" s="140"/>
    </row>
    <row r="4955" spans="10:10" x14ac:dyDescent="0.4">
      <c r="J4955" s="140"/>
    </row>
    <row r="4956" spans="10:10" x14ac:dyDescent="0.4">
      <c r="J4956" s="140"/>
    </row>
    <row r="4957" spans="10:10" x14ac:dyDescent="0.4">
      <c r="J4957" s="140"/>
    </row>
    <row r="4958" spans="10:10" x14ac:dyDescent="0.4">
      <c r="J4958" s="140"/>
    </row>
    <row r="4959" spans="10:10" x14ac:dyDescent="0.4">
      <c r="J4959" s="140"/>
    </row>
    <row r="4960" spans="10:10" x14ac:dyDescent="0.4">
      <c r="J4960" s="140"/>
    </row>
    <row r="4961" spans="10:10" x14ac:dyDescent="0.4">
      <c r="J4961" s="140"/>
    </row>
    <row r="4962" spans="10:10" x14ac:dyDescent="0.4">
      <c r="J4962" s="140"/>
    </row>
    <row r="4963" spans="10:10" x14ac:dyDescent="0.4">
      <c r="J4963" s="140"/>
    </row>
    <row r="4964" spans="10:10" x14ac:dyDescent="0.4">
      <c r="J4964" s="140"/>
    </row>
    <row r="4965" spans="10:10" x14ac:dyDescent="0.4">
      <c r="J4965" s="140"/>
    </row>
    <row r="4966" spans="10:10" x14ac:dyDescent="0.4">
      <c r="J4966" s="140"/>
    </row>
    <row r="4967" spans="10:10" x14ac:dyDescent="0.4">
      <c r="J4967" s="140"/>
    </row>
    <row r="4968" spans="10:10" x14ac:dyDescent="0.4">
      <c r="J4968" s="140"/>
    </row>
    <row r="4969" spans="10:10" x14ac:dyDescent="0.4">
      <c r="J4969" s="140"/>
    </row>
    <row r="4970" spans="10:10" x14ac:dyDescent="0.4">
      <c r="J4970" s="140"/>
    </row>
    <row r="4971" spans="10:10" x14ac:dyDescent="0.4">
      <c r="J4971" s="140"/>
    </row>
    <row r="4972" spans="10:10" x14ac:dyDescent="0.4">
      <c r="J4972" s="140"/>
    </row>
    <row r="4973" spans="10:10" x14ac:dyDescent="0.4">
      <c r="J4973" s="140"/>
    </row>
    <row r="4974" spans="10:10" x14ac:dyDescent="0.4">
      <c r="J4974" s="140"/>
    </row>
    <row r="4975" spans="10:10" x14ac:dyDescent="0.4">
      <c r="J4975" s="140"/>
    </row>
    <row r="4976" spans="10:10" x14ac:dyDescent="0.4">
      <c r="J4976" s="140"/>
    </row>
    <row r="4977" spans="10:10" x14ac:dyDescent="0.4">
      <c r="J4977" s="140"/>
    </row>
    <row r="4978" spans="10:10" x14ac:dyDescent="0.4">
      <c r="J4978" s="140"/>
    </row>
    <row r="4979" spans="10:10" x14ac:dyDescent="0.4">
      <c r="J4979" s="140"/>
    </row>
    <row r="4980" spans="10:10" x14ac:dyDescent="0.4">
      <c r="J4980" s="140"/>
    </row>
    <row r="4981" spans="10:10" x14ac:dyDescent="0.4">
      <c r="J4981" s="140"/>
    </row>
    <row r="4982" spans="10:10" x14ac:dyDescent="0.4">
      <c r="J4982" s="140"/>
    </row>
    <row r="4983" spans="10:10" x14ac:dyDescent="0.4">
      <c r="J4983" s="140"/>
    </row>
    <row r="4984" spans="10:10" x14ac:dyDescent="0.4">
      <c r="J4984" s="140"/>
    </row>
    <row r="4985" spans="10:10" x14ac:dyDescent="0.4">
      <c r="J4985" s="140"/>
    </row>
    <row r="4986" spans="10:10" x14ac:dyDescent="0.4">
      <c r="J4986" s="140"/>
    </row>
    <row r="4987" spans="10:10" x14ac:dyDescent="0.4">
      <c r="J4987" s="140"/>
    </row>
    <row r="4988" spans="10:10" x14ac:dyDescent="0.4">
      <c r="J4988" s="140"/>
    </row>
    <row r="4989" spans="10:10" x14ac:dyDescent="0.4">
      <c r="J4989" s="140"/>
    </row>
    <row r="4990" spans="10:10" x14ac:dyDescent="0.4">
      <c r="J4990" s="140"/>
    </row>
    <row r="4991" spans="10:10" x14ac:dyDescent="0.4">
      <c r="J4991" s="140"/>
    </row>
    <row r="4992" spans="10:10" x14ac:dyDescent="0.4">
      <c r="J4992" s="140"/>
    </row>
    <row r="4993" spans="10:10" x14ac:dyDescent="0.4">
      <c r="J4993" s="140"/>
    </row>
    <row r="4994" spans="10:10" x14ac:dyDescent="0.4">
      <c r="J4994" s="140"/>
    </row>
    <row r="4995" spans="10:10" x14ac:dyDescent="0.4">
      <c r="J4995" s="140"/>
    </row>
    <row r="4996" spans="10:10" x14ac:dyDescent="0.4">
      <c r="J4996" s="140"/>
    </row>
    <row r="4997" spans="10:10" x14ac:dyDescent="0.4">
      <c r="J4997" s="140"/>
    </row>
    <row r="4998" spans="10:10" x14ac:dyDescent="0.4">
      <c r="J4998" s="140"/>
    </row>
    <row r="4999" spans="10:10" x14ac:dyDescent="0.4">
      <c r="J4999" s="140"/>
    </row>
    <row r="5000" spans="10:10" x14ac:dyDescent="0.4">
      <c r="J5000" s="140"/>
    </row>
    <row r="5001" spans="10:10" x14ac:dyDescent="0.4">
      <c r="J5001" s="140"/>
    </row>
    <row r="5002" spans="10:10" x14ac:dyDescent="0.4">
      <c r="J5002" s="140"/>
    </row>
    <row r="5003" spans="10:10" x14ac:dyDescent="0.4">
      <c r="J5003" s="140"/>
    </row>
    <row r="5004" spans="10:10" x14ac:dyDescent="0.4">
      <c r="J5004" s="140"/>
    </row>
    <row r="5005" spans="10:10" x14ac:dyDescent="0.4">
      <c r="J5005" s="140"/>
    </row>
    <row r="5006" spans="10:10" x14ac:dyDescent="0.4">
      <c r="J5006" s="140"/>
    </row>
    <row r="5007" spans="10:10" x14ac:dyDescent="0.4">
      <c r="J5007" s="140"/>
    </row>
    <row r="5008" spans="10:10" x14ac:dyDescent="0.4">
      <c r="J5008" s="140"/>
    </row>
    <row r="5009" spans="10:10" x14ac:dyDescent="0.4">
      <c r="J5009" s="140"/>
    </row>
    <row r="5010" spans="10:10" x14ac:dyDescent="0.4">
      <c r="J5010" s="140"/>
    </row>
    <row r="5011" spans="10:10" x14ac:dyDescent="0.4">
      <c r="J5011" s="140"/>
    </row>
    <row r="5012" spans="10:10" x14ac:dyDescent="0.4">
      <c r="J5012" s="140"/>
    </row>
    <row r="5013" spans="10:10" x14ac:dyDescent="0.4">
      <c r="J5013" s="140"/>
    </row>
    <row r="5014" spans="10:10" x14ac:dyDescent="0.4">
      <c r="J5014" s="140"/>
    </row>
    <row r="5015" spans="10:10" x14ac:dyDescent="0.4">
      <c r="J5015" s="140"/>
    </row>
    <row r="5016" spans="10:10" x14ac:dyDescent="0.4">
      <c r="J5016" s="140"/>
    </row>
    <row r="5017" spans="10:10" x14ac:dyDescent="0.4">
      <c r="J5017" s="140"/>
    </row>
    <row r="5018" spans="10:10" x14ac:dyDescent="0.4">
      <c r="J5018" s="140"/>
    </row>
    <row r="5019" spans="10:10" x14ac:dyDescent="0.4">
      <c r="J5019" s="140"/>
    </row>
    <row r="5020" spans="10:10" x14ac:dyDescent="0.4">
      <c r="J5020" s="140"/>
    </row>
    <row r="5021" spans="10:10" x14ac:dyDescent="0.4">
      <c r="J5021" s="140"/>
    </row>
    <row r="5022" spans="10:10" x14ac:dyDescent="0.4">
      <c r="J5022" s="140"/>
    </row>
    <row r="5023" spans="10:10" x14ac:dyDescent="0.4">
      <c r="J5023" s="140"/>
    </row>
    <row r="5024" spans="10:10" x14ac:dyDescent="0.4">
      <c r="J5024" s="140"/>
    </row>
    <row r="5025" spans="10:10" x14ac:dyDescent="0.4">
      <c r="J5025" s="140"/>
    </row>
    <row r="5026" spans="10:10" x14ac:dyDescent="0.4">
      <c r="J5026" s="140"/>
    </row>
    <row r="5027" spans="10:10" x14ac:dyDescent="0.4">
      <c r="J5027" s="140"/>
    </row>
    <row r="5028" spans="10:10" x14ac:dyDescent="0.4">
      <c r="J5028" s="140"/>
    </row>
    <row r="5029" spans="10:10" x14ac:dyDescent="0.4">
      <c r="J5029" s="140"/>
    </row>
    <row r="5030" spans="10:10" x14ac:dyDescent="0.4">
      <c r="J5030" s="140"/>
    </row>
    <row r="5031" spans="10:10" x14ac:dyDescent="0.4">
      <c r="J5031" s="140"/>
    </row>
    <row r="5032" spans="10:10" x14ac:dyDescent="0.4">
      <c r="J5032" s="140"/>
    </row>
    <row r="5033" spans="10:10" x14ac:dyDescent="0.4">
      <c r="J5033" s="140"/>
    </row>
    <row r="5034" spans="10:10" x14ac:dyDescent="0.4">
      <c r="J5034" s="140"/>
    </row>
    <row r="5035" spans="10:10" x14ac:dyDescent="0.4">
      <c r="J5035" s="140"/>
    </row>
    <row r="5036" spans="10:10" x14ac:dyDescent="0.4">
      <c r="J5036" s="140"/>
    </row>
    <row r="5037" spans="10:10" x14ac:dyDescent="0.4">
      <c r="J5037" s="140"/>
    </row>
    <row r="5038" spans="10:10" x14ac:dyDescent="0.4">
      <c r="J5038" s="140"/>
    </row>
    <row r="5039" spans="10:10" x14ac:dyDescent="0.4">
      <c r="J5039" s="140"/>
    </row>
    <row r="5040" spans="10:10" x14ac:dyDescent="0.4">
      <c r="J5040" s="140"/>
    </row>
    <row r="5041" spans="10:10" x14ac:dyDescent="0.4">
      <c r="J5041" s="140"/>
    </row>
    <row r="5042" spans="10:10" x14ac:dyDescent="0.4">
      <c r="J5042" s="140"/>
    </row>
    <row r="5043" spans="10:10" x14ac:dyDescent="0.4">
      <c r="J5043" s="140"/>
    </row>
    <row r="5044" spans="10:10" x14ac:dyDescent="0.4">
      <c r="J5044" s="140"/>
    </row>
    <row r="5045" spans="10:10" x14ac:dyDescent="0.4">
      <c r="J5045" s="140"/>
    </row>
    <row r="5046" spans="10:10" x14ac:dyDescent="0.4">
      <c r="J5046" s="140"/>
    </row>
    <row r="5047" spans="10:10" x14ac:dyDescent="0.4">
      <c r="J5047" s="140"/>
    </row>
    <row r="5048" spans="10:10" x14ac:dyDescent="0.4">
      <c r="J5048" s="140"/>
    </row>
    <row r="5049" spans="10:10" x14ac:dyDescent="0.4">
      <c r="J5049" s="140"/>
    </row>
    <row r="5050" spans="10:10" x14ac:dyDescent="0.4">
      <c r="J5050" s="140"/>
    </row>
    <row r="5051" spans="10:10" x14ac:dyDescent="0.4">
      <c r="J5051" s="140"/>
    </row>
    <row r="5052" spans="10:10" x14ac:dyDescent="0.4">
      <c r="J5052" s="140"/>
    </row>
    <row r="5053" spans="10:10" x14ac:dyDescent="0.4">
      <c r="J5053" s="140"/>
    </row>
    <row r="5054" spans="10:10" x14ac:dyDescent="0.4">
      <c r="J5054" s="140"/>
    </row>
    <row r="5055" spans="10:10" x14ac:dyDescent="0.4">
      <c r="J5055" s="140"/>
    </row>
    <row r="5056" spans="10:10" x14ac:dyDescent="0.4">
      <c r="J5056" s="140"/>
    </row>
    <row r="5057" spans="10:10" x14ac:dyDescent="0.4">
      <c r="J5057" s="140"/>
    </row>
    <row r="5058" spans="10:10" x14ac:dyDescent="0.4">
      <c r="J5058" s="140"/>
    </row>
    <row r="5059" spans="10:10" x14ac:dyDescent="0.4">
      <c r="J5059" s="140"/>
    </row>
    <row r="5060" spans="10:10" x14ac:dyDescent="0.4">
      <c r="J5060" s="140"/>
    </row>
    <row r="5061" spans="10:10" x14ac:dyDescent="0.4">
      <c r="J5061" s="140"/>
    </row>
    <row r="5062" spans="10:10" x14ac:dyDescent="0.4">
      <c r="J5062" s="140"/>
    </row>
    <row r="5063" spans="10:10" x14ac:dyDescent="0.4">
      <c r="J5063" s="140"/>
    </row>
    <row r="5064" spans="10:10" x14ac:dyDescent="0.4">
      <c r="J5064" s="140"/>
    </row>
    <row r="5065" spans="10:10" x14ac:dyDescent="0.4">
      <c r="J5065" s="140"/>
    </row>
    <row r="5066" spans="10:10" x14ac:dyDescent="0.4">
      <c r="J5066" s="140"/>
    </row>
    <row r="5067" spans="10:10" x14ac:dyDescent="0.4">
      <c r="J5067" s="140"/>
    </row>
    <row r="5068" spans="10:10" x14ac:dyDescent="0.4">
      <c r="J5068" s="140"/>
    </row>
    <row r="5069" spans="10:10" x14ac:dyDescent="0.4">
      <c r="J5069" s="140"/>
    </row>
    <row r="5070" spans="10:10" x14ac:dyDescent="0.4">
      <c r="J5070" s="140"/>
    </row>
    <row r="5071" spans="10:10" x14ac:dyDescent="0.4">
      <c r="J5071" s="140"/>
    </row>
    <row r="5072" spans="10:10" x14ac:dyDescent="0.4">
      <c r="J5072" s="140"/>
    </row>
    <row r="5073" spans="10:10" x14ac:dyDescent="0.4">
      <c r="J5073" s="140"/>
    </row>
    <row r="5074" spans="10:10" x14ac:dyDescent="0.4">
      <c r="J5074" s="140"/>
    </row>
    <row r="5075" spans="10:10" x14ac:dyDescent="0.4">
      <c r="J5075" s="140"/>
    </row>
    <row r="5076" spans="10:10" x14ac:dyDescent="0.4">
      <c r="J5076" s="140"/>
    </row>
    <row r="5077" spans="10:10" x14ac:dyDescent="0.4">
      <c r="J5077" s="140"/>
    </row>
    <row r="5078" spans="10:10" x14ac:dyDescent="0.4">
      <c r="J5078" s="140"/>
    </row>
    <row r="5079" spans="10:10" x14ac:dyDescent="0.4">
      <c r="J5079" s="140"/>
    </row>
    <row r="5080" spans="10:10" x14ac:dyDescent="0.4">
      <c r="J5080" s="140"/>
    </row>
    <row r="5081" spans="10:10" x14ac:dyDescent="0.4">
      <c r="J5081" s="140"/>
    </row>
    <row r="5082" spans="10:10" x14ac:dyDescent="0.4">
      <c r="J5082" s="140"/>
    </row>
    <row r="5083" spans="10:10" x14ac:dyDescent="0.4">
      <c r="J5083" s="140"/>
    </row>
    <row r="5084" spans="10:10" x14ac:dyDescent="0.4">
      <c r="J5084" s="140"/>
    </row>
    <row r="5085" spans="10:10" x14ac:dyDescent="0.4">
      <c r="J5085" s="140"/>
    </row>
    <row r="5086" spans="10:10" x14ac:dyDescent="0.4">
      <c r="J5086" s="140"/>
    </row>
    <row r="5087" spans="10:10" x14ac:dyDescent="0.4">
      <c r="J5087" s="140"/>
    </row>
    <row r="5088" spans="10:10" x14ac:dyDescent="0.4">
      <c r="J5088" s="140"/>
    </row>
    <row r="5089" spans="10:10" x14ac:dyDescent="0.4">
      <c r="J5089" s="140"/>
    </row>
    <row r="5090" spans="10:10" x14ac:dyDescent="0.4">
      <c r="J5090" s="140"/>
    </row>
    <row r="5091" spans="10:10" x14ac:dyDescent="0.4">
      <c r="J5091" s="140"/>
    </row>
    <row r="5092" spans="10:10" x14ac:dyDescent="0.4">
      <c r="J5092" s="140"/>
    </row>
    <row r="5093" spans="10:10" x14ac:dyDescent="0.4">
      <c r="J5093" s="140"/>
    </row>
    <row r="5094" spans="10:10" x14ac:dyDescent="0.4">
      <c r="J5094" s="140"/>
    </row>
    <row r="5095" spans="10:10" x14ac:dyDescent="0.4">
      <c r="J5095" s="140"/>
    </row>
    <row r="5096" spans="10:10" x14ac:dyDescent="0.4">
      <c r="J5096" s="140"/>
    </row>
    <row r="5097" spans="10:10" x14ac:dyDescent="0.4">
      <c r="J5097" s="140"/>
    </row>
    <row r="5098" spans="10:10" x14ac:dyDescent="0.4">
      <c r="J5098" s="140"/>
    </row>
    <row r="5099" spans="10:10" x14ac:dyDescent="0.4">
      <c r="J5099" s="140"/>
    </row>
    <row r="5100" spans="10:10" x14ac:dyDescent="0.4">
      <c r="J5100" s="140"/>
    </row>
    <row r="5101" spans="10:10" x14ac:dyDescent="0.4">
      <c r="J5101" s="140"/>
    </row>
    <row r="5102" spans="10:10" x14ac:dyDescent="0.4">
      <c r="J5102" s="140"/>
    </row>
    <row r="5103" spans="10:10" x14ac:dyDescent="0.4">
      <c r="J5103" s="140"/>
    </row>
    <row r="5104" spans="10:10" x14ac:dyDescent="0.4">
      <c r="J5104" s="140"/>
    </row>
    <row r="5105" spans="10:10" x14ac:dyDescent="0.4">
      <c r="J5105" s="140"/>
    </row>
    <row r="5106" spans="10:10" x14ac:dyDescent="0.4">
      <c r="J5106" s="140"/>
    </row>
    <row r="5107" spans="10:10" x14ac:dyDescent="0.4">
      <c r="J5107" s="140"/>
    </row>
    <row r="5108" spans="10:10" x14ac:dyDescent="0.4">
      <c r="J5108" s="140"/>
    </row>
    <row r="5109" spans="10:10" x14ac:dyDescent="0.4">
      <c r="J5109" s="140"/>
    </row>
    <row r="5110" spans="10:10" x14ac:dyDescent="0.4">
      <c r="J5110" s="140"/>
    </row>
    <row r="5111" spans="10:10" x14ac:dyDescent="0.4">
      <c r="J5111" s="140"/>
    </row>
    <row r="5112" spans="10:10" x14ac:dyDescent="0.4">
      <c r="J5112" s="140"/>
    </row>
    <row r="5113" spans="10:10" x14ac:dyDescent="0.4">
      <c r="J5113" s="140"/>
    </row>
    <row r="5114" spans="10:10" x14ac:dyDescent="0.4">
      <c r="J5114" s="140"/>
    </row>
    <row r="5115" spans="10:10" x14ac:dyDescent="0.4">
      <c r="J5115" s="140"/>
    </row>
    <row r="5116" spans="10:10" x14ac:dyDescent="0.4">
      <c r="J5116" s="140"/>
    </row>
    <row r="5117" spans="10:10" x14ac:dyDescent="0.4">
      <c r="J5117" s="140"/>
    </row>
    <row r="5118" spans="10:10" x14ac:dyDescent="0.4">
      <c r="J5118" s="140"/>
    </row>
    <row r="5119" spans="10:10" x14ac:dyDescent="0.4">
      <c r="J5119" s="140"/>
    </row>
    <row r="5120" spans="10:10" x14ac:dyDescent="0.4">
      <c r="J5120" s="140"/>
    </row>
    <row r="5121" spans="10:10" x14ac:dyDescent="0.4">
      <c r="J5121" s="140"/>
    </row>
    <row r="5122" spans="10:10" x14ac:dyDescent="0.4">
      <c r="J5122" s="140"/>
    </row>
    <row r="5123" spans="10:10" x14ac:dyDescent="0.4">
      <c r="J5123" s="140"/>
    </row>
    <row r="5124" spans="10:10" x14ac:dyDescent="0.4">
      <c r="J5124" s="140"/>
    </row>
    <row r="5125" spans="10:10" x14ac:dyDescent="0.4">
      <c r="J5125" s="140"/>
    </row>
    <row r="5126" spans="10:10" x14ac:dyDescent="0.4">
      <c r="J5126" s="140"/>
    </row>
    <row r="5127" spans="10:10" x14ac:dyDescent="0.4">
      <c r="J5127" s="140"/>
    </row>
    <row r="5128" spans="10:10" x14ac:dyDescent="0.4">
      <c r="J5128" s="140"/>
    </row>
    <row r="5129" spans="10:10" x14ac:dyDescent="0.4">
      <c r="J5129" s="140"/>
    </row>
    <row r="5130" spans="10:10" x14ac:dyDescent="0.4">
      <c r="J5130" s="140"/>
    </row>
    <row r="5131" spans="10:10" x14ac:dyDescent="0.4">
      <c r="J5131" s="140"/>
    </row>
    <row r="5132" spans="10:10" x14ac:dyDescent="0.4">
      <c r="J5132" s="140"/>
    </row>
    <row r="5133" spans="10:10" x14ac:dyDescent="0.4">
      <c r="J5133" s="140"/>
    </row>
    <row r="5134" spans="10:10" x14ac:dyDescent="0.4">
      <c r="J5134" s="140"/>
    </row>
    <row r="5135" spans="10:10" x14ac:dyDescent="0.4">
      <c r="J5135" s="140"/>
    </row>
    <row r="5136" spans="10:10" x14ac:dyDescent="0.4">
      <c r="J5136" s="140"/>
    </row>
    <row r="5137" spans="10:10" x14ac:dyDescent="0.4">
      <c r="J5137" s="140"/>
    </row>
    <row r="5138" spans="10:10" x14ac:dyDescent="0.4">
      <c r="J5138" s="140"/>
    </row>
    <row r="5139" spans="10:10" x14ac:dyDescent="0.4">
      <c r="J5139" s="140"/>
    </row>
    <row r="5140" spans="10:10" x14ac:dyDescent="0.4">
      <c r="J5140" s="140"/>
    </row>
    <row r="5141" spans="10:10" x14ac:dyDescent="0.4">
      <c r="J5141" s="140"/>
    </row>
    <row r="5142" spans="10:10" x14ac:dyDescent="0.4">
      <c r="J5142" s="140"/>
    </row>
    <row r="5143" spans="10:10" x14ac:dyDescent="0.4">
      <c r="J5143" s="140"/>
    </row>
    <row r="5144" spans="10:10" x14ac:dyDescent="0.4">
      <c r="J5144" s="140"/>
    </row>
    <row r="5145" spans="10:10" x14ac:dyDescent="0.4">
      <c r="J5145" s="140"/>
    </row>
    <row r="5146" spans="10:10" x14ac:dyDescent="0.4">
      <c r="J5146" s="140"/>
    </row>
    <row r="5147" spans="10:10" x14ac:dyDescent="0.4">
      <c r="J5147" s="140"/>
    </row>
    <row r="5148" spans="10:10" x14ac:dyDescent="0.4">
      <c r="J5148" s="140"/>
    </row>
    <row r="5149" spans="10:10" x14ac:dyDescent="0.4">
      <c r="J5149" s="140"/>
    </row>
    <row r="5150" spans="10:10" x14ac:dyDescent="0.4">
      <c r="J5150" s="140"/>
    </row>
    <row r="5151" spans="10:10" x14ac:dyDescent="0.4">
      <c r="J5151" s="140"/>
    </row>
    <row r="5152" spans="10:10" x14ac:dyDescent="0.4">
      <c r="J5152" s="140"/>
    </row>
    <row r="5153" spans="10:10" x14ac:dyDescent="0.4">
      <c r="J5153" s="140"/>
    </row>
    <row r="5154" spans="10:10" x14ac:dyDescent="0.4">
      <c r="J5154" s="140"/>
    </row>
    <row r="5155" spans="10:10" x14ac:dyDescent="0.4">
      <c r="J5155" s="140"/>
    </row>
    <row r="5156" spans="10:10" x14ac:dyDescent="0.4">
      <c r="J5156" s="140"/>
    </row>
    <row r="5157" spans="10:10" x14ac:dyDescent="0.4">
      <c r="J5157" s="140"/>
    </row>
    <row r="5158" spans="10:10" x14ac:dyDescent="0.4">
      <c r="J5158" s="140"/>
    </row>
    <row r="5159" spans="10:10" x14ac:dyDescent="0.4">
      <c r="J5159" s="140"/>
    </row>
    <row r="5160" spans="10:10" x14ac:dyDescent="0.4">
      <c r="J5160" s="140"/>
    </row>
    <row r="5161" spans="10:10" x14ac:dyDescent="0.4">
      <c r="J5161" s="140"/>
    </row>
    <row r="5162" spans="10:10" x14ac:dyDescent="0.4">
      <c r="J5162" s="140"/>
    </row>
    <row r="5163" spans="10:10" x14ac:dyDescent="0.4">
      <c r="J5163" s="140"/>
    </row>
    <row r="5164" spans="10:10" x14ac:dyDescent="0.4">
      <c r="J5164" s="140"/>
    </row>
    <row r="5165" spans="10:10" x14ac:dyDescent="0.4">
      <c r="J5165" s="140"/>
    </row>
    <row r="5166" spans="10:10" x14ac:dyDescent="0.4">
      <c r="J5166" s="140"/>
    </row>
    <row r="5167" spans="10:10" x14ac:dyDescent="0.4">
      <c r="J5167" s="140"/>
    </row>
    <row r="5168" spans="10:10" x14ac:dyDescent="0.4">
      <c r="J5168" s="140"/>
    </row>
    <row r="5169" spans="10:10" x14ac:dyDescent="0.4">
      <c r="J5169" s="140"/>
    </row>
    <row r="5170" spans="10:10" x14ac:dyDescent="0.4">
      <c r="J5170" s="140"/>
    </row>
    <row r="5171" spans="10:10" x14ac:dyDescent="0.4">
      <c r="J5171" s="140"/>
    </row>
    <row r="5172" spans="10:10" x14ac:dyDescent="0.4">
      <c r="J5172" s="140"/>
    </row>
    <row r="5173" spans="10:10" x14ac:dyDescent="0.4">
      <c r="J5173" s="140"/>
    </row>
    <row r="5174" spans="10:10" x14ac:dyDescent="0.4">
      <c r="J5174" s="140"/>
    </row>
    <row r="5175" spans="10:10" x14ac:dyDescent="0.4">
      <c r="J5175" s="140"/>
    </row>
    <row r="5176" spans="10:10" x14ac:dyDescent="0.4">
      <c r="J5176" s="140"/>
    </row>
    <row r="5177" spans="10:10" x14ac:dyDescent="0.4">
      <c r="J5177" s="140"/>
    </row>
    <row r="5178" spans="10:10" x14ac:dyDescent="0.4">
      <c r="J5178" s="140"/>
    </row>
    <row r="5179" spans="10:10" x14ac:dyDescent="0.4">
      <c r="J5179" s="140"/>
    </row>
    <row r="5180" spans="10:10" x14ac:dyDescent="0.4">
      <c r="J5180" s="140"/>
    </row>
    <row r="5181" spans="10:10" x14ac:dyDescent="0.4">
      <c r="J5181" s="140"/>
    </row>
    <row r="5182" spans="10:10" x14ac:dyDescent="0.4">
      <c r="J5182" s="140"/>
    </row>
    <row r="5183" spans="10:10" x14ac:dyDescent="0.4">
      <c r="J5183" s="140"/>
    </row>
    <row r="5184" spans="10:10" x14ac:dyDescent="0.4">
      <c r="J5184" s="140"/>
    </row>
    <row r="5185" spans="10:10" x14ac:dyDescent="0.4">
      <c r="J5185" s="140"/>
    </row>
    <row r="5186" spans="10:10" x14ac:dyDescent="0.4">
      <c r="J5186" s="140"/>
    </row>
    <row r="5187" spans="10:10" x14ac:dyDescent="0.4">
      <c r="J5187" s="140"/>
    </row>
    <row r="5188" spans="10:10" x14ac:dyDescent="0.4">
      <c r="J5188" s="140"/>
    </row>
    <row r="5189" spans="10:10" x14ac:dyDescent="0.4">
      <c r="J5189" s="140"/>
    </row>
    <row r="5190" spans="10:10" x14ac:dyDescent="0.4">
      <c r="J5190" s="140"/>
    </row>
    <row r="5191" spans="10:10" x14ac:dyDescent="0.4">
      <c r="J5191" s="140"/>
    </row>
    <row r="5192" spans="10:10" x14ac:dyDescent="0.4">
      <c r="J5192" s="140"/>
    </row>
    <row r="5193" spans="10:10" x14ac:dyDescent="0.4">
      <c r="J5193" s="140"/>
    </row>
    <row r="5194" spans="10:10" x14ac:dyDescent="0.4">
      <c r="J5194" s="140"/>
    </row>
    <row r="5195" spans="10:10" x14ac:dyDescent="0.4">
      <c r="J5195" s="140"/>
    </row>
    <row r="5196" spans="10:10" x14ac:dyDescent="0.4">
      <c r="J5196" s="140"/>
    </row>
    <row r="5197" spans="10:10" x14ac:dyDescent="0.4">
      <c r="J5197" s="140"/>
    </row>
    <row r="5198" spans="10:10" x14ac:dyDescent="0.4">
      <c r="J5198" s="140"/>
    </row>
    <row r="5199" spans="10:10" x14ac:dyDescent="0.4">
      <c r="J5199" s="140"/>
    </row>
    <row r="5200" spans="10:10" x14ac:dyDescent="0.4">
      <c r="J5200" s="140"/>
    </row>
    <row r="5201" spans="10:10" x14ac:dyDescent="0.4">
      <c r="J5201" s="140"/>
    </row>
    <row r="5202" spans="10:10" x14ac:dyDescent="0.4">
      <c r="J5202" s="140"/>
    </row>
    <row r="5203" spans="10:10" x14ac:dyDescent="0.4">
      <c r="J5203" s="140"/>
    </row>
    <row r="5204" spans="10:10" x14ac:dyDescent="0.4">
      <c r="J5204" s="140"/>
    </row>
    <row r="5205" spans="10:10" x14ac:dyDescent="0.4">
      <c r="J5205" s="140"/>
    </row>
    <row r="5206" spans="10:10" x14ac:dyDescent="0.4">
      <c r="J5206" s="140"/>
    </row>
    <row r="5207" spans="10:10" x14ac:dyDescent="0.4">
      <c r="J5207" s="140"/>
    </row>
    <row r="5208" spans="10:10" x14ac:dyDescent="0.4">
      <c r="J5208" s="140"/>
    </row>
    <row r="5209" spans="10:10" x14ac:dyDescent="0.4">
      <c r="J5209" s="140"/>
    </row>
    <row r="5210" spans="10:10" x14ac:dyDescent="0.4">
      <c r="J5210" s="140"/>
    </row>
    <row r="5211" spans="10:10" x14ac:dyDescent="0.4">
      <c r="J5211" s="140"/>
    </row>
    <row r="5212" spans="10:10" x14ac:dyDescent="0.4">
      <c r="J5212" s="140"/>
    </row>
    <row r="5213" spans="10:10" x14ac:dyDescent="0.4">
      <c r="J5213" s="140"/>
    </row>
    <row r="5214" spans="10:10" x14ac:dyDescent="0.4">
      <c r="J5214" s="140"/>
    </row>
    <row r="5215" spans="10:10" x14ac:dyDescent="0.4">
      <c r="J5215" s="140"/>
    </row>
    <row r="5216" spans="10:10" x14ac:dyDescent="0.4">
      <c r="J5216" s="140"/>
    </row>
    <row r="5217" spans="10:10" x14ac:dyDescent="0.4">
      <c r="J5217" s="140"/>
    </row>
    <row r="5218" spans="10:10" x14ac:dyDescent="0.4">
      <c r="J5218" s="140"/>
    </row>
    <row r="5219" spans="10:10" x14ac:dyDescent="0.4">
      <c r="J5219" s="140"/>
    </row>
    <row r="5220" spans="10:10" x14ac:dyDescent="0.4">
      <c r="J5220" s="140"/>
    </row>
    <row r="5221" spans="10:10" x14ac:dyDescent="0.4">
      <c r="J5221" s="140"/>
    </row>
    <row r="5222" spans="10:10" x14ac:dyDescent="0.4">
      <c r="J5222" s="140"/>
    </row>
    <row r="5223" spans="10:10" x14ac:dyDescent="0.4">
      <c r="J5223" s="140"/>
    </row>
    <row r="5224" spans="10:10" x14ac:dyDescent="0.4">
      <c r="J5224" s="140"/>
    </row>
    <row r="5225" spans="10:10" x14ac:dyDescent="0.4">
      <c r="J5225" s="140"/>
    </row>
    <row r="5226" spans="10:10" x14ac:dyDescent="0.4">
      <c r="J5226" s="140"/>
    </row>
    <row r="5227" spans="10:10" x14ac:dyDescent="0.4">
      <c r="J5227" s="140"/>
    </row>
    <row r="5228" spans="10:10" x14ac:dyDescent="0.4">
      <c r="J5228" s="140"/>
    </row>
    <row r="5229" spans="10:10" x14ac:dyDescent="0.4">
      <c r="J5229" s="140"/>
    </row>
    <row r="5230" spans="10:10" x14ac:dyDescent="0.4">
      <c r="J5230" s="140"/>
    </row>
    <row r="5231" spans="10:10" x14ac:dyDescent="0.4">
      <c r="J5231" s="140"/>
    </row>
    <row r="5232" spans="10:10" x14ac:dyDescent="0.4">
      <c r="J5232" s="140"/>
    </row>
    <row r="5233" spans="10:10" x14ac:dyDescent="0.4">
      <c r="J5233" s="140"/>
    </row>
    <row r="5234" spans="10:10" x14ac:dyDescent="0.4">
      <c r="J5234" s="140"/>
    </row>
    <row r="5235" spans="10:10" x14ac:dyDescent="0.4">
      <c r="J5235" s="140"/>
    </row>
    <row r="5236" spans="10:10" x14ac:dyDescent="0.4">
      <c r="J5236" s="140"/>
    </row>
    <row r="5237" spans="10:10" x14ac:dyDescent="0.4">
      <c r="J5237" s="140"/>
    </row>
    <row r="5238" spans="10:10" x14ac:dyDescent="0.4">
      <c r="J5238" s="140"/>
    </row>
    <row r="5239" spans="10:10" x14ac:dyDescent="0.4">
      <c r="J5239" s="140"/>
    </row>
    <row r="5240" spans="10:10" x14ac:dyDescent="0.4">
      <c r="J5240" s="140"/>
    </row>
    <row r="5241" spans="10:10" x14ac:dyDescent="0.4">
      <c r="J5241" s="140"/>
    </row>
    <row r="5242" spans="10:10" x14ac:dyDescent="0.4">
      <c r="J5242" s="140"/>
    </row>
    <row r="5243" spans="10:10" x14ac:dyDescent="0.4">
      <c r="J5243" s="140"/>
    </row>
    <row r="5244" spans="10:10" x14ac:dyDescent="0.4">
      <c r="J5244" s="140"/>
    </row>
    <row r="5245" spans="10:10" x14ac:dyDescent="0.4">
      <c r="J5245" s="140"/>
    </row>
    <row r="5246" spans="10:10" x14ac:dyDescent="0.4">
      <c r="J5246" s="140"/>
    </row>
    <row r="5247" spans="10:10" x14ac:dyDescent="0.4">
      <c r="J5247" s="140"/>
    </row>
    <row r="5248" spans="10:10" x14ac:dyDescent="0.4">
      <c r="J5248" s="140"/>
    </row>
    <row r="5249" spans="10:10" x14ac:dyDescent="0.4">
      <c r="J5249" s="140"/>
    </row>
    <row r="5250" spans="10:10" x14ac:dyDescent="0.4">
      <c r="J5250" s="140"/>
    </row>
    <row r="5251" spans="10:10" x14ac:dyDescent="0.4">
      <c r="J5251" s="140"/>
    </row>
    <row r="5252" spans="10:10" x14ac:dyDescent="0.4">
      <c r="J5252" s="140"/>
    </row>
    <row r="5253" spans="10:10" x14ac:dyDescent="0.4">
      <c r="J5253" s="140"/>
    </row>
    <row r="5254" spans="10:10" x14ac:dyDescent="0.4">
      <c r="J5254" s="140"/>
    </row>
    <row r="5255" spans="10:10" x14ac:dyDescent="0.4">
      <c r="J5255" s="140"/>
    </row>
    <row r="5256" spans="10:10" x14ac:dyDescent="0.4">
      <c r="J5256" s="140"/>
    </row>
    <row r="5257" spans="10:10" x14ac:dyDescent="0.4">
      <c r="J5257" s="140"/>
    </row>
    <row r="5258" spans="10:10" x14ac:dyDescent="0.4">
      <c r="J5258" s="140"/>
    </row>
    <row r="5259" spans="10:10" x14ac:dyDescent="0.4">
      <c r="J5259" s="140"/>
    </row>
    <row r="5260" spans="10:10" x14ac:dyDescent="0.4">
      <c r="J5260" s="140"/>
    </row>
    <row r="5261" spans="10:10" x14ac:dyDescent="0.4">
      <c r="J5261" s="140"/>
    </row>
    <row r="5262" spans="10:10" x14ac:dyDescent="0.4">
      <c r="J5262" s="140"/>
    </row>
    <row r="5263" spans="10:10" x14ac:dyDescent="0.4">
      <c r="J5263" s="140"/>
    </row>
    <row r="5264" spans="10:10" x14ac:dyDescent="0.4">
      <c r="J5264" s="140"/>
    </row>
    <row r="5265" spans="10:10" x14ac:dyDescent="0.4">
      <c r="J5265" s="140"/>
    </row>
    <row r="5266" spans="10:10" x14ac:dyDescent="0.4">
      <c r="J5266" s="140"/>
    </row>
    <row r="5267" spans="10:10" x14ac:dyDescent="0.4">
      <c r="J5267" s="140"/>
    </row>
    <row r="5268" spans="10:10" x14ac:dyDescent="0.4">
      <c r="J5268" s="140"/>
    </row>
    <row r="5269" spans="10:10" x14ac:dyDescent="0.4">
      <c r="J5269" s="140"/>
    </row>
    <row r="5270" spans="10:10" x14ac:dyDescent="0.4">
      <c r="J5270" s="140"/>
    </row>
    <row r="5271" spans="10:10" x14ac:dyDescent="0.4">
      <c r="J5271" s="140"/>
    </row>
    <row r="5272" spans="10:10" x14ac:dyDescent="0.4">
      <c r="J5272" s="140"/>
    </row>
    <row r="5273" spans="10:10" x14ac:dyDescent="0.4">
      <c r="J5273" s="140"/>
    </row>
    <row r="5274" spans="10:10" x14ac:dyDescent="0.4">
      <c r="J5274" s="140"/>
    </row>
    <row r="5275" spans="10:10" x14ac:dyDescent="0.4">
      <c r="J5275" s="140"/>
    </row>
    <row r="5276" spans="10:10" x14ac:dyDescent="0.4">
      <c r="J5276" s="140"/>
    </row>
    <row r="5277" spans="10:10" x14ac:dyDescent="0.4">
      <c r="J5277" s="140"/>
    </row>
    <row r="5278" spans="10:10" x14ac:dyDescent="0.4">
      <c r="J5278" s="140"/>
    </row>
    <row r="5279" spans="10:10" x14ac:dyDescent="0.4">
      <c r="J5279" s="140"/>
    </row>
    <row r="5280" spans="10:10" x14ac:dyDescent="0.4">
      <c r="J5280" s="140"/>
    </row>
    <row r="5281" spans="10:10" x14ac:dyDescent="0.4">
      <c r="J5281" s="140"/>
    </row>
    <row r="5282" spans="10:10" x14ac:dyDescent="0.4">
      <c r="J5282" s="140"/>
    </row>
    <row r="5283" spans="10:10" x14ac:dyDescent="0.4">
      <c r="J5283" s="140"/>
    </row>
    <row r="5284" spans="10:10" x14ac:dyDescent="0.4">
      <c r="J5284" s="140"/>
    </row>
    <row r="5285" spans="10:10" x14ac:dyDescent="0.4">
      <c r="J5285" s="140"/>
    </row>
    <row r="5286" spans="10:10" x14ac:dyDescent="0.4">
      <c r="J5286" s="140"/>
    </row>
    <row r="5287" spans="10:10" x14ac:dyDescent="0.4">
      <c r="J5287" s="140"/>
    </row>
    <row r="5288" spans="10:10" x14ac:dyDescent="0.4">
      <c r="J5288" s="140"/>
    </row>
    <row r="5289" spans="10:10" x14ac:dyDescent="0.4">
      <c r="J5289" s="140"/>
    </row>
    <row r="5290" spans="10:10" x14ac:dyDescent="0.4">
      <c r="J5290" s="140"/>
    </row>
    <row r="5291" spans="10:10" x14ac:dyDescent="0.4">
      <c r="J5291" s="140"/>
    </row>
    <row r="5292" spans="10:10" x14ac:dyDescent="0.4">
      <c r="J5292" s="140"/>
    </row>
    <row r="5293" spans="10:10" x14ac:dyDescent="0.4">
      <c r="J5293" s="140"/>
    </row>
    <row r="5294" spans="10:10" x14ac:dyDescent="0.4">
      <c r="J5294" s="140"/>
    </row>
    <row r="5295" spans="10:10" x14ac:dyDescent="0.4">
      <c r="J5295" s="140"/>
    </row>
    <row r="5296" spans="10:10" x14ac:dyDescent="0.4">
      <c r="J5296" s="140"/>
    </row>
    <row r="5297" spans="10:10" x14ac:dyDescent="0.4">
      <c r="J5297" s="140"/>
    </row>
    <row r="5298" spans="10:10" x14ac:dyDescent="0.4">
      <c r="J5298" s="140"/>
    </row>
    <row r="5299" spans="10:10" x14ac:dyDescent="0.4">
      <c r="J5299" s="140"/>
    </row>
    <row r="5300" spans="10:10" x14ac:dyDescent="0.4">
      <c r="J5300" s="140"/>
    </row>
    <row r="5301" spans="10:10" x14ac:dyDescent="0.4">
      <c r="J5301" s="140"/>
    </row>
    <row r="5302" spans="10:10" x14ac:dyDescent="0.4">
      <c r="J5302" s="140"/>
    </row>
    <row r="5303" spans="10:10" x14ac:dyDescent="0.4">
      <c r="J5303" s="140"/>
    </row>
    <row r="5304" spans="10:10" x14ac:dyDescent="0.4">
      <c r="J5304" s="140"/>
    </row>
    <row r="5305" spans="10:10" x14ac:dyDescent="0.4">
      <c r="J5305" s="140"/>
    </row>
    <row r="5306" spans="10:10" x14ac:dyDescent="0.4">
      <c r="J5306" s="140"/>
    </row>
    <row r="5307" spans="10:10" x14ac:dyDescent="0.4">
      <c r="J5307" s="140"/>
    </row>
    <row r="5308" spans="10:10" x14ac:dyDescent="0.4">
      <c r="J5308" s="140"/>
    </row>
    <row r="5309" spans="10:10" x14ac:dyDescent="0.4">
      <c r="J5309" s="140"/>
    </row>
    <row r="5310" spans="10:10" x14ac:dyDescent="0.4">
      <c r="J5310" s="140"/>
    </row>
    <row r="5311" spans="10:10" x14ac:dyDescent="0.4">
      <c r="J5311" s="140"/>
    </row>
    <row r="5312" spans="10:10" x14ac:dyDescent="0.4">
      <c r="J5312" s="140"/>
    </row>
    <row r="5313" spans="10:10" x14ac:dyDescent="0.4">
      <c r="J5313" s="140"/>
    </row>
    <row r="5314" spans="10:10" x14ac:dyDescent="0.4">
      <c r="J5314" s="140"/>
    </row>
    <row r="5315" spans="10:10" x14ac:dyDescent="0.4">
      <c r="J5315" s="140"/>
    </row>
    <row r="5316" spans="10:10" x14ac:dyDescent="0.4">
      <c r="J5316" s="140"/>
    </row>
    <row r="5317" spans="10:10" x14ac:dyDescent="0.4">
      <c r="J5317" s="140"/>
    </row>
    <row r="5318" spans="10:10" x14ac:dyDescent="0.4">
      <c r="J5318" s="140"/>
    </row>
    <row r="5319" spans="10:10" x14ac:dyDescent="0.4">
      <c r="J5319" s="140"/>
    </row>
    <row r="5320" spans="10:10" x14ac:dyDescent="0.4">
      <c r="J5320" s="140"/>
    </row>
    <row r="5321" spans="10:10" x14ac:dyDescent="0.4">
      <c r="J5321" s="140"/>
    </row>
    <row r="5322" spans="10:10" x14ac:dyDescent="0.4">
      <c r="J5322" s="140"/>
    </row>
    <row r="5323" spans="10:10" x14ac:dyDescent="0.4">
      <c r="J5323" s="140"/>
    </row>
    <row r="5324" spans="10:10" x14ac:dyDescent="0.4">
      <c r="J5324" s="140"/>
    </row>
    <row r="5325" spans="10:10" x14ac:dyDescent="0.4">
      <c r="J5325" s="140"/>
    </row>
    <row r="5326" spans="10:10" x14ac:dyDescent="0.4">
      <c r="J5326" s="140"/>
    </row>
    <row r="5327" spans="10:10" x14ac:dyDescent="0.4">
      <c r="J5327" s="140"/>
    </row>
    <row r="5328" spans="10:10" x14ac:dyDescent="0.4">
      <c r="J5328" s="140"/>
    </row>
    <row r="5329" spans="10:10" x14ac:dyDescent="0.4">
      <c r="J5329" s="140"/>
    </row>
    <row r="5330" spans="10:10" x14ac:dyDescent="0.4">
      <c r="J5330" s="140"/>
    </row>
    <row r="5331" spans="10:10" x14ac:dyDescent="0.4">
      <c r="J5331" s="140"/>
    </row>
    <row r="5332" spans="10:10" x14ac:dyDescent="0.4">
      <c r="J5332" s="140"/>
    </row>
    <row r="5333" spans="10:10" x14ac:dyDescent="0.4">
      <c r="J5333" s="140"/>
    </row>
    <row r="5334" spans="10:10" x14ac:dyDescent="0.4">
      <c r="J5334" s="140"/>
    </row>
    <row r="5335" spans="10:10" x14ac:dyDescent="0.4">
      <c r="J5335" s="140"/>
    </row>
    <row r="5336" spans="10:10" x14ac:dyDescent="0.4">
      <c r="J5336" s="140"/>
    </row>
    <row r="5337" spans="10:10" x14ac:dyDescent="0.4">
      <c r="J5337" s="140"/>
    </row>
    <row r="5338" spans="10:10" x14ac:dyDescent="0.4">
      <c r="J5338" s="140"/>
    </row>
    <row r="5339" spans="10:10" x14ac:dyDescent="0.4">
      <c r="J5339" s="140"/>
    </row>
    <row r="5340" spans="10:10" x14ac:dyDescent="0.4">
      <c r="J5340" s="140"/>
    </row>
    <row r="5341" spans="10:10" x14ac:dyDescent="0.4">
      <c r="J5341" s="140"/>
    </row>
    <row r="5342" spans="10:10" x14ac:dyDescent="0.4">
      <c r="J5342" s="140"/>
    </row>
    <row r="5343" spans="10:10" x14ac:dyDescent="0.4">
      <c r="J5343" s="140"/>
    </row>
    <row r="5344" spans="10:10" x14ac:dyDescent="0.4">
      <c r="J5344" s="140"/>
    </row>
    <row r="5345" spans="10:10" x14ac:dyDescent="0.4">
      <c r="J5345" s="140"/>
    </row>
    <row r="5346" spans="10:10" x14ac:dyDescent="0.4">
      <c r="J5346" s="140"/>
    </row>
    <row r="5347" spans="10:10" x14ac:dyDescent="0.4">
      <c r="J5347" s="140"/>
    </row>
    <row r="5348" spans="10:10" x14ac:dyDescent="0.4">
      <c r="J5348" s="140"/>
    </row>
    <row r="5349" spans="10:10" x14ac:dyDescent="0.4">
      <c r="J5349" s="140"/>
    </row>
    <row r="5350" spans="10:10" x14ac:dyDescent="0.4">
      <c r="J5350" s="140"/>
    </row>
    <row r="5351" spans="10:10" x14ac:dyDescent="0.4">
      <c r="J5351" s="140"/>
    </row>
    <row r="5352" spans="10:10" x14ac:dyDescent="0.4">
      <c r="J5352" s="140"/>
    </row>
    <row r="5353" spans="10:10" x14ac:dyDescent="0.4">
      <c r="J5353" s="140"/>
    </row>
    <row r="5354" spans="10:10" x14ac:dyDescent="0.4">
      <c r="J5354" s="140"/>
    </row>
    <row r="5355" spans="10:10" x14ac:dyDescent="0.4">
      <c r="J5355" s="140"/>
    </row>
    <row r="5356" spans="10:10" x14ac:dyDescent="0.4">
      <c r="J5356" s="140"/>
    </row>
    <row r="5357" spans="10:10" x14ac:dyDescent="0.4">
      <c r="J5357" s="140"/>
    </row>
    <row r="5358" spans="10:10" x14ac:dyDescent="0.4">
      <c r="J5358" s="140"/>
    </row>
    <row r="5359" spans="10:10" x14ac:dyDescent="0.4">
      <c r="J5359" s="140"/>
    </row>
    <row r="5360" spans="10:10" x14ac:dyDescent="0.4">
      <c r="J5360" s="140"/>
    </row>
    <row r="5361" spans="10:10" x14ac:dyDescent="0.4">
      <c r="J5361" s="140"/>
    </row>
    <row r="5362" spans="10:10" x14ac:dyDescent="0.4">
      <c r="J5362" s="140"/>
    </row>
    <row r="5363" spans="10:10" x14ac:dyDescent="0.4">
      <c r="J5363" s="140"/>
    </row>
    <row r="5364" spans="10:10" x14ac:dyDescent="0.4">
      <c r="J5364" s="140"/>
    </row>
    <row r="5365" spans="10:10" x14ac:dyDescent="0.4">
      <c r="J5365" s="140"/>
    </row>
    <row r="5366" spans="10:10" x14ac:dyDescent="0.4">
      <c r="J5366" s="140"/>
    </row>
    <row r="5367" spans="10:10" x14ac:dyDescent="0.4">
      <c r="J5367" s="140"/>
    </row>
    <row r="5368" spans="10:10" x14ac:dyDescent="0.4">
      <c r="J5368" s="140"/>
    </row>
    <row r="5369" spans="10:10" x14ac:dyDescent="0.4">
      <c r="J5369" s="140"/>
    </row>
    <row r="5370" spans="10:10" x14ac:dyDescent="0.4">
      <c r="J5370" s="140"/>
    </row>
    <row r="5371" spans="10:10" x14ac:dyDescent="0.4">
      <c r="J5371" s="140"/>
    </row>
    <row r="5372" spans="10:10" x14ac:dyDescent="0.4">
      <c r="J5372" s="140"/>
    </row>
    <row r="5373" spans="10:10" x14ac:dyDescent="0.4">
      <c r="J5373" s="140"/>
    </row>
    <row r="5374" spans="10:10" x14ac:dyDescent="0.4">
      <c r="J5374" s="140"/>
    </row>
    <row r="5375" spans="10:10" x14ac:dyDescent="0.4">
      <c r="J5375" s="140"/>
    </row>
    <row r="5376" spans="10:10" x14ac:dyDescent="0.4">
      <c r="J5376" s="140"/>
    </row>
    <row r="5377" spans="10:10" x14ac:dyDescent="0.4">
      <c r="J5377" s="140"/>
    </row>
    <row r="5378" spans="10:10" x14ac:dyDescent="0.4">
      <c r="J5378" s="140"/>
    </row>
    <row r="5379" spans="10:10" x14ac:dyDescent="0.4">
      <c r="J5379" s="140"/>
    </row>
    <row r="5380" spans="10:10" x14ac:dyDescent="0.4">
      <c r="J5380" s="140"/>
    </row>
    <row r="5381" spans="10:10" x14ac:dyDescent="0.4">
      <c r="J5381" s="140"/>
    </row>
    <row r="5382" spans="10:10" x14ac:dyDescent="0.4">
      <c r="J5382" s="140"/>
    </row>
    <row r="5383" spans="10:10" x14ac:dyDescent="0.4">
      <c r="J5383" s="140"/>
    </row>
    <row r="5384" spans="10:10" x14ac:dyDescent="0.4">
      <c r="J5384" s="140"/>
    </row>
    <row r="5385" spans="10:10" x14ac:dyDescent="0.4">
      <c r="J5385" s="140"/>
    </row>
    <row r="5386" spans="10:10" x14ac:dyDescent="0.4">
      <c r="J5386" s="140"/>
    </row>
    <row r="5387" spans="10:10" x14ac:dyDescent="0.4">
      <c r="J5387" s="140"/>
    </row>
    <row r="5388" spans="10:10" x14ac:dyDescent="0.4">
      <c r="J5388" s="140"/>
    </row>
    <row r="5389" spans="10:10" x14ac:dyDescent="0.4">
      <c r="J5389" s="140"/>
    </row>
    <row r="5390" spans="10:10" x14ac:dyDescent="0.4">
      <c r="J5390" s="140"/>
    </row>
    <row r="5391" spans="10:10" x14ac:dyDescent="0.4">
      <c r="J5391" s="140"/>
    </row>
    <row r="5392" spans="10:10" x14ac:dyDescent="0.4">
      <c r="J5392" s="140"/>
    </row>
    <row r="5393" spans="10:10" x14ac:dyDescent="0.4">
      <c r="J5393" s="140"/>
    </row>
    <row r="5394" spans="10:10" x14ac:dyDescent="0.4">
      <c r="J5394" s="140"/>
    </row>
    <row r="5395" spans="10:10" x14ac:dyDescent="0.4">
      <c r="J5395" s="140"/>
    </row>
    <row r="5396" spans="10:10" x14ac:dyDescent="0.4">
      <c r="J5396" s="140"/>
    </row>
    <row r="5397" spans="10:10" x14ac:dyDescent="0.4">
      <c r="J5397" s="140"/>
    </row>
    <row r="5398" spans="10:10" x14ac:dyDescent="0.4">
      <c r="J5398" s="140"/>
    </row>
    <row r="5399" spans="10:10" x14ac:dyDescent="0.4">
      <c r="J5399" s="140"/>
    </row>
    <row r="5400" spans="10:10" x14ac:dyDescent="0.4">
      <c r="J5400" s="140"/>
    </row>
    <row r="5401" spans="10:10" x14ac:dyDescent="0.4">
      <c r="J5401" s="140"/>
    </row>
    <row r="5402" spans="10:10" x14ac:dyDescent="0.4">
      <c r="J5402" s="140"/>
    </row>
    <row r="5403" spans="10:10" x14ac:dyDescent="0.4">
      <c r="J5403" s="140"/>
    </row>
    <row r="5404" spans="10:10" x14ac:dyDescent="0.4">
      <c r="J5404" s="140"/>
    </row>
    <row r="5405" spans="10:10" x14ac:dyDescent="0.4">
      <c r="J5405" s="140"/>
    </row>
    <row r="5406" spans="10:10" x14ac:dyDescent="0.4">
      <c r="J5406" s="140"/>
    </row>
    <row r="5407" spans="10:10" x14ac:dyDescent="0.4">
      <c r="J5407" s="140"/>
    </row>
    <row r="5408" spans="10:10" x14ac:dyDescent="0.4">
      <c r="J5408" s="140"/>
    </row>
    <row r="5409" spans="10:10" x14ac:dyDescent="0.4">
      <c r="J5409" s="140"/>
    </row>
    <row r="5410" spans="10:10" x14ac:dyDescent="0.4">
      <c r="J5410" s="140"/>
    </row>
    <row r="5411" spans="10:10" x14ac:dyDescent="0.4">
      <c r="J5411" s="140"/>
    </row>
    <row r="5412" spans="10:10" x14ac:dyDescent="0.4">
      <c r="J5412" s="140"/>
    </row>
    <row r="5413" spans="10:10" x14ac:dyDescent="0.4">
      <c r="J5413" s="140"/>
    </row>
    <row r="5414" spans="10:10" x14ac:dyDescent="0.4">
      <c r="J5414" s="140"/>
    </row>
    <row r="5415" spans="10:10" x14ac:dyDescent="0.4">
      <c r="J5415" s="140"/>
    </row>
    <row r="5416" spans="10:10" x14ac:dyDescent="0.4">
      <c r="J5416" s="140"/>
    </row>
    <row r="5417" spans="10:10" x14ac:dyDescent="0.4">
      <c r="J5417" s="140"/>
    </row>
    <row r="5418" spans="10:10" x14ac:dyDescent="0.4">
      <c r="J5418" s="140"/>
    </row>
    <row r="5419" spans="10:10" x14ac:dyDescent="0.4">
      <c r="J5419" s="140"/>
    </row>
    <row r="5420" spans="10:10" x14ac:dyDescent="0.4">
      <c r="J5420" s="140"/>
    </row>
    <row r="5421" spans="10:10" x14ac:dyDescent="0.4">
      <c r="J5421" s="140"/>
    </row>
    <row r="5422" spans="10:10" x14ac:dyDescent="0.4">
      <c r="J5422" s="140"/>
    </row>
    <row r="5423" spans="10:10" x14ac:dyDescent="0.4">
      <c r="J5423" s="140"/>
    </row>
    <row r="5424" spans="10:10" x14ac:dyDescent="0.4">
      <c r="J5424" s="140"/>
    </row>
    <row r="5425" spans="10:10" x14ac:dyDescent="0.4">
      <c r="J5425" s="140"/>
    </row>
    <row r="5426" spans="10:10" x14ac:dyDescent="0.4">
      <c r="J5426" s="140"/>
    </row>
    <row r="5427" spans="10:10" x14ac:dyDescent="0.4">
      <c r="J5427" s="140"/>
    </row>
    <row r="5428" spans="10:10" x14ac:dyDescent="0.4">
      <c r="J5428" s="140"/>
    </row>
    <row r="5429" spans="10:10" x14ac:dyDescent="0.4">
      <c r="J5429" s="140"/>
    </row>
    <row r="5430" spans="10:10" x14ac:dyDescent="0.4">
      <c r="J5430" s="140"/>
    </row>
    <row r="5431" spans="10:10" x14ac:dyDescent="0.4">
      <c r="J5431" s="140"/>
    </row>
    <row r="5432" spans="10:10" x14ac:dyDescent="0.4">
      <c r="J5432" s="140"/>
    </row>
    <row r="5433" spans="10:10" x14ac:dyDescent="0.4">
      <c r="J5433" s="140"/>
    </row>
    <row r="5434" spans="10:10" x14ac:dyDescent="0.4">
      <c r="J5434" s="140"/>
    </row>
    <row r="5435" spans="10:10" x14ac:dyDescent="0.4">
      <c r="J5435" s="140"/>
    </row>
    <row r="5436" spans="10:10" x14ac:dyDescent="0.4">
      <c r="J5436" s="140"/>
    </row>
    <row r="5437" spans="10:10" x14ac:dyDescent="0.4">
      <c r="J5437" s="140"/>
    </row>
    <row r="5438" spans="10:10" x14ac:dyDescent="0.4">
      <c r="J5438" s="140"/>
    </row>
    <row r="5439" spans="10:10" x14ac:dyDescent="0.4">
      <c r="J5439" s="140"/>
    </row>
    <row r="5440" spans="10:10" x14ac:dyDescent="0.4">
      <c r="J5440" s="140"/>
    </row>
    <row r="5441" spans="10:10" x14ac:dyDescent="0.4">
      <c r="J5441" s="140"/>
    </row>
    <row r="5442" spans="10:10" x14ac:dyDescent="0.4">
      <c r="J5442" s="140"/>
    </row>
    <row r="5443" spans="10:10" x14ac:dyDescent="0.4">
      <c r="J5443" s="140"/>
    </row>
    <row r="5444" spans="10:10" x14ac:dyDescent="0.4">
      <c r="J5444" s="140"/>
    </row>
    <row r="5445" spans="10:10" x14ac:dyDescent="0.4">
      <c r="J5445" s="140"/>
    </row>
    <row r="5446" spans="10:10" x14ac:dyDescent="0.4">
      <c r="J5446" s="140"/>
    </row>
    <row r="5447" spans="10:10" x14ac:dyDescent="0.4">
      <c r="J5447" s="140"/>
    </row>
    <row r="5448" spans="10:10" x14ac:dyDescent="0.4">
      <c r="J5448" s="140"/>
    </row>
    <row r="5449" spans="10:10" x14ac:dyDescent="0.4">
      <c r="J5449" s="140"/>
    </row>
    <row r="5450" spans="10:10" x14ac:dyDescent="0.4">
      <c r="J5450" s="140"/>
    </row>
    <row r="5451" spans="10:10" x14ac:dyDescent="0.4">
      <c r="J5451" s="140"/>
    </row>
    <row r="5452" spans="10:10" x14ac:dyDescent="0.4">
      <c r="J5452" s="140"/>
    </row>
    <row r="5453" spans="10:10" x14ac:dyDescent="0.4">
      <c r="J5453" s="140"/>
    </row>
    <row r="5454" spans="10:10" x14ac:dyDescent="0.4">
      <c r="J5454" s="140"/>
    </row>
    <row r="5455" spans="10:10" x14ac:dyDescent="0.4">
      <c r="J5455" s="140"/>
    </row>
    <row r="5456" spans="10:10" x14ac:dyDescent="0.4">
      <c r="J5456" s="140"/>
    </row>
    <row r="5457" spans="10:10" x14ac:dyDescent="0.4">
      <c r="J5457" s="140"/>
    </row>
    <row r="5458" spans="10:10" x14ac:dyDescent="0.4">
      <c r="J5458" s="140"/>
    </row>
    <row r="5459" spans="10:10" x14ac:dyDescent="0.4">
      <c r="J5459" s="140"/>
    </row>
    <row r="5460" spans="10:10" x14ac:dyDescent="0.4">
      <c r="J5460" s="140"/>
    </row>
    <row r="5461" spans="10:10" x14ac:dyDescent="0.4">
      <c r="J5461" s="140"/>
    </row>
    <row r="5462" spans="10:10" x14ac:dyDescent="0.4">
      <c r="J5462" s="140"/>
    </row>
    <row r="5463" spans="10:10" x14ac:dyDescent="0.4">
      <c r="J5463" s="140"/>
    </row>
    <row r="5464" spans="10:10" x14ac:dyDescent="0.4">
      <c r="J5464" s="140"/>
    </row>
    <row r="5465" spans="10:10" x14ac:dyDescent="0.4">
      <c r="J5465" s="140"/>
    </row>
    <row r="5466" spans="10:10" x14ac:dyDescent="0.4">
      <c r="J5466" s="140"/>
    </row>
    <row r="5467" spans="10:10" x14ac:dyDescent="0.4">
      <c r="J5467" s="140"/>
    </row>
    <row r="5468" spans="10:10" x14ac:dyDescent="0.4">
      <c r="J5468" s="140"/>
    </row>
    <row r="5469" spans="10:10" x14ac:dyDescent="0.4">
      <c r="J5469" s="140"/>
    </row>
    <row r="5470" spans="10:10" x14ac:dyDescent="0.4">
      <c r="J5470" s="140"/>
    </row>
    <row r="5471" spans="10:10" x14ac:dyDescent="0.4">
      <c r="J5471" s="140"/>
    </row>
    <row r="5472" spans="10:10" x14ac:dyDescent="0.4">
      <c r="J5472" s="140"/>
    </row>
    <row r="5473" spans="10:10" x14ac:dyDescent="0.4">
      <c r="J5473" s="140"/>
    </row>
    <row r="5474" spans="10:10" x14ac:dyDescent="0.4">
      <c r="J5474" s="140"/>
    </row>
    <row r="5475" spans="10:10" x14ac:dyDescent="0.4">
      <c r="J5475" s="140"/>
    </row>
    <row r="5476" spans="10:10" x14ac:dyDescent="0.4">
      <c r="J5476" s="140"/>
    </row>
    <row r="5477" spans="10:10" x14ac:dyDescent="0.4">
      <c r="J5477" s="140"/>
    </row>
    <row r="5478" spans="10:10" x14ac:dyDescent="0.4">
      <c r="J5478" s="140"/>
    </row>
    <row r="5479" spans="10:10" x14ac:dyDescent="0.4">
      <c r="J5479" s="140"/>
    </row>
    <row r="5480" spans="10:10" x14ac:dyDescent="0.4">
      <c r="J5480" s="140"/>
    </row>
    <row r="5481" spans="10:10" x14ac:dyDescent="0.4">
      <c r="J5481" s="140"/>
    </row>
    <row r="5482" spans="10:10" x14ac:dyDescent="0.4">
      <c r="J5482" s="140"/>
    </row>
    <row r="5483" spans="10:10" x14ac:dyDescent="0.4">
      <c r="J5483" s="140"/>
    </row>
    <row r="5484" spans="10:10" x14ac:dyDescent="0.4">
      <c r="J5484" s="140"/>
    </row>
    <row r="5485" spans="10:10" x14ac:dyDescent="0.4">
      <c r="J5485" s="140"/>
    </row>
    <row r="5486" spans="10:10" x14ac:dyDescent="0.4">
      <c r="J5486" s="140"/>
    </row>
    <row r="5487" spans="10:10" x14ac:dyDescent="0.4">
      <c r="J5487" s="140"/>
    </row>
    <row r="5488" spans="10:10" x14ac:dyDescent="0.4">
      <c r="J5488" s="140"/>
    </row>
    <row r="5489" spans="10:10" x14ac:dyDescent="0.4">
      <c r="J5489" s="140"/>
    </row>
    <row r="5490" spans="10:10" x14ac:dyDescent="0.4">
      <c r="J5490" s="140"/>
    </row>
    <row r="5491" spans="10:10" x14ac:dyDescent="0.4">
      <c r="J5491" s="140"/>
    </row>
    <row r="5492" spans="10:10" x14ac:dyDescent="0.4">
      <c r="J5492" s="140"/>
    </row>
    <row r="5493" spans="10:10" x14ac:dyDescent="0.4">
      <c r="J5493" s="140"/>
    </row>
    <row r="5494" spans="10:10" x14ac:dyDescent="0.4">
      <c r="J5494" s="140"/>
    </row>
    <row r="5495" spans="10:10" x14ac:dyDescent="0.4">
      <c r="J5495" s="140"/>
    </row>
    <row r="5496" spans="10:10" x14ac:dyDescent="0.4">
      <c r="J5496" s="140"/>
    </row>
    <row r="5497" spans="10:10" x14ac:dyDescent="0.4">
      <c r="J5497" s="140"/>
    </row>
    <row r="5498" spans="10:10" x14ac:dyDescent="0.4">
      <c r="J5498" s="140"/>
    </row>
    <row r="5499" spans="10:10" x14ac:dyDescent="0.4">
      <c r="J5499" s="140"/>
    </row>
    <row r="5500" spans="10:10" x14ac:dyDescent="0.4">
      <c r="J5500" s="140"/>
    </row>
    <row r="5501" spans="10:10" x14ac:dyDescent="0.4">
      <c r="J5501" s="140"/>
    </row>
    <row r="5502" spans="10:10" x14ac:dyDescent="0.4">
      <c r="J5502" s="140"/>
    </row>
    <row r="5503" spans="10:10" x14ac:dyDescent="0.4">
      <c r="J5503" s="140"/>
    </row>
    <row r="5504" spans="10:10" x14ac:dyDescent="0.4">
      <c r="J5504" s="140"/>
    </row>
    <row r="5505" spans="10:10" x14ac:dyDescent="0.4">
      <c r="J5505" s="140"/>
    </row>
    <row r="5506" spans="10:10" x14ac:dyDescent="0.4">
      <c r="J5506" s="140"/>
    </row>
    <row r="5507" spans="10:10" x14ac:dyDescent="0.4">
      <c r="J5507" s="140"/>
    </row>
    <row r="5508" spans="10:10" x14ac:dyDescent="0.4">
      <c r="J5508" s="140"/>
    </row>
    <row r="5509" spans="10:10" x14ac:dyDescent="0.4">
      <c r="J5509" s="140"/>
    </row>
    <row r="5510" spans="10:10" x14ac:dyDescent="0.4">
      <c r="J5510" s="140"/>
    </row>
    <row r="5511" spans="10:10" x14ac:dyDescent="0.4">
      <c r="J5511" s="140"/>
    </row>
    <row r="5512" spans="10:10" x14ac:dyDescent="0.4">
      <c r="J5512" s="140"/>
    </row>
    <row r="5513" spans="10:10" x14ac:dyDescent="0.4">
      <c r="J5513" s="140"/>
    </row>
    <row r="5514" spans="10:10" x14ac:dyDescent="0.4">
      <c r="J5514" s="140"/>
    </row>
    <row r="5515" spans="10:10" x14ac:dyDescent="0.4">
      <c r="J5515" s="140"/>
    </row>
    <row r="5516" spans="10:10" x14ac:dyDescent="0.4">
      <c r="J5516" s="140"/>
    </row>
    <row r="5517" spans="10:10" x14ac:dyDescent="0.4">
      <c r="J5517" s="140"/>
    </row>
    <row r="5518" spans="10:10" x14ac:dyDescent="0.4">
      <c r="J5518" s="140"/>
    </row>
    <row r="5519" spans="10:10" x14ac:dyDescent="0.4">
      <c r="J5519" s="140"/>
    </row>
    <row r="5520" spans="10:10" x14ac:dyDescent="0.4">
      <c r="J5520" s="140"/>
    </row>
    <row r="5521" spans="10:10" x14ac:dyDescent="0.4">
      <c r="J5521" s="140"/>
    </row>
    <row r="5522" spans="10:10" x14ac:dyDescent="0.4">
      <c r="J5522" s="140"/>
    </row>
    <row r="5523" spans="10:10" x14ac:dyDescent="0.4">
      <c r="J5523" s="140"/>
    </row>
    <row r="5524" spans="10:10" x14ac:dyDescent="0.4">
      <c r="J5524" s="140"/>
    </row>
    <row r="5525" spans="10:10" x14ac:dyDescent="0.4">
      <c r="J5525" s="140"/>
    </row>
    <row r="5526" spans="10:10" x14ac:dyDescent="0.4">
      <c r="J5526" s="140"/>
    </row>
    <row r="5527" spans="10:10" x14ac:dyDescent="0.4">
      <c r="J5527" s="140"/>
    </row>
    <row r="5528" spans="10:10" x14ac:dyDescent="0.4">
      <c r="J5528" s="140"/>
    </row>
    <row r="5529" spans="10:10" x14ac:dyDescent="0.4">
      <c r="J5529" s="140"/>
    </row>
    <row r="5530" spans="10:10" x14ac:dyDescent="0.4">
      <c r="J5530" s="140"/>
    </row>
    <row r="5531" spans="10:10" x14ac:dyDescent="0.4">
      <c r="J5531" s="140"/>
    </row>
    <row r="5532" spans="10:10" x14ac:dyDescent="0.4">
      <c r="J5532" s="140"/>
    </row>
    <row r="5533" spans="10:10" x14ac:dyDescent="0.4">
      <c r="J5533" s="140"/>
    </row>
    <row r="5534" spans="10:10" x14ac:dyDescent="0.4">
      <c r="J5534" s="140"/>
    </row>
    <row r="5535" spans="10:10" x14ac:dyDescent="0.4">
      <c r="J5535" s="140"/>
    </row>
    <row r="5536" spans="10:10" x14ac:dyDescent="0.4">
      <c r="J5536" s="140"/>
    </row>
    <row r="5537" spans="10:10" x14ac:dyDescent="0.4">
      <c r="J5537" s="140"/>
    </row>
    <row r="5538" spans="10:10" x14ac:dyDescent="0.4">
      <c r="J5538" s="140"/>
    </row>
    <row r="5539" spans="10:10" x14ac:dyDescent="0.4">
      <c r="J5539" s="140"/>
    </row>
    <row r="5540" spans="10:10" x14ac:dyDescent="0.4">
      <c r="J5540" s="140"/>
    </row>
    <row r="5541" spans="10:10" x14ac:dyDescent="0.4">
      <c r="J5541" s="140"/>
    </row>
    <row r="5542" spans="10:10" x14ac:dyDescent="0.4">
      <c r="J5542" s="140"/>
    </row>
    <row r="5543" spans="10:10" x14ac:dyDescent="0.4">
      <c r="J5543" s="140"/>
    </row>
    <row r="5544" spans="10:10" x14ac:dyDescent="0.4">
      <c r="J5544" s="140"/>
    </row>
    <row r="5545" spans="10:10" x14ac:dyDescent="0.4">
      <c r="J5545" s="140"/>
    </row>
    <row r="5546" spans="10:10" x14ac:dyDescent="0.4">
      <c r="J5546" s="140"/>
    </row>
    <row r="5547" spans="10:10" x14ac:dyDescent="0.4">
      <c r="J5547" s="140"/>
    </row>
    <row r="5548" spans="10:10" x14ac:dyDescent="0.4">
      <c r="J5548" s="140"/>
    </row>
    <row r="5549" spans="10:10" x14ac:dyDescent="0.4">
      <c r="J5549" s="140"/>
    </row>
    <row r="5550" spans="10:10" x14ac:dyDescent="0.4">
      <c r="J5550" s="140"/>
    </row>
    <row r="5551" spans="10:10" x14ac:dyDescent="0.4">
      <c r="J5551" s="140"/>
    </row>
    <row r="5552" spans="10:10" x14ac:dyDescent="0.4">
      <c r="J5552" s="140"/>
    </row>
    <row r="5553" spans="10:10" x14ac:dyDescent="0.4">
      <c r="J5553" s="140"/>
    </row>
    <row r="5554" spans="10:10" x14ac:dyDescent="0.4">
      <c r="J5554" s="140"/>
    </row>
    <row r="5555" spans="10:10" x14ac:dyDescent="0.4">
      <c r="J5555" s="140"/>
    </row>
    <row r="5556" spans="10:10" x14ac:dyDescent="0.4">
      <c r="J5556" s="140"/>
    </row>
    <row r="5557" spans="10:10" x14ac:dyDescent="0.4">
      <c r="J5557" s="140"/>
    </row>
    <row r="5558" spans="10:10" x14ac:dyDescent="0.4">
      <c r="J5558" s="140"/>
    </row>
    <row r="5559" spans="10:10" x14ac:dyDescent="0.4">
      <c r="J5559" s="140"/>
    </row>
    <row r="5560" spans="10:10" x14ac:dyDescent="0.4">
      <c r="J5560" s="140"/>
    </row>
    <row r="5561" spans="10:10" x14ac:dyDescent="0.4">
      <c r="J5561" s="140"/>
    </row>
    <row r="5562" spans="10:10" x14ac:dyDescent="0.4">
      <c r="J5562" s="140"/>
    </row>
    <row r="5563" spans="10:10" x14ac:dyDescent="0.4">
      <c r="J5563" s="140"/>
    </row>
    <row r="5564" spans="10:10" x14ac:dyDescent="0.4">
      <c r="J5564" s="140"/>
    </row>
    <row r="5565" spans="10:10" x14ac:dyDescent="0.4">
      <c r="J5565" s="140"/>
    </row>
    <row r="5566" spans="10:10" x14ac:dyDescent="0.4">
      <c r="J5566" s="140"/>
    </row>
    <row r="5567" spans="10:10" x14ac:dyDescent="0.4">
      <c r="J5567" s="140"/>
    </row>
    <row r="5568" spans="10:10" x14ac:dyDescent="0.4">
      <c r="J5568" s="140"/>
    </row>
    <row r="5569" spans="10:10" x14ac:dyDescent="0.4">
      <c r="J5569" s="140"/>
    </row>
    <row r="5570" spans="10:10" x14ac:dyDescent="0.4">
      <c r="J5570" s="140"/>
    </row>
    <row r="5571" spans="10:10" x14ac:dyDescent="0.4">
      <c r="J5571" s="140"/>
    </row>
    <row r="5572" spans="10:10" x14ac:dyDescent="0.4">
      <c r="J5572" s="140"/>
    </row>
    <row r="5573" spans="10:10" x14ac:dyDescent="0.4">
      <c r="J5573" s="140"/>
    </row>
    <row r="5574" spans="10:10" x14ac:dyDescent="0.4">
      <c r="J5574" s="140"/>
    </row>
    <row r="5575" spans="10:10" x14ac:dyDescent="0.4">
      <c r="J5575" s="140"/>
    </row>
    <row r="5576" spans="10:10" x14ac:dyDescent="0.4">
      <c r="J5576" s="140"/>
    </row>
    <row r="5577" spans="10:10" x14ac:dyDescent="0.4">
      <c r="J5577" s="140"/>
    </row>
    <row r="5578" spans="10:10" x14ac:dyDescent="0.4">
      <c r="J5578" s="140"/>
    </row>
    <row r="5579" spans="10:10" x14ac:dyDescent="0.4">
      <c r="J5579" s="140"/>
    </row>
    <row r="5580" spans="10:10" x14ac:dyDescent="0.4">
      <c r="J5580" s="140"/>
    </row>
    <row r="5581" spans="10:10" x14ac:dyDescent="0.4">
      <c r="J5581" s="140"/>
    </row>
    <row r="5582" spans="10:10" x14ac:dyDescent="0.4">
      <c r="J5582" s="140"/>
    </row>
    <row r="5583" spans="10:10" x14ac:dyDescent="0.4">
      <c r="J5583" s="140"/>
    </row>
    <row r="5584" spans="10:10" x14ac:dyDescent="0.4">
      <c r="J5584" s="140"/>
    </row>
    <row r="5585" spans="10:10" x14ac:dyDescent="0.4">
      <c r="J5585" s="140"/>
    </row>
    <row r="5586" spans="10:10" x14ac:dyDescent="0.4">
      <c r="J5586" s="140"/>
    </row>
    <row r="5587" spans="10:10" x14ac:dyDescent="0.4">
      <c r="J5587" s="140"/>
    </row>
    <row r="5588" spans="10:10" x14ac:dyDescent="0.4">
      <c r="J5588" s="140"/>
    </row>
    <row r="5589" spans="10:10" x14ac:dyDescent="0.4">
      <c r="J5589" s="140"/>
    </row>
    <row r="5590" spans="10:10" x14ac:dyDescent="0.4">
      <c r="J5590" s="140"/>
    </row>
    <row r="5591" spans="10:10" x14ac:dyDescent="0.4">
      <c r="J5591" s="140"/>
    </row>
    <row r="5592" spans="10:10" x14ac:dyDescent="0.4">
      <c r="J5592" s="140"/>
    </row>
    <row r="5593" spans="10:10" x14ac:dyDescent="0.4">
      <c r="J5593" s="140"/>
    </row>
    <row r="5594" spans="10:10" x14ac:dyDescent="0.4">
      <c r="J5594" s="140"/>
    </row>
    <row r="5595" spans="10:10" x14ac:dyDescent="0.4">
      <c r="J5595" s="140"/>
    </row>
    <row r="5596" spans="10:10" x14ac:dyDescent="0.4">
      <c r="J5596" s="140"/>
    </row>
    <row r="5597" spans="10:10" x14ac:dyDescent="0.4">
      <c r="J5597" s="140"/>
    </row>
    <row r="5598" spans="10:10" x14ac:dyDescent="0.4">
      <c r="J5598" s="140"/>
    </row>
    <row r="5599" spans="10:10" x14ac:dyDescent="0.4">
      <c r="J5599" s="140"/>
    </row>
    <row r="5600" spans="10:10" x14ac:dyDescent="0.4">
      <c r="J5600" s="140"/>
    </row>
    <row r="5601" spans="10:10" x14ac:dyDescent="0.4">
      <c r="J5601" s="140"/>
    </row>
    <row r="5602" spans="10:10" x14ac:dyDescent="0.4">
      <c r="J5602" s="140"/>
    </row>
    <row r="5603" spans="10:10" x14ac:dyDescent="0.4">
      <c r="J5603" s="140"/>
    </row>
    <row r="5604" spans="10:10" x14ac:dyDescent="0.4">
      <c r="J5604" s="140"/>
    </row>
    <row r="5605" spans="10:10" x14ac:dyDescent="0.4">
      <c r="J5605" s="140"/>
    </row>
    <row r="5606" spans="10:10" x14ac:dyDescent="0.4">
      <c r="J5606" s="140"/>
    </row>
    <row r="5607" spans="10:10" x14ac:dyDescent="0.4">
      <c r="J5607" s="140"/>
    </row>
    <row r="5608" spans="10:10" x14ac:dyDescent="0.4">
      <c r="J5608" s="140"/>
    </row>
    <row r="5609" spans="10:10" x14ac:dyDescent="0.4">
      <c r="J5609" s="140"/>
    </row>
    <row r="5610" spans="10:10" x14ac:dyDescent="0.4">
      <c r="J5610" s="140"/>
    </row>
    <row r="5611" spans="10:10" x14ac:dyDescent="0.4">
      <c r="J5611" s="140"/>
    </row>
    <row r="5612" spans="10:10" x14ac:dyDescent="0.4">
      <c r="J5612" s="140"/>
    </row>
    <row r="5613" spans="10:10" x14ac:dyDescent="0.4">
      <c r="J5613" s="140"/>
    </row>
    <row r="5614" spans="10:10" x14ac:dyDescent="0.4">
      <c r="J5614" s="140"/>
    </row>
    <row r="5615" spans="10:10" x14ac:dyDescent="0.4">
      <c r="J5615" s="140"/>
    </row>
    <row r="5616" spans="10:10" x14ac:dyDescent="0.4">
      <c r="J5616" s="140"/>
    </row>
    <row r="5617" spans="10:10" x14ac:dyDescent="0.4">
      <c r="J5617" s="140"/>
    </row>
    <row r="5618" spans="10:10" x14ac:dyDescent="0.4">
      <c r="J5618" s="140"/>
    </row>
    <row r="5619" spans="10:10" x14ac:dyDescent="0.4">
      <c r="J5619" s="140"/>
    </row>
    <row r="5620" spans="10:10" x14ac:dyDescent="0.4">
      <c r="J5620" s="140"/>
    </row>
    <row r="5621" spans="10:10" x14ac:dyDescent="0.4">
      <c r="J5621" s="140"/>
    </row>
    <row r="5622" spans="10:10" x14ac:dyDescent="0.4">
      <c r="J5622" s="140"/>
    </row>
    <row r="5623" spans="10:10" x14ac:dyDescent="0.4">
      <c r="J5623" s="140"/>
    </row>
    <row r="5624" spans="10:10" x14ac:dyDescent="0.4">
      <c r="J5624" s="140"/>
    </row>
    <row r="5625" spans="10:10" x14ac:dyDescent="0.4">
      <c r="J5625" s="140"/>
    </row>
    <row r="5626" spans="10:10" x14ac:dyDescent="0.4">
      <c r="J5626" s="140"/>
    </row>
    <row r="5627" spans="10:10" x14ac:dyDescent="0.4">
      <c r="J5627" s="140"/>
    </row>
    <row r="5628" spans="10:10" x14ac:dyDescent="0.4">
      <c r="J5628" s="140"/>
    </row>
    <row r="5629" spans="10:10" x14ac:dyDescent="0.4">
      <c r="J5629" s="140"/>
    </row>
    <row r="5630" spans="10:10" x14ac:dyDescent="0.4">
      <c r="J5630" s="140"/>
    </row>
    <row r="5631" spans="10:10" x14ac:dyDescent="0.4">
      <c r="J5631" s="140"/>
    </row>
    <row r="5632" spans="10:10" x14ac:dyDescent="0.4">
      <c r="J5632" s="140"/>
    </row>
    <row r="5633" spans="10:10" x14ac:dyDescent="0.4">
      <c r="J5633" s="140"/>
    </row>
    <row r="5634" spans="10:10" x14ac:dyDescent="0.4">
      <c r="J5634" s="140"/>
    </row>
    <row r="5635" spans="10:10" x14ac:dyDescent="0.4">
      <c r="J5635" s="140"/>
    </row>
    <row r="5636" spans="10:10" x14ac:dyDescent="0.4">
      <c r="J5636" s="140"/>
    </row>
    <row r="5637" spans="10:10" x14ac:dyDescent="0.4">
      <c r="J5637" s="140"/>
    </row>
    <row r="5638" spans="10:10" x14ac:dyDescent="0.4">
      <c r="J5638" s="140"/>
    </row>
    <row r="5639" spans="10:10" x14ac:dyDescent="0.4">
      <c r="J5639" s="140"/>
    </row>
    <row r="5640" spans="10:10" x14ac:dyDescent="0.4">
      <c r="J5640" s="140"/>
    </row>
    <row r="5641" spans="10:10" x14ac:dyDescent="0.4">
      <c r="J5641" s="140"/>
    </row>
    <row r="5642" spans="10:10" x14ac:dyDescent="0.4">
      <c r="J5642" s="140"/>
    </row>
    <row r="5643" spans="10:10" x14ac:dyDescent="0.4">
      <c r="J5643" s="140"/>
    </row>
    <row r="5644" spans="10:10" x14ac:dyDescent="0.4">
      <c r="J5644" s="140"/>
    </row>
    <row r="5645" spans="10:10" x14ac:dyDescent="0.4">
      <c r="J5645" s="140"/>
    </row>
    <row r="5646" spans="10:10" x14ac:dyDescent="0.4">
      <c r="J5646" s="140"/>
    </row>
    <row r="5647" spans="10:10" x14ac:dyDescent="0.4">
      <c r="J5647" s="140"/>
    </row>
    <row r="5648" spans="10:10" x14ac:dyDescent="0.4">
      <c r="J5648" s="140"/>
    </row>
    <row r="5649" spans="10:10" x14ac:dyDescent="0.4">
      <c r="J5649" s="140"/>
    </row>
    <row r="5650" spans="10:10" x14ac:dyDescent="0.4">
      <c r="J5650" s="140"/>
    </row>
    <row r="5651" spans="10:10" x14ac:dyDescent="0.4">
      <c r="J5651" s="140"/>
    </row>
    <row r="5652" spans="10:10" x14ac:dyDescent="0.4">
      <c r="J5652" s="140"/>
    </row>
    <row r="5653" spans="10:10" x14ac:dyDescent="0.4">
      <c r="J5653" s="140"/>
    </row>
    <row r="5654" spans="10:10" x14ac:dyDescent="0.4">
      <c r="J5654" s="140"/>
    </row>
    <row r="5655" spans="10:10" x14ac:dyDescent="0.4">
      <c r="J5655" s="140"/>
    </row>
    <row r="5656" spans="10:10" x14ac:dyDescent="0.4">
      <c r="J5656" s="140"/>
    </row>
    <row r="5657" spans="10:10" x14ac:dyDescent="0.4">
      <c r="J5657" s="140"/>
    </row>
    <row r="5658" spans="10:10" x14ac:dyDescent="0.4">
      <c r="J5658" s="140"/>
    </row>
    <row r="5659" spans="10:10" x14ac:dyDescent="0.4">
      <c r="J5659" s="140"/>
    </row>
    <row r="5660" spans="10:10" x14ac:dyDescent="0.4">
      <c r="J5660" s="140"/>
    </row>
    <row r="5661" spans="10:10" x14ac:dyDescent="0.4">
      <c r="J5661" s="140"/>
    </row>
    <row r="5662" spans="10:10" x14ac:dyDescent="0.4">
      <c r="J5662" s="140"/>
    </row>
    <row r="5663" spans="10:10" x14ac:dyDescent="0.4">
      <c r="J5663" s="140"/>
    </row>
    <row r="5664" spans="10:10" x14ac:dyDescent="0.4">
      <c r="J5664" s="140"/>
    </row>
    <row r="5665" spans="10:10" x14ac:dyDescent="0.4">
      <c r="J5665" s="140"/>
    </row>
    <row r="5666" spans="10:10" x14ac:dyDescent="0.4">
      <c r="J5666" s="140"/>
    </row>
    <row r="5667" spans="10:10" x14ac:dyDescent="0.4">
      <c r="J5667" s="140"/>
    </row>
    <row r="5668" spans="10:10" x14ac:dyDescent="0.4">
      <c r="J5668" s="140"/>
    </row>
    <row r="5669" spans="10:10" x14ac:dyDescent="0.4">
      <c r="J5669" s="140"/>
    </row>
    <row r="5670" spans="10:10" x14ac:dyDescent="0.4">
      <c r="J5670" s="140"/>
    </row>
    <row r="5671" spans="10:10" x14ac:dyDescent="0.4">
      <c r="J5671" s="140"/>
    </row>
    <row r="5672" spans="10:10" x14ac:dyDescent="0.4">
      <c r="J5672" s="140"/>
    </row>
    <row r="5673" spans="10:10" x14ac:dyDescent="0.4">
      <c r="J5673" s="140"/>
    </row>
    <row r="5674" spans="10:10" x14ac:dyDescent="0.4">
      <c r="J5674" s="140"/>
    </row>
    <row r="5675" spans="10:10" x14ac:dyDescent="0.4">
      <c r="J5675" s="140"/>
    </row>
    <row r="5676" spans="10:10" x14ac:dyDescent="0.4">
      <c r="J5676" s="140"/>
    </row>
    <row r="5677" spans="10:10" x14ac:dyDescent="0.4">
      <c r="J5677" s="140"/>
    </row>
    <row r="5678" spans="10:10" x14ac:dyDescent="0.4">
      <c r="J5678" s="140"/>
    </row>
    <row r="5679" spans="10:10" x14ac:dyDescent="0.4">
      <c r="J5679" s="140"/>
    </row>
    <row r="5680" spans="10:10" x14ac:dyDescent="0.4">
      <c r="J5680" s="140"/>
    </row>
    <row r="5681" spans="10:10" x14ac:dyDescent="0.4">
      <c r="J5681" s="140"/>
    </row>
    <row r="5682" spans="10:10" x14ac:dyDescent="0.4">
      <c r="J5682" s="140"/>
    </row>
    <row r="5683" spans="10:10" x14ac:dyDescent="0.4">
      <c r="J5683" s="140"/>
    </row>
    <row r="5684" spans="10:10" x14ac:dyDescent="0.4">
      <c r="J5684" s="140"/>
    </row>
    <row r="5685" spans="10:10" x14ac:dyDescent="0.4">
      <c r="J5685" s="140"/>
    </row>
    <row r="5686" spans="10:10" x14ac:dyDescent="0.4">
      <c r="J5686" s="140"/>
    </row>
    <row r="5687" spans="10:10" x14ac:dyDescent="0.4">
      <c r="J5687" s="140"/>
    </row>
    <row r="5688" spans="10:10" x14ac:dyDescent="0.4">
      <c r="J5688" s="140"/>
    </row>
    <row r="5689" spans="10:10" x14ac:dyDescent="0.4">
      <c r="J5689" s="140"/>
    </row>
    <row r="5690" spans="10:10" x14ac:dyDescent="0.4">
      <c r="J5690" s="140"/>
    </row>
    <row r="5691" spans="10:10" x14ac:dyDescent="0.4">
      <c r="J5691" s="140"/>
    </row>
    <row r="5692" spans="10:10" x14ac:dyDescent="0.4">
      <c r="J5692" s="140"/>
    </row>
    <row r="5693" spans="10:10" x14ac:dyDescent="0.4">
      <c r="J5693" s="140"/>
    </row>
    <row r="5694" spans="10:10" x14ac:dyDescent="0.4">
      <c r="J5694" s="140"/>
    </row>
    <row r="5695" spans="10:10" x14ac:dyDescent="0.4">
      <c r="J5695" s="140"/>
    </row>
    <row r="5696" spans="10:10" x14ac:dyDescent="0.4">
      <c r="J5696" s="140"/>
    </row>
    <row r="5697" spans="10:10" x14ac:dyDescent="0.4">
      <c r="J5697" s="140"/>
    </row>
    <row r="5698" spans="10:10" x14ac:dyDescent="0.4">
      <c r="J5698" s="140"/>
    </row>
    <row r="5699" spans="10:10" x14ac:dyDescent="0.4">
      <c r="J5699" s="140"/>
    </row>
    <row r="5700" spans="10:10" x14ac:dyDescent="0.4">
      <c r="J5700" s="140"/>
    </row>
    <row r="5701" spans="10:10" x14ac:dyDescent="0.4">
      <c r="J5701" s="140"/>
    </row>
    <row r="5702" spans="10:10" x14ac:dyDescent="0.4">
      <c r="J5702" s="140"/>
    </row>
    <row r="5703" spans="10:10" x14ac:dyDescent="0.4">
      <c r="J5703" s="140"/>
    </row>
    <row r="5704" spans="10:10" x14ac:dyDescent="0.4">
      <c r="J5704" s="140"/>
    </row>
    <row r="5705" spans="10:10" x14ac:dyDescent="0.4">
      <c r="J5705" s="140"/>
    </row>
    <row r="5706" spans="10:10" x14ac:dyDescent="0.4">
      <c r="J5706" s="140"/>
    </row>
    <row r="5707" spans="10:10" x14ac:dyDescent="0.4">
      <c r="J5707" s="140"/>
    </row>
    <row r="5708" spans="10:10" x14ac:dyDescent="0.4">
      <c r="J5708" s="140"/>
    </row>
    <row r="5709" spans="10:10" x14ac:dyDescent="0.4">
      <c r="J5709" s="140"/>
    </row>
    <row r="5710" spans="10:10" x14ac:dyDescent="0.4">
      <c r="J5710" s="140"/>
    </row>
    <row r="5711" spans="10:10" x14ac:dyDescent="0.4">
      <c r="J5711" s="140"/>
    </row>
    <row r="5712" spans="10:10" x14ac:dyDescent="0.4">
      <c r="J5712" s="140"/>
    </row>
    <row r="5713" spans="10:10" x14ac:dyDescent="0.4">
      <c r="J5713" s="140"/>
    </row>
    <row r="5714" spans="10:10" x14ac:dyDescent="0.4">
      <c r="J5714" s="140"/>
    </row>
    <row r="5715" spans="10:10" x14ac:dyDescent="0.4">
      <c r="J5715" s="140"/>
    </row>
    <row r="5716" spans="10:10" x14ac:dyDescent="0.4">
      <c r="J5716" s="140"/>
    </row>
    <row r="5717" spans="10:10" x14ac:dyDescent="0.4">
      <c r="J5717" s="140"/>
    </row>
    <row r="5718" spans="10:10" x14ac:dyDescent="0.4">
      <c r="J5718" s="140"/>
    </row>
    <row r="5719" spans="10:10" x14ac:dyDescent="0.4">
      <c r="J5719" s="140"/>
    </row>
    <row r="5720" spans="10:10" x14ac:dyDescent="0.4">
      <c r="J5720" s="140"/>
    </row>
    <row r="5721" spans="10:10" x14ac:dyDescent="0.4">
      <c r="J5721" s="140"/>
    </row>
    <row r="5722" spans="10:10" x14ac:dyDescent="0.4">
      <c r="J5722" s="140"/>
    </row>
    <row r="5723" spans="10:10" x14ac:dyDescent="0.4">
      <c r="J5723" s="140"/>
    </row>
    <row r="5724" spans="10:10" x14ac:dyDescent="0.4">
      <c r="J5724" s="140"/>
    </row>
    <row r="5725" spans="10:10" x14ac:dyDescent="0.4">
      <c r="J5725" s="140"/>
    </row>
    <row r="5726" spans="10:10" x14ac:dyDescent="0.4">
      <c r="J5726" s="140"/>
    </row>
    <row r="5727" spans="10:10" x14ac:dyDescent="0.4">
      <c r="J5727" s="140"/>
    </row>
    <row r="5728" spans="10:10" x14ac:dyDescent="0.4">
      <c r="J5728" s="140"/>
    </row>
    <row r="5729" spans="10:10" x14ac:dyDescent="0.4">
      <c r="J5729" s="140"/>
    </row>
    <row r="5730" spans="10:10" x14ac:dyDescent="0.4">
      <c r="J5730" s="140"/>
    </row>
    <row r="5731" spans="10:10" x14ac:dyDescent="0.4">
      <c r="J5731" s="140"/>
    </row>
    <row r="5732" spans="10:10" x14ac:dyDescent="0.4">
      <c r="J5732" s="140"/>
    </row>
    <row r="5733" spans="10:10" x14ac:dyDescent="0.4">
      <c r="J5733" s="140"/>
    </row>
    <row r="5734" spans="10:10" x14ac:dyDescent="0.4">
      <c r="J5734" s="140"/>
    </row>
    <row r="5735" spans="10:10" x14ac:dyDescent="0.4">
      <c r="J5735" s="140"/>
    </row>
    <row r="5736" spans="10:10" x14ac:dyDescent="0.4">
      <c r="J5736" s="140"/>
    </row>
    <row r="5737" spans="10:10" x14ac:dyDescent="0.4">
      <c r="J5737" s="140"/>
    </row>
    <row r="5738" spans="10:10" x14ac:dyDescent="0.4">
      <c r="J5738" s="140"/>
    </row>
    <row r="5739" spans="10:10" x14ac:dyDescent="0.4">
      <c r="J5739" s="140"/>
    </row>
    <row r="5740" spans="10:10" x14ac:dyDescent="0.4">
      <c r="J5740" s="140"/>
    </row>
    <row r="5741" spans="10:10" x14ac:dyDescent="0.4">
      <c r="J5741" s="140"/>
    </row>
    <row r="5742" spans="10:10" x14ac:dyDescent="0.4">
      <c r="J5742" s="140"/>
    </row>
    <row r="5743" spans="10:10" x14ac:dyDescent="0.4">
      <c r="J5743" s="140"/>
    </row>
    <row r="5744" spans="10:10" x14ac:dyDescent="0.4">
      <c r="J5744" s="140"/>
    </row>
    <row r="5745" spans="10:10" x14ac:dyDescent="0.4">
      <c r="J5745" s="140"/>
    </row>
    <row r="5746" spans="10:10" x14ac:dyDescent="0.4">
      <c r="J5746" s="140"/>
    </row>
    <row r="5747" spans="10:10" x14ac:dyDescent="0.4">
      <c r="J5747" s="140"/>
    </row>
    <row r="5748" spans="10:10" x14ac:dyDescent="0.4">
      <c r="J5748" s="140"/>
    </row>
    <row r="5749" spans="10:10" x14ac:dyDescent="0.4">
      <c r="J5749" s="140"/>
    </row>
    <row r="5750" spans="10:10" x14ac:dyDescent="0.4">
      <c r="J5750" s="140"/>
    </row>
    <row r="5751" spans="10:10" x14ac:dyDescent="0.4">
      <c r="J5751" s="140"/>
    </row>
    <row r="5752" spans="10:10" x14ac:dyDescent="0.4">
      <c r="J5752" s="140"/>
    </row>
    <row r="5753" spans="10:10" x14ac:dyDescent="0.4">
      <c r="J5753" s="140"/>
    </row>
    <row r="5754" spans="10:10" x14ac:dyDescent="0.4">
      <c r="J5754" s="140"/>
    </row>
    <row r="5755" spans="10:10" x14ac:dyDescent="0.4">
      <c r="J5755" s="140"/>
    </row>
    <row r="5756" spans="10:10" x14ac:dyDescent="0.4">
      <c r="J5756" s="140"/>
    </row>
    <row r="5757" spans="10:10" x14ac:dyDescent="0.4">
      <c r="J5757" s="140"/>
    </row>
    <row r="5758" spans="10:10" x14ac:dyDescent="0.4">
      <c r="J5758" s="140"/>
    </row>
    <row r="5759" spans="10:10" x14ac:dyDescent="0.4">
      <c r="J5759" s="140"/>
    </row>
    <row r="5760" spans="10:10" x14ac:dyDescent="0.4">
      <c r="J5760" s="140"/>
    </row>
    <row r="5761" spans="10:10" x14ac:dyDescent="0.4">
      <c r="J5761" s="140"/>
    </row>
    <row r="5762" spans="10:10" x14ac:dyDescent="0.4">
      <c r="J5762" s="140"/>
    </row>
    <row r="5763" spans="10:10" x14ac:dyDescent="0.4">
      <c r="J5763" s="140"/>
    </row>
    <row r="5764" spans="10:10" x14ac:dyDescent="0.4">
      <c r="J5764" s="140"/>
    </row>
    <row r="5765" spans="10:10" x14ac:dyDescent="0.4">
      <c r="J5765" s="140"/>
    </row>
    <row r="5766" spans="10:10" x14ac:dyDescent="0.4">
      <c r="J5766" s="140"/>
    </row>
    <row r="5767" spans="10:10" x14ac:dyDescent="0.4">
      <c r="J5767" s="140"/>
    </row>
    <row r="5768" spans="10:10" x14ac:dyDescent="0.4">
      <c r="J5768" s="140"/>
    </row>
    <row r="5769" spans="10:10" x14ac:dyDescent="0.4">
      <c r="J5769" s="140"/>
    </row>
    <row r="5770" spans="10:10" x14ac:dyDescent="0.4">
      <c r="J5770" s="140"/>
    </row>
    <row r="5771" spans="10:10" x14ac:dyDescent="0.4">
      <c r="J5771" s="140"/>
    </row>
    <row r="5772" spans="10:10" x14ac:dyDescent="0.4">
      <c r="J5772" s="140"/>
    </row>
    <row r="5773" spans="10:10" x14ac:dyDescent="0.4">
      <c r="J5773" s="140"/>
    </row>
    <row r="5774" spans="10:10" x14ac:dyDescent="0.4">
      <c r="J5774" s="140"/>
    </row>
    <row r="5775" spans="10:10" x14ac:dyDescent="0.4">
      <c r="J5775" s="140"/>
    </row>
    <row r="5776" spans="10:10" x14ac:dyDescent="0.4">
      <c r="J5776" s="140"/>
    </row>
    <row r="5777" spans="10:10" x14ac:dyDescent="0.4">
      <c r="J5777" s="140"/>
    </row>
    <row r="5778" spans="10:10" x14ac:dyDescent="0.4">
      <c r="J5778" s="140"/>
    </row>
    <row r="5779" spans="10:10" x14ac:dyDescent="0.4">
      <c r="J5779" s="140"/>
    </row>
    <row r="5780" spans="10:10" x14ac:dyDescent="0.4">
      <c r="J5780" s="140"/>
    </row>
    <row r="5781" spans="10:10" x14ac:dyDescent="0.4">
      <c r="J5781" s="140"/>
    </row>
    <row r="5782" spans="10:10" x14ac:dyDescent="0.4">
      <c r="J5782" s="140"/>
    </row>
    <row r="5783" spans="10:10" x14ac:dyDescent="0.4">
      <c r="J5783" s="140"/>
    </row>
    <row r="5784" spans="10:10" x14ac:dyDescent="0.4">
      <c r="J5784" s="140"/>
    </row>
    <row r="5785" spans="10:10" x14ac:dyDescent="0.4">
      <c r="J5785" s="140"/>
    </row>
    <row r="5786" spans="10:10" x14ac:dyDescent="0.4">
      <c r="J5786" s="140"/>
    </row>
    <row r="5787" spans="10:10" x14ac:dyDescent="0.4">
      <c r="J5787" s="140"/>
    </row>
    <row r="5788" spans="10:10" x14ac:dyDescent="0.4">
      <c r="J5788" s="140"/>
    </row>
    <row r="5789" spans="10:10" x14ac:dyDescent="0.4">
      <c r="J5789" s="140"/>
    </row>
    <row r="5790" spans="10:10" x14ac:dyDescent="0.4">
      <c r="J5790" s="140"/>
    </row>
    <row r="5791" spans="10:10" x14ac:dyDescent="0.4">
      <c r="J5791" s="140"/>
    </row>
    <row r="5792" spans="10:10" x14ac:dyDescent="0.4">
      <c r="J5792" s="140"/>
    </row>
    <row r="5793" spans="10:10" x14ac:dyDescent="0.4">
      <c r="J5793" s="140"/>
    </row>
    <row r="5794" spans="10:10" x14ac:dyDescent="0.4">
      <c r="J5794" s="140"/>
    </row>
    <row r="5795" spans="10:10" x14ac:dyDescent="0.4">
      <c r="J5795" s="140"/>
    </row>
    <row r="5796" spans="10:10" x14ac:dyDescent="0.4">
      <c r="J5796" s="140"/>
    </row>
    <row r="5797" spans="10:10" x14ac:dyDescent="0.4">
      <c r="J5797" s="140"/>
    </row>
    <row r="5798" spans="10:10" x14ac:dyDescent="0.4">
      <c r="J5798" s="140"/>
    </row>
    <row r="5799" spans="10:10" x14ac:dyDescent="0.4">
      <c r="J5799" s="140"/>
    </row>
    <row r="5800" spans="10:10" x14ac:dyDescent="0.4">
      <c r="J5800" s="140"/>
    </row>
    <row r="5801" spans="10:10" x14ac:dyDescent="0.4">
      <c r="J5801" s="140"/>
    </row>
    <row r="5802" spans="10:10" x14ac:dyDescent="0.4">
      <c r="J5802" s="140"/>
    </row>
    <row r="5803" spans="10:10" x14ac:dyDescent="0.4">
      <c r="J5803" s="140"/>
    </row>
    <row r="5804" spans="10:10" x14ac:dyDescent="0.4">
      <c r="J5804" s="140"/>
    </row>
    <row r="5805" spans="10:10" x14ac:dyDescent="0.4">
      <c r="J5805" s="140"/>
    </row>
    <row r="5806" spans="10:10" x14ac:dyDescent="0.4">
      <c r="J5806" s="140"/>
    </row>
    <row r="5807" spans="10:10" x14ac:dyDescent="0.4">
      <c r="J5807" s="140"/>
    </row>
    <row r="5808" spans="10:10" x14ac:dyDescent="0.4">
      <c r="J5808" s="140"/>
    </row>
    <row r="5809" spans="10:10" x14ac:dyDescent="0.4">
      <c r="J5809" s="140"/>
    </row>
    <row r="5810" spans="10:10" x14ac:dyDescent="0.4">
      <c r="J5810" s="140"/>
    </row>
    <row r="5811" spans="10:10" x14ac:dyDescent="0.4">
      <c r="J5811" s="140"/>
    </row>
    <row r="5812" spans="10:10" x14ac:dyDescent="0.4">
      <c r="J5812" s="140"/>
    </row>
    <row r="5813" spans="10:10" x14ac:dyDescent="0.4">
      <c r="J5813" s="140"/>
    </row>
    <row r="5814" spans="10:10" x14ac:dyDescent="0.4">
      <c r="J5814" s="140"/>
    </row>
    <row r="5815" spans="10:10" x14ac:dyDescent="0.4">
      <c r="J5815" s="140"/>
    </row>
    <row r="5816" spans="10:10" x14ac:dyDescent="0.4">
      <c r="J5816" s="140"/>
    </row>
    <row r="5817" spans="10:10" x14ac:dyDescent="0.4">
      <c r="J5817" s="140"/>
    </row>
    <row r="5818" spans="10:10" x14ac:dyDescent="0.4">
      <c r="J5818" s="140"/>
    </row>
    <row r="5819" spans="10:10" x14ac:dyDescent="0.4">
      <c r="J5819" s="140"/>
    </row>
    <row r="5820" spans="10:10" x14ac:dyDescent="0.4">
      <c r="J5820" s="140"/>
    </row>
    <row r="5821" spans="10:10" x14ac:dyDescent="0.4">
      <c r="J5821" s="140"/>
    </row>
    <row r="5822" spans="10:10" x14ac:dyDescent="0.4">
      <c r="J5822" s="140"/>
    </row>
    <row r="5823" spans="10:10" x14ac:dyDescent="0.4">
      <c r="J5823" s="140"/>
    </row>
    <row r="5824" spans="10:10" x14ac:dyDescent="0.4">
      <c r="J5824" s="140"/>
    </row>
    <row r="5825" spans="10:10" x14ac:dyDescent="0.4">
      <c r="J5825" s="140"/>
    </row>
    <row r="5826" spans="10:10" x14ac:dyDescent="0.4">
      <c r="J5826" s="140"/>
    </row>
    <row r="5827" spans="10:10" x14ac:dyDescent="0.4">
      <c r="J5827" s="140"/>
    </row>
    <row r="5828" spans="10:10" x14ac:dyDescent="0.4">
      <c r="J5828" s="140"/>
    </row>
    <row r="5829" spans="10:10" x14ac:dyDescent="0.4">
      <c r="J5829" s="140"/>
    </row>
    <row r="5830" spans="10:10" x14ac:dyDescent="0.4">
      <c r="J5830" s="140"/>
    </row>
    <row r="5831" spans="10:10" x14ac:dyDescent="0.4">
      <c r="J5831" s="140"/>
    </row>
    <row r="5832" spans="10:10" x14ac:dyDescent="0.4">
      <c r="J5832" s="140"/>
    </row>
    <row r="5833" spans="10:10" x14ac:dyDescent="0.4">
      <c r="J5833" s="140"/>
    </row>
    <row r="5834" spans="10:10" x14ac:dyDescent="0.4">
      <c r="J5834" s="140"/>
    </row>
    <row r="5835" spans="10:10" x14ac:dyDescent="0.4">
      <c r="J5835" s="140"/>
    </row>
    <row r="5836" spans="10:10" x14ac:dyDescent="0.4">
      <c r="J5836" s="140"/>
    </row>
    <row r="5837" spans="10:10" x14ac:dyDescent="0.4">
      <c r="J5837" s="140"/>
    </row>
    <row r="5838" spans="10:10" x14ac:dyDescent="0.4">
      <c r="J5838" s="140"/>
    </row>
    <row r="5839" spans="10:10" x14ac:dyDescent="0.4">
      <c r="J5839" s="140"/>
    </row>
    <row r="5840" spans="10:10" x14ac:dyDescent="0.4">
      <c r="J5840" s="140"/>
    </row>
    <row r="5841" spans="10:10" x14ac:dyDescent="0.4">
      <c r="J5841" s="140"/>
    </row>
    <row r="5842" spans="10:10" x14ac:dyDescent="0.4">
      <c r="J5842" s="140"/>
    </row>
    <row r="5843" spans="10:10" x14ac:dyDescent="0.4">
      <c r="J5843" s="140"/>
    </row>
    <row r="5844" spans="10:10" x14ac:dyDescent="0.4">
      <c r="J5844" s="140"/>
    </row>
    <row r="5845" spans="10:10" x14ac:dyDescent="0.4">
      <c r="J5845" s="140"/>
    </row>
    <row r="5846" spans="10:10" x14ac:dyDescent="0.4">
      <c r="J5846" s="140"/>
    </row>
    <row r="5847" spans="10:10" x14ac:dyDescent="0.4">
      <c r="J5847" s="140"/>
    </row>
    <row r="5848" spans="10:10" x14ac:dyDescent="0.4">
      <c r="J5848" s="140"/>
    </row>
    <row r="5849" spans="10:10" x14ac:dyDescent="0.4">
      <c r="J5849" s="140"/>
    </row>
    <row r="5850" spans="10:10" x14ac:dyDescent="0.4">
      <c r="J5850" s="140"/>
    </row>
    <row r="5851" spans="10:10" x14ac:dyDescent="0.4">
      <c r="J5851" s="140"/>
    </row>
    <row r="5852" spans="10:10" x14ac:dyDescent="0.4">
      <c r="J5852" s="140"/>
    </row>
    <row r="5853" spans="10:10" x14ac:dyDescent="0.4">
      <c r="J5853" s="140"/>
    </row>
    <row r="5854" spans="10:10" x14ac:dyDescent="0.4">
      <c r="J5854" s="140"/>
    </row>
    <row r="5855" spans="10:10" x14ac:dyDescent="0.4">
      <c r="J5855" s="140"/>
    </row>
    <row r="5856" spans="10:10" x14ac:dyDescent="0.4">
      <c r="J5856" s="140"/>
    </row>
    <row r="5857" spans="10:10" x14ac:dyDescent="0.4">
      <c r="J5857" s="140"/>
    </row>
    <row r="5858" spans="10:10" x14ac:dyDescent="0.4">
      <c r="J5858" s="140"/>
    </row>
    <row r="5859" spans="10:10" x14ac:dyDescent="0.4">
      <c r="J5859" s="140"/>
    </row>
    <row r="5860" spans="10:10" x14ac:dyDescent="0.4">
      <c r="J5860" s="140"/>
    </row>
    <row r="5861" spans="10:10" x14ac:dyDescent="0.4">
      <c r="J5861" s="140"/>
    </row>
    <row r="5862" spans="10:10" x14ac:dyDescent="0.4">
      <c r="J5862" s="140"/>
    </row>
    <row r="5863" spans="10:10" x14ac:dyDescent="0.4">
      <c r="J5863" s="140"/>
    </row>
    <row r="5864" spans="10:10" x14ac:dyDescent="0.4">
      <c r="J5864" s="140"/>
    </row>
    <row r="5865" spans="10:10" x14ac:dyDescent="0.4">
      <c r="J5865" s="140"/>
    </row>
    <row r="5866" spans="10:10" x14ac:dyDescent="0.4">
      <c r="J5866" s="140"/>
    </row>
    <row r="5867" spans="10:10" x14ac:dyDescent="0.4">
      <c r="J5867" s="140"/>
    </row>
    <row r="5868" spans="10:10" x14ac:dyDescent="0.4">
      <c r="J5868" s="140"/>
    </row>
    <row r="5869" spans="10:10" x14ac:dyDescent="0.4">
      <c r="J5869" s="140"/>
    </row>
    <row r="5870" spans="10:10" x14ac:dyDescent="0.4">
      <c r="J5870" s="140"/>
    </row>
    <row r="5871" spans="10:10" x14ac:dyDescent="0.4">
      <c r="J5871" s="140"/>
    </row>
    <row r="5872" spans="10:10" x14ac:dyDescent="0.4">
      <c r="J5872" s="140"/>
    </row>
    <row r="5873" spans="10:10" x14ac:dyDescent="0.4">
      <c r="J5873" s="140"/>
    </row>
    <row r="5874" spans="10:10" x14ac:dyDescent="0.4">
      <c r="J5874" s="140"/>
    </row>
    <row r="5875" spans="10:10" x14ac:dyDescent="0.4">
      <c r="J5875" s="140"/>
    </row>
    <row r="5876" spans="10:10" x14ac:dyDescent="0.4">
      <c r="J5876" s="140"/>
    </row>
    <row r="5877" spans="10:10" x14ac:dyDescent="0.4">
      <c r="J5877" s="140"/>
    </row>
    <row r="5878" spans="10:10" x14ac:dyDescent="0.4">
      <c r="J5878" s="140"/>
    </row>
    <row r="5879" spans="10:10" x14ac:dyDescent="0.4">
      <c r="J5879" s="140"/>
    </row>
    <row r="5880" spans="10:10" x14ac:dyDescent="0.4">
      <c r="J5880" s="140"/>
    </row>
    <row r="5881" spans="10:10" x14ac:dyDescent="0.4">
      <c r="J5881" s="140"/>
    </row>
    <row r="5882" spans="10:10" x14ac:dyDescent="0.4">
      <c r="J5882" s="140"/>
    </row>
    <row r="5883" spans="10:10" x14ac:dyDescent="0.4">
      <c r="J5883" s="140"/>
    </row>
    <row r="5884" spans="10:10" x14ac:dyDescent="0.4">
      <c r="J5884" s="140"/>
    </row>
    <row r="5885" spans="10:10" x14ac:dyDescent="0.4">
      <c r="J5885" s="140"/>
    </row>
    <row r="5886" spans="10:10" x14ac:dyDescent="0.4">
      <c r="J5886" s="140"/>
    </row>
    <row r="5887" spans="10:10" x14ac:dyDescent="0.4">
      <c r="J5887" s="140"/>
    </row>
    <row r="5888" spans="10:10" x14ac:dyDescent="0.4">
      <c r="J5888" s="140"/>
    </row>
    <row r="5889" spans="10:10" x14ac:dyDescent="0.4">
      <c r="J5889" s="140"/>
    </row>
    <row r="5890" spans="10:10" x14ac:dyDescent="0.4">
      <c r="J5890" s="140"/>
    </row>
    <row r="5891" spans="10:10" x14ac:dyDescent="0.4">
      <c r="J5891" s="140"/>
    </row>
    <row r="5892" spans="10:10" x14ac:dyDescent="0.4">
      <c r="J5892" s="140"/>
    </row>
    <row r="5893" spans="10:10" x14ac:dyDescent="0.4">
      <c r="J5893" s="140"/>
    </row>
    <row r="5894" spans="10:10" x14ac:dyDescent="0.4">
      <c r="J5894" s="140"/>
    </row>
    <row r="5895" spans="10:10" x14ac:dyDescent="0.4">
      <c r="J5895" s="140"/>
    </row>
    <row r="5896" spans="10:10" x14ac:dyDescent="0.4">
      <c r="J5896" s="140"/>
    </row>
    <row r="5897" spans="10:10" x14ac:dyDescent="0.4">
      <c r="J5897" s="140"/>
    </row>
    <row r="5898" spans="10:10" x14ac:dyDescent="0.4">
      <c r="J5898" s="140"/>
    </row>
    <row r="5899" spans="10:10" x14ac:dyDescent="0.4">
      <c r="J5899" s="140"/>
    </row>
    <row r="5900" spans="10:10" x14ac:dyDescent="0.4">
      <c r="J5900" s="140"/>
    </row>
    <row r="5901" spans="10:10" x14ac:dyDescent="0.4">
      <c r="J5901" s="140"/>
    </row>
    <row r="5902" spans="10:10" x14ac:dyDescent="0.4">
      <c r="J5902" s="140"/>
    </row>
    <row r="5903" spans="10:10" x14ac:dyDescent="0.4">
      <c r="J5903" s="140"/>
    </row>
    <row r="5904" spans="10:10" x14ac:dyDescent="0.4">
      <c r="J5904" s="140"/>
    </row>
    <row r="5905" spans="10:10" x14ac:dyDescent="0.4">
      <c r="J5905" s="140"/>
    </row>
    <row r="5906" spans="10:10" x14ac:dyDescent="0.4">
      <c r="J5906" s="140"/>
    </row>
    <row r="5907" spans="10:10" x14ac:dyDescent="0.4">
      <c r="J5907" s="140"/>
    </row>
    <row r="5908" spans="10:10" x14ac:dyDescent="0.4">
      <c r="J5908" s="140"/>
    </row>
    <row r="5909" spans="10:10" x14ac:dyDescent="0.4">
      <c r="J5909" s="140"/>
    </row>
    <row r="5910" spans="10:10" x14ac:dyDescent="0.4">
      <c r="J5910" s="140"/>
    </row>
    <row r="5911" spans="10:10" x14ac:dyDescent="0.4">
      <c r="J5911" s="140"/>
    </row>
    <row r="5912" spans="10:10" x14ac:dyDescent="0.4">
      <c r="J5912" s="140"/>
    </row>
    <row r="5913" spans="10:10" x14ac:dyDescent="0.4">
      <c r="J5913" s="140"/>
    </row>
    <row r="5914" spans="10:10" x14ac:dyDescent="0.4">
      <c r="J5914" s="140"/>
    </row>
    <row r="5915" spans="10:10" x14ac:dyDescent="0.4">
      <c r="J5915" s="140"/>
    </row>
    <row r="5916" spans="10:10" x14ac:dyDescent="0.4">
      <c r="J5916" s="140"/>
    </row>
    <row r="5917" spans="10:10" x14ac:dyDescent="0.4">
      <c r="J5917" s="140"/>
    </row>
    <row r="5918" spans="10:10" x14ac:dyDescent="0.4">
      <c r="J5918" s="140"/>
    </row>
    <row r="5919" spans="10:10" x14ac:dyDescent="0.4">
      <c r="J5919" s="140"/>
    </row>
    <row r="5920" spans="10:10" x14ac:dyDescent="0.4">
      <c r="J5920" s="140"/>
    </row>
    <row r="5921" spans="10:10" x14ac:dyDescent="0.4">
      <c r="J5921" s="140"/>
    </row>
    <row r="5922" spans="10:10" x14ac:dyDescent="0.4">
      <c r="J5922" s="140"/>
    </row>
    <row r="5923" spans="10:10" x14ac:dyDescent="0.4">
      <c r="J5923" s="140"/>
    </row>
    <row r="5924" spans="10:10" x14ac:dyDescent="0.4">
      <c r="J5924" s="140"/>
    </row>
    <row r="5925" spans="10:10" x14ac:dyDescent="0.4">
      <c r="J5925" s="140"/>
    </row>
    <row r="5926" spans="10:10" x14ac:dyDescent="0.4">
      <c r="J5926" s="140"/>
    </row>
    <row r="5927" spans="10:10" x14ac:dyDescent="0.4">
      <c r="J5927" s="140"/>
    </row>
    <row r="5928" spans="10:10" x14ac:dyDescent="0.4">
      <c r="J5928" s="140"/>
    </row>
    <row r="5929" spans="10:10" x14ac:dyDescent="0.4">
      <c r="J5929" s="140"/>
    </row>
    <row r="5930" spans="10:10" x14ac:dyDescent="0.4">
      <c r="J5930" s="140"/>
    </row>
    <row r="5931" spans="10:10" x14ac:dyDescent="0.4">
      <c r="J5931" s="140"/>
    </row>
    <row r="5932" spans="10:10" x14ac:dyDescent="0.4">
      <c r="J5932" s="140"/>
    </row>
    <row r="5933" spans="10:10" x14ac:dyDescent="0.4">
      <c r="J5933" s="140"/>
    </row>
    <row r="5934" spans="10:10" x14ac:dyDescent="0.4">
      <c r="J5934" s="140"/>
    </row>
    <row r="5935" spans="10:10" x14ac:dyDescent="0.4">
      <c r="J5935" s="140"/>
    </row>
    <row r="5936" spans="10:10" x14ac:dyDescent="0.4">
      <c r="J5936" s="140"/>
    </row>
    <row r="5937" spans="10:10" x14ac:dyDescent="0.4">
      <c r="J5937" s="140"/>
    </row>
    <row r="5938" spans="10:10" x14ac:dyDescent="0.4">
      <c r="J5938" s="140"/>
    </row>
    <row r="5939" spans="10:10" x14ac:dyDescent="0.4">
      <c r="J5939" s="140"/>
    </row>
    <row r="5940" spans="10:10" x14ac:dyDescent="0.4">
      <c r="J5940" s="140"/>
    </row>
    <row r="5941" spans="10:10" x14ac:dyDescent="0.4">
      <c r="J5941" s="140"/>
    </row>
    <row r="5942" spans="10:10" x14ac:dyDescent="0.4">
      <c r="J5942" s="140"/>
    </row>
    <row r="5943" spans="10:10" x14ac:dyDescent="0.4">
      <c r="J5943" s="140"/>
    </row>
    <row r="5944" spans="10:10" x14ac:dyDescent="0.4">
      <c r="J5944" s="140"/>
    </row>
    <row r="5945" spans="10:10" x14ac:dyDescent="0.4">
      <c r="J5945" s="140"/>
    </row>
    <row r="5946" spans="10:10" x14ac:dyDescent="0.4">
      <c r="J5946" s="140"/>
    </row>
    <row r="5947" spans="10:10" x14ac:dyDescent="0.4">
      <c r="J5947" s="140"/>
    </row>
    <row r="5948" spans="10:10" x14ac:dyDescent="0.4">
      <c r="J5948" s="140"/>
    </row>
    <row r="5949" spans="10:10" x14ac:dyDescent="0.4">
      <c r="J5949" s="140"/>
    </row>
    <row r="5950" spans="10:10" x14ac:dyDescent="0.4">
      <c r="J5950" s="140"/>
    </row>
    <row r="5951" spans="10:10" x14ac:dyDescent="0.4">
      <c r="J5951" s="140"/>
    </row>
    <row r="5952" spans="10:10" x14ac:dyDescent="0.4">
      <c r="J5952" s="140"/>
    </row>
    <row r="5953" spans="10:10" x14ac:dyDescent="0.4">
      <c r="J5953" s="140"/>
    </row>
    <row r="5954" spans="10:10" x14ac:dyDescent="0.4">
      <c r="J5954" s="140"/>
    </row>
    <row r="5955" spans="10:10" x14ac:dyDescent="0.4">
      <c r="J5955" s="140"/>
    </row>
    <row r="5956" spans="10:10" x14ac:dyDescent="0.4">
      <c r="J5956" s="140"/>
    </row>
    <row r="5957" spans="10:10" x14ac:dyDescent="0.4">
      <c r="J5957" s="140"/>
    </row>
    <row r="5958" spans="10:10" x14ac:dyDescent="0.4">
      <c r="J5958" s="140"/>
    </row>
    <row r="5959" spans="10:10" x14ac:dyDescent="0.4">
      <c r="J5959" s="140"/>
    </row>
    <row r="5960" spans="10:10" x14ac:dyDescent="0.4">
      <c r="J5960" s="140"/>
    </row>
    <row r="5961" spans="10:10" x14ac:dyDescent="0.4">
      <c r="J5961" s="140"/>
    </row>
    <row r="5962" spans="10:10" x14ac:dyDescent="0.4">
      <c r="J5962" s="140"/>
    </row>
    <row r="5963" spans="10:10" x14ac:dyDescent="0.4">
      <c r="J5963" s="140"/>
    </row>
    <row r="5964" spans="10:10" x14ac:dyDescent="0.4">
      <c r="J5964" s="140"/>
    </row>
    <row r="5965" spans="10:10" x14ac:dyDescent="0.4">
      <c r="J5965" s="140"/>
    </row>
    <row r="5966" spans="10:10" x14ac:dyDescent="0.4">
      <c r="J5966" s="140"/>
    </row>
    <row r="5967" spans="10:10" x14ac:dyDescent="0.4">
      <c r="J5967" s="140"/>
    </row>
    <row r="5968" spans="10:10" x14ac:dyDescent="0.4">
      <c r="J5968" s="140"/>
    </row>
    <row r="5969" spans="10:10" x14ac:dyDescent="0.4">
      <c r="J5969" s="140"/>
    </row>
    <row r="5970" spans="10:10" x14ac:dyDescent="0.4">
      <c r="J5970" s="140"/>
    </row>
    <row r="5971" spans="10:10" x14ac:dyDescent="0.4">
      <c r="J5971" s="140"/>
    </row>
    <row r="5972" spans="10:10" x14ac:dyDescent="0.4">
      <c r="J5972" s="140"/>
    </row>
    <row r="5973" spans="10:10" x14ac:dyDescent="0.4">
      <c r="J5973" s="140"/>
    </row>
    <row r="5974" spans="10:10" x14ac:dyDescent="0.4">
      <c r="J5974" s="140"/>
    </row>
    <row r="5975" spans="10:10" x14ac:dyDescent="0.4">
      <c r="J5975" s="140"/>
    </row>
    <row r="5976" spans="10:10" x14ac:dyDescent="0.4">
      <c r="J5976" s="140"/>
    </row>
    <row r="5977" spans="10:10" x14ac:dyDescent="0.4">
      <c r="J5977" s="140"/>
    </row>
    <row r="5978" spans="10:10" x14ac:dyDescent="0.4">
      <c r="J5978" s="140"/>
    </row>
    <row r="5979" spans="10:10" x14ac:dyDescent="0.4">
      <c r="J5979" s="140"/>
    </row>
    <row r="5980" spans="10:10" x14ac:dyDescent="0.4">
      <c r="J5980" s="140"/>
    </row>
    <row r="5981" spans="10:10" x14ac:dyDescent="0.4">
      <c r="J5981" s="140"/>
    </row>
    <row r="5982" spans="10:10" x14ac:dyDescent="0.4">
      <c r="J5982" s="140"/>
    </row>
    <row r="5983" spans="10:10" x14ac:dyDescent="0.4">
      <c r="J5983" s="140"/>
    </row>
    <row r="5984" spans="10:10" x14ac:dyDescent="0.4">
      <c r="J5984" s="140"/>
    </row>
    <row r="5985" spans="10:10" x14ac:dyDescent="0.4">
      <c r="J5985" s="140"/>
    </row>
    <row r="5986" spans="10:10" x14ac:dyDescent="0.4">
      <c r="J5986" s="140"/>
    </row>
    <row r="5987" spans="10:10" x14ac:dyDescent="0.4">
      <c r="J5987" s="140"/>
    </row>
    <row r="5988" spans="10:10" x14ac:dyDescent="0.4">
      <c r="J5988" s="140"/>
    </row>
    <row r="5989" spans="10:10" x14ac:dyDescent="0.4">
      <c r="J5989" s="140"/>
    </row>
    <row r="5990" spans="10:10" x14ac:dyDescent="0.4">
      <c r="J5990" s="140"/>
    </row>
    <row r="5991" spans="10:10" x14ac:dyDescent="0.4">
      <c r="J5991" s="140"/>
    </row>
    <row r="5992" spans="10:10" x14ac:dyDescent="0.4">
      <c r="J5992" s="140"/>
    </row>
    <row r="5993" spans="10:10" x14ac:dyDescent="0.4">
      <c r="J5993" s="140"/>
    </row>
    <row r="5994" spans="10:10" x14ac:dyDescent="0.4">
      <c r="J5994" s="140"/>
    </row>
    <row r="5995" spans="10:10" x14ac:dyDescent="0.4">
      <c r="J5995" s="140"/>
    </row>
    <row r="5996" spans="10:10" x14ac:dyDescent="0.4">
      <c r="J5996" s="140"/>
    </row>
    <row r="5997" spans="10:10" x14ac:dyDescent="0.4">
      <c r="J5997" s="140"/>
    </row>
    <row r="5998" spans="10:10" x14ac:dyDescent="0.4">
      <c r="J5998" s="140"/>
    </row>
    <row r="5999" spans="10:10" x14ac:dyDescent="0.4">
      <c r="J5999" s="140"/>
    </row>
    <row r="6000" spans="10:10" x14ac:dyDescent="0.4">
      <c r="J6000" s="140"/>
    </row>
    <row r="6001" spans="10:10" x14ac:dyDescent="0.4">
      <c r="J6001" s="140"/>
    </row>
    <row r="6002" spans="10:10" x14ac:dyDescent="0.4">
      <c r="J6002" s="140"/>
    </row>
    <row r="6003" spans="10:10" x14ac:dyDescent="0.4">
      <c r="J6003" s="140"/>
    </row>
    <row r="6004" spans="10:10" x14ac:dyDescent="0.4">
      <c r="J6004" s="140"/>
    </row>
    <row r="6005" spans="10:10" x14ac:dyDescent="0.4">
      <c r="J6005" s="140"/>
    </row>
    <row r="6006" spans="10:10" x14ac:dyDescent="0.4">
      <c r="J6006" s="140"/>
    </row>
    <row r="6007" spans="10:10" x14ac:dyDescent="0.4">
      <c r="J6007" s="140"/>
    </row>
    <row r="6008" spans="10:10" x14ac:dyDescent="0.4">
      <c r="J6008" s="140"/>
    </row>
    <row r="6009" spans="10:10" x14ac:dyDescent="0.4">
      <c r="J6009" s="140"/>
    </row>
    <row r="6010" spans="10:10" x14ac:dyDescent="0.4">
      <c r="J6010" s="140"/>
    </row>
    <row r="6011" spans="10:10" x14ac:dyDescent="0.4">
      <c r="J6011" s="140"/>
    </row>
    <row r="6012" spans="10:10" x14ac:dyDescent="0.4">
      <c r="J6012" s="140"/>
    </row>
    <row r="6013" spans="10:10" x14ac:dyDescent="0.4">
      <c r="J6013" s="140"/>
    </row>
    <row r="6014" spans="10:10" x14ac:dyDescent="0.4">
      <c r="J6014" s="140"/>
    </row>
    <row r="6015" spans="10:10" x14ac:dyDescent="0.4">
      <c r="J6015" s="140"/>
    </row>
    <row r="6016" spans="10:10" x14ac:dyDescent="0.4">
      <c r="J6016" s="140"/>
    </row>
    <row r="6017" spans="10:10" x14ac:dyDescent="0.4">
      <c r="J6017" s="140"/>
    </row>
    <row r="6018" spans="10:10" x14ac:dyDescent="0.4">
      <c r="J6018" s="140"/>
    </row>
    <row r="6019" spans="10:10" x14ac:dyDescent="0.4">
      <c r="J6019" s="140"/>
    </row>
    <row r="6020" spans="10:10" x14ac:dyDescent="0.4">
      <c r="J6020" s="140"/>
    </row>
    <row r="6021" spans="10:10" x14ac:dyDescent="0.4">
      <c r="J6021" s="140"/>
    </row>
    <row r="6022" spans="10:10" x14ac:dyDescent="0.4">
      <c r="J6022" s="140"/>
    </row>
    <row r="6023" spans="10:10" x14ac:dyDescent="0.4">
      <c r="J6023" s="140"/>
    </row>
    <row r="6024" spans="10:10" x14ac:dyDescent="0.4">
      <c r="J6024" s="140"/>
    </row>
    <row r="6025" spans="10:10" x14ac:dyDescent="0.4">
      <c r="J6025" s="140"/>
    </row>
    <row r="6026" spans="10:10" x14ac:dyDescent="0.4">
      <c r="J6026" s="140"/>
    </row>
    <row r="6027" spans="10:10" x14ac:dyDescent="0.4">
      <c r="J6027" s="140"/>
    </row>
    <row r="6028" spans="10:10" x14ac:dyDescent="0.4">
      <c r="J6028" s="140"/>
    </row>
    <row r="6029" spans="10:10" x14ac:dyDescent="0.4">
      <c r="J6029" s="140"/>
    </row>
    <row r="6030" spans="10:10" x14ac:dyDescent="0.4">
      <c r="J6030" s="140"/>
    </row>
    <row r="6031" spans="10:10" x14ac:dyDescent="0.4">
      <c r="J6031" s="140"/>
    </row>
    <row r="6032" spans="10:10" x14ac:dyDescent="0.4">
      <c r="J6032" s="140"/>
    </row>
    <row r="6033" spans="10:10" x14ac:dyDescent="0.4">
      <c r="J6033" s="140"/>
    </row>
    <row r="6034" spans="10:10" x14ac:dyDescent="0.4">
      <c r="J6034" s="140"/>
    </row>
    <row r="6035" spans="10:10" x14ac:dyDescent="0.4">
      <c r="J6035" s="140"/>
    </row>
    <row r="6036" spans="10:10" x14ac:dyDescent="0.4">
      <c r="J6036" s="140"/>
    </row>
    <row r="6037" spans="10:10" x14ac:dyDescent="0.4">
      <c r="J6037" s="140"/>
    </row>
    <row r="6038" spans="10:10" x14ac:dyDescent="0.4">
      <c r="J6038" s="140"/>
    </row>
    <row r="6039" spans="10:10" x14ac:dyDescent="0.4">
      <c r="J6039" s="140"/>
    </row>
    <row r="6040" spans="10:10" x14ac:dyDescent="0.4">
      <c r="J6040" s="140"/>
    </row>
    <row r="6041" spans="10:10" x14ac:dyDescent="0.4">
      <c r="J6041" s="140"/>
    </row>
    <row r="6042" spans="10:10" x14ac:dyDescent="0.4">
      <c r="J6042" s="140"/>
    </row>
    <row r="6043" spans="10:10" x14ac:dyDescent="0.4">
      <c r="J6043" s="140"/>
    </row>
    <row r="6044" spans="10:10" x14ac:dyDescent="0.4">
      <c r="J6044" s="140"/>
    </row>
    <row r="6045" spans="10:10" x14ac:dyDescent="0.4">
      <c r="J6045" s="140"/>
    </row>
    <row r="6046" spans="10:10" x14ac:dyDescent="0.4">
      <c r="J6046" s="140"/>
    </row>
    <row r="6047" spans="10:10" x14ac:dyDescent="0.4">
      <c r="J6047" s="140"/>
    </row>
    <row r="6048" spans="10:10" x14ac:dyDescent="0.4">
      <c r="J6048" s="140"/>
    </row>
    <row r="6049" spans="10:10" x14ac:dyDescent="0.4">
      <c r="J6049" s="140"/>
    </row>
    <row r="6050" spans="10:10" x14ac:dyDescent="0.4">
      <c r="J6050" s="140"/>
    </row>
    <row r="6051" spans="10:10" x14ac:dyDescent="0.4">
      <c r="J6051" s="140"/>
    </row>
    <row r="6052" spans="10:10" x14ac:dyDescent="0.4">
      <c r="J6052" s="140"/>
    </row>
    <row r="6053" spans="10:10" x14ac:dyDescent="0.4">
      <c r="J6053" s="140"/>
    </row>
    <row r="6054" spans="10:10" x14ac:dyDescent="0.4">
      <c r="J6054" s="140"/>
    </row>
    <row r="6055" spans="10:10" x14ac:dyDescent="0.4">
      <c r="J6055" s="140"/>
    </row>
    <row r="6056" spans="10:10" x14ac:dyDescent="0.4">
      <c r="J6056" s="140"/>
    </row>
    <row r="6057" spans="10:10" x14ac:dyDescent="0.4">
      <c r="J6057" s="140"/>
    </row>
    <row r="6058" spans="10:10" x14ac:dyDescent="0.4">
      <c r="J6058" s="140"/>
    </row>
    <row r="6059" spans="10:10" x14ac:dyDescent="0.4">
      <c r="J6059" s="140"/>
    </row>
    <row r="6060" spans="10:10" x14ac:dyDescent="0.4">
      <c r="J6060" s="140"/>
    </row>
    <row r="6061" spans="10:10" x14ac:dyDescent="0.4">
      <c r="J6061" s="140"/>
    </row>
    <row r="6062" spans="10:10" x14ac:dyDescent="0.4">
      <c r="J6062" s="140"/>
    </row>
    <row r="6063" spans="10:10" x14ac:dyDescent="0.4">
      <c r="J6063" s="140"/>
    </row>
    <row r="6064" spans="10:10" x14ac:dyDescent="0.4">
      <c r="J6064" s="140"/>
    </row>
    <row r="6065" spans="10:10" x14ac:dyDescent="0.4">
      <c r="J6065" s="140"/>
    </row>
    <row r="6066" spans="10:10" x14ac:dyDescent="0.4">
      <c r="J6066" s="140"/>
    </row>
    <row r="6067" spans="10:10" x14ac:dyDescent="0.4">
      <c r="J6067" s="140"/>
    </row>
    <row r="6068" spans="10:10" x14ac:dyDescent="0.4">
      <c r="J6068" s="140"/>
    </row>
    <row r="6069" spans="10:10" x14ac:dyDescent="0.4">
      <c r="J6069" s="140"/>
    </row>
    <row r="6070" spans="10:10" x14ac:dyDescent="0.4">
      <c r="J6070" s="140"/>
    </row>
    <row r="6071" spans="10:10" x14ac:dyDescent="0.4">
      <c r="J6071" s="140"/>
    </row>
    <row r="6072" spans="10:10" x14ac:dyDescent="0.4">
      <c r="J6072" s="140"/>
    </row>
    <row r="6073" spans="10:10" x14ac:dyDescent="0.4">
      <c r="J6073" s="140"/>
    </row>
    <row r="6074" spans="10:10" x14ac:dyDescent="0.4">
      <c r="J6074" s="140"/>
    </row>
    <row r="6075" spans="10:10" x14ac:dyDescent="0.4">
      <c r="J6075" s="140"/>
    </row>
    <row r="6076" spans="10:10" x14ac:dyDescent="0.4">
      <c r="J6076" s="140"/>
    </row>
    <row r="6077" spans="10:10" x14ac:dyDescent="0.4">
      <c r="J6077" s="140"/>
    </row>
    <row r="6078" spans="10:10" x14ac:dyDescent="0.4">
      <c r="J6078" s="140"/>
    </row>
    <row r="6079" spans="10:10" x14ac:dyDescent="0.4">
      <c r="J6079" s="140"/>
    </row>
    <row r="6080" spans="10:10" x14ac:dyDescent="0.4">
      <c r="J6080" s="140"/>
    </row>
    <row r="6081" spans="10:10" x14ac:dyDescent="0.4">
      <c r="J6081" s="140"/>
    </row>
    <row r="6082" spans="10:10" x14ac:dyDescent="0.4">
      <c r="J6082" s="140"/>
    </row>
    <row r="6083" spans="10:10" x14ac:dyDescent="0.4">
      <c r="J6083" s="140"/>
    </row>
    <row r="6084" spans="10:10" x14ac:dyDescent="0.4">
      <c r="J6084" s="140"/>
    </row>
    <row r="6085" spans="10:10" x14ac:dyDescent="0.4">
      <c r="J6085" s="140"/>
    </row>
    <row r="6086" spans="10:10" x14ac:dyDescent="0.4">
      <c r="J6086" s="140"/>
    </row>
    <row r="6087" spans="10:10" x14ac:dyDescent="0.4">
      <c r="J6087" s="140"/>
    </row>
    <row r="6088" spans="10:10" x14ac:dyDescent="0.4">
      <c r="J6088" s="140"/>
    </row>
    <row r="6089" spans="10:10" x14ac:dyDescent="0.4">
      <c r="J6089" s="140"/>
    </row>
    <row r="6090" spans="10:10" x14ac:dyDescent="0.4">
      <c r="J6090" s="140"/>
    </row>
    <row r="6091" spans="10:10" x14ac:dyDescent="0.4">
      <c r="J6091" s="140"/>
    </row>
    <row r="6092" spans="10:10" x14ac:dyDescent="0.4">
      <c r="J6092" s="140"/>
    </row>
    <row r="6093" spans="10:10" x14ac:dyDescent="0.4">
      <c r="J6093" s="140"/>
    </row>
    <row r="6094" spans="10:10" x14ac:dyDescent="0.4">
      <c r="J6094" s="140"/>
    </row>
    <row r="6095" spans="10:10" x14ac:dyDescent="0.4">
      <c r="J6095" s="140"/>
    </row>
    <row r="6096" spans="10:10" x14ac:dyDescent="0.4">
      <c r="J6096" s="140"/>
    </row>
    <row r="6097" spans="10:10" x14ac:dyDescent="0.4">
      <c r="J6097" s="140"/>
    </row>
    <row r="6098" spans="10:10" x14ac:dyDescent="0.4">
      <c r="J6098" s="140"/>
    </row>
    <row r="6099" spans="10:10" x14ac:dyDescent="0.4">
      <c r="J6099" s="140"/>
    </row>
    <row r="6100" spans="10:10" x14ac:dyDescent="0.4">
      <c r="J6100" s="140"/>
    </row>
    <row r="6101" spans="10:10" x14ac:dyDescent="0.4">
      <c r="J6101" s="140"/>
    </row>
    <row r="6102" spans="10:10" x14ac:dyDescent="0.4">
      <c r="J6102" s="140"/>
    </row>
    <row r="6103" spans="10:10" x14ac:dyDescent="0.4">
      <c r="J6103" s="140"/>
    </row>
    <row r="6104" spans="10:10" x14ac:dyDescent="0.4">
      <c r="J6104" s="140"/>
    </row>
    <row r="6105" spans="10:10" x14ac:dyDescent="0.4">
      <c r="J6105" s="140"/>
    </row>
    <row r="6106" spans="10:10" x14ac:dyDescent="0.4">
      <c r="J6106" s="140"/>
    </row>
    <row r="6107" spans="10:10" x14ac:dyDescent="0.4">
      <c r="J6107" s="140"/>
    </row>
    <row r="6108" spans="10:10" x14ac:dyDescent="0.4">
      <c r="J6108" s="140"/>
    </row>
    <row r="6109" spans="10:10" x14ac:dyDescent="0.4">
      <c r="J6109" s="140"/>
    </row>
    <row r="6110" spans="10:10" x14ac:dyDescent="0.4">
      <c r="J6110" s="140"/>
    </row>
    <row r="6111" spans="10:10" x14ac:dyDescent="0.4">
      <c r="J6111" s="140"/>
    </row>
    <row r="6112" spans="10:10" x14ac:dyDescent="0.4">
      <c r="J6112" s="140"/>
    </row>
    <row r="6113" spans="10:10" x14ac:dyDescent="0.4">
      <c r="J6113" s="140"/>
    </row>
    <row r="6114" spans="10:10" x14ac:dyDescent="0.4">
      <c r="J6114" s="140"/>
    </row>
    <row r="6115" spans="10:10" x14ac:dyDescent="0.4">
      <c r="J6115" s="140"/>
    </row>
    <row r="6116" spans="10:10" x14ac:dyDescent="0.4">
      <c r="J6116" s="140"/>
    </row>
    <row r="6117" spans="10:10" x14ac:dyDescent="0.4">
      <c r="J6117" s="140"/>
    </row>
    <row r="6118" spans="10:10" x14ac:dyDescent="0.4">
      <c r="J6118" s="140"/>
    </row>
    <row r="6119" spans="10:10" x14ac:dyDescent="0.4">
      <c r="J6119" s="140"/>
    </row>
    <row r="6120" spans="10:10" x14ac:dyDescent="0.4">
      <c r="J6120" s="140"/>
    </row>
    <row r="6121" spans="10:10" x14ac:dyDescent="0.4">
      <c r="J6121" s="140"/>
    </row>
    <row r="6122" spans="10:10" x14ac:dyDescent="0.4">
      <c r="J6122" s="140"/>
    </row>
    <row r="6123" spans="10:10" x14ac:dyDescent="0.4">
      <c r="J6123" s="140"/>
    </row>
    <row r="6124" spans="10:10" x14ac:dyDescent="0.4">
      <c r="J6124" s="140"/>
    </row>
    <row r="6125" spans="10:10" x14ac:dyDescent="0.4">
      <c r="J6125" s="140"/>
    </row>
    <row r="6126" spans="10:10" x14ac:dyDescent="0.4">
      <c r="J6126" s="140"/>
    </row>
    <row r="6127" spans="10:10" x14ac:dyDescent="0.4">
      <c r="J6127" s="140"/>
    </row>
    <row r="6128" spans="10:10" x14ac:dyDescent="0.4">
      <c r="J6128" s="140"/>
    </row>
    <row r="6129" spans="10:10" x14ac:dyDescent="0.4">
      <c r="J6129" s="140"/>
    </row>
    <row r="6130" spans="10:10" x14ac:dyDescent="0.4">
      <c r="J6130" s="140"/>
    </row>
    <row r="6131" spans="10:10" x14ac:dyDescent="0.4">
      <c r="J6131" s="140"/>
    </row>
    <row r="6132" spans="10:10" x14ac:dyDescent="0.4">
      <c r="J6132" s="140"/>
    </row>
    <row r="6133" spans="10:10" x14ac:dyDescent="0.4">
      <c r="J6133" s="140"/>
    </row>
    <row r="6134" spans="10:10" x14ac:dyDescent="0.4">
      <c r="J6134" s="140"/>
    </row>
    <row r="6135" spans="10:10" x14ac:dyDescent="0.4">
      <c r="J6135" s="140"/>
    </row>
    <row r="6136" spans="10:10" x14ac:dyDescent="0.4">
      <c r="J6136" s="140"/>
    </row>
    <row r="6137" spans="10:10" x14ac:dyDescent="0.4">
      <c r="J6137" s="140"/>
    </row>
    <row r="6138" spans="10:10" x14ac:dyDescent="0.4">
      <c r="J6138" s="140"/>
    </row>
    <row r="6139" spans="10:10" x14ac:dyDescent="0.4">
      <c r="J6139" s="140"/>
    </row>
    <row r="6140" spans="10:10" x14ac:dyDescent="0.4">
      <c r="J6140" s="140"/>
    </row>
    <row r="6141" spans="10:10" x14ac:dyDescent="0.4">
      <c r="J6141" s="140"/>
    </row>
    <row r="6142" spans="10:10" x14ac:dyDescent="0.4">
      <c r="J6142" s="140"/>
    </row>
    <row r="6143" spans="10:10" x14ac:dyDescent="0.4">
      <c r="J6143" s="140"/>
    </row>
    <row r="6144" spans="10:10" x14ac:dyDescent="0.4">
      <c r="J6144" s="140"/>
    </row>
    <row r="6145" spans="10:10" x14ac:dyDescent="0.4">
      <c r="J6145" s="140"/>
    </row>
    <row r="6146" spans="10:10" x14ac:dyDescent="0.4">
      <c r="J6146" s="140"/>
    </row>
    <row r="6147" spans="10:10" x14ac:dyDescent="0.4">
      <c r="J6147" s="140"/>
    </row>
    <row r="6148" spans="10:10" x14ac:dyDescent="0.4">
      <c r="J6148" s="140"/>
    </row>
    <row r="6149" spans="10:10" x14ac:dyDescent="0.4">
      <c r="J6149" s="140"/>
    </row>
    <row r="6150" spans="10:10" x14ac:dyDescent="0.4">
      <c r="J6150" s="140"/>
    </row>
    <row r="6151" spans="10:10" x14ac:dyDescent="0.4">
      <c r="J6151" s="140"/>
    </row>
    <row r="6152" spans="10:10" x14ac:dyDescent="0.4">
      <c r="J6152" s="140"/>
    </row>
    <row r="6153" spans="10:10" x14ac:dyDescent="0.4">
      <c r="J6153" s="140"/>
    </row>
    <row r="6154" spans="10:10" x14ac:dyDescent="0.4">
      <c r="J6154" s="140"/>
    </row>
    <row r="6155" spans="10:10" x14ac:dyDescent="0.4">
      <c r="J6155" s="140"/>
    </row>
    <row r="6156" spans="10:10" x14ac:dyDescent="0.4">
      <c r="J6156" s="140"/>
    </row>
    <row r="6157" spans="10:10" x14ac:dyDescent="0.4">
      <c r="J6157" s="140"/>
    </row>
    <row r="6158" spans="10:10" x14ac:dyDescent="0.4">
      <c r="J6158" s="140"/>
    </row>
    <row r="6159" spans="10:10" x14ac:dyDescent="0.4">
      <c r="J6159" s="140"/>
    </row>
    <row r="6160" spans="10:10" x14ac:dyDescent="0.4">
      <c r="J6160" s="140"/>
    </row>
    <row r="6161" spans="10:10" x14ac:dyDescent="0.4">
      <c r="J6161" s="140"/>
    </row>
    <row r="6162" spans="10:10" x14ac:dyDescent="0.4">
      <c r="J6162" s="140"/>
    </row>
    <row r="6163" spans="10:10" x14ac:dyDescent="0.4">
      <c r="J6163" s="140"/>
    </row>
    <row r="6164" spans="10:10" x14ac:dyDescent="0.4">
      <c r="J6164" s="140"/>
    </row>
    <row r="6165" spans="10:10" x14ac:dyDescent="0.4">
      <c r="J6165" s="140"/>
    </row>
    <row r="6166" spans="10:10" x14ac:dyDescent="0.4">
      <c r="J6166" s="140"/>
    </row>
    <row r="6167" spans="10:10" x14ac:dyDescent="0.4">
      <c r="J6167" s="140"/>
    </row>
    <row r="6168" spans="10:10" x14ac:dyDescent="0.4">
      <c r="J6168" s="140"/>
    </row>
    <row r="6169" spans="10:10" x14ac:dyDescent="0.4">
      <c r="J6169" s="140"/>
    </row>
    <row r="6170" spans="10:10" x14ac:dyDescent="0.4">
      <c r="J6170" s="140"/>
    </row>
    <row r="6171" spans="10:10" x14ac:dyDescent="0.4">
      <c r="J6171" s="140"/>
    </row>
    <row r="6172" spans="10:10" x14ac:dyDescent="0.4">
      <c r="J6172" s="140"/>
    </row>
    <row r="6173" spans="10:10" x14ac:dyDescent="0.4">
      <c r="J6173" s="140"/>
    </row>
    <row r="6174" spans="10:10" x14ac:dyDescent="0.4">
      <c r="J6174" s="140"/>
    </row>
    <row r="6175" spans="10:10" x14ac:dyDescent="0.4">
      <c r="J6175" s="140"/>
    </row>
    <row r="6176" spans="10:10" x14ac:dyDescent="0.4">
      <c r="J6176" s="140"/>
    </row>
    <row r="6177" spans="10:10" x14ac:dyDescent="0.4">
      <c r="J6177" s="140"/>
    </row>
    <row r="6178" spans="10:10" x14ac:dyDescent="0.4">
      <c r="J6178" s="140"/>
    </row>
    <row r="6179" spans="10:10" x14ac:dyDescent="0.4">
      <c r="J6179" s="140"/>
    </row>
    <row r="6180" spans="10:10" x14ac:dyDescent="0.4">
      <c r="J6180" s="140"/>
    </row>
    <row r="6181" spans="10:10" x14ac:dyDescent="0.4">
      <c r="J6181" s="140"/>
    </row>
    <row r="6182" spans="10:10" x14ac:dyDescent="0.4">
      <c r="J6182" s="140"/>
    </row>
    <row r="6183" spans="10:10" x14ac:dyDescent="0.4">
      <c r="J6183" s="140"/>
    </row>
    <row r="6184" spans="10:10" x14ac:dyDescent="0.4">
      <c r="J6184" s="140"/>
    </row>
    <row r="6185" spans="10:10" x14ac:dyDescent="0.4">
      <c r="J6185" s="140"/>
    </row>
    <row r="6186" spans="10:10" x14ac:dyDescent="0.4">
      <c r="J6186" s="140"/>
    </row>
    <row r="6187" spans="10:10" x14ac:dyDescent="0.4">
      <c r="J6187" s="140"/>
    </row>
    <row r="6188" spans="10:10" x14ac:dyDescent="0.4">
      <c r="J6188" s="140"/>
    </row>
    <row r="6189" spans="10:10" x14ac:dyDescent="0.4">
      <c r="J6189" s="140"/>
    </row>
    <row r="6190" spans="10:10" x14ac:dyDescent="0.4">
      <c r="J6190" s="140"/>
    </row>
    <row r="6191" spans="10:10" x14ac:dyDescent="0.4">
      <c r="J6191" s="140"/>
    </row>
    <row r="6192" spans="10:10" x14ac:dyDescent="0.4">
      <c r="J6192" s="140"/>
    </row>
    <row r="6193" spans="10:10" x14ac:dyDescent="0.4">
      <c r="J6193" s="140"/>
    </row>
    <row r="6194" spans="10:10" x14ac:dyDescent="0.4">
      <c r="J6194" s="140"/>
    </row>
    <row r="6195" spans="10:10" x14ac:dyDescent="0.4">
      <c r="J6195" s="140"/>
    </row>
    <row r="6196" spans="10:10" x14ac:dyDescent="0.4">
      <c r="J6196" s="140"/>
    </row>
    <row r="6197" spans="10:10" x14ac:dyDescent="0.4">
      <c r="J6197" s="140"/>
    </row>
    <row r="6198" spans="10:10" x14ac:dyDescent="0.4">
      <c r="J6198" s="140"/>
    </row>
    <row r="6199" spans="10:10" x14ac:dyDescent="0.4">
      <c r="J6199" s="140"/>
    </row>
    <row r="6200" spans="10:10" x14ac:dyDescent="0.4">
      <c r="J6200" s="140"/>
    </row>
    <row r="6201" spans="10:10" x14ac:dyDescent="0.4">
      <c r="J6201" s="140"/>
    </row>
    <row r="6202" spans="10:10" x14ac:dyDescent="0.4">
      <c r="J6202" s="140"/>
    </row>
    <row r="6203" spans="10:10" x14ac:dyDescent="0.4">
      <c r="J6203" s="140"/>
    </row>
    <row r="6204" spans="10:10" x14ac:dyDescent="0.4">
      <c r="J6204" s="140"/>
    </row>
    <row r="6205" spans="10:10" x14ac:dyDescent="0.4">
      <c r="J6205" s="140"/>
    </row>
    <row r="6206" spans="10:10" x14ac:dyDescent="0.4">
      <c r="J6206" s="140"/>
    </row>
    <row r="6207" spans="10:10" x14ac:dyDescent="0.4">
      <c r="J6207" s="140"/>
    </row>
    <row r="6208" spans="10:10" x14ac:dyDescent="0.4">
      <c r="J6208" s="140"/>
    </row>
    <row r="6209" spans="10:10" x14ac:dyDescent="0.4">
      <c r="J6209" s="140"/>
    </row>
    <row r="6210" spans="10:10" x14ac:dyDescent="0.4">
      <c r="J6210" s="140"/>
    </row>
    <row r="6211" spans="10:10" x14ac:dyDescent="0.4">
      <c r="J6211" s="140"/>
    </row>
    <row r="6212" spans="10:10" x14ac:dyDescent="0.4">
      <c r="J6212" s="140"/>
    </row>
    <row r="6213" spans="10:10" x14ac:dyDescent="0.4">
      <c r="J6213" s="140"/>
    </row>
    <row r="6214" spans="10:10" x14ac:dyDescent="0.4">
      <c r="J6214" s="140"/>
    </row>
    <row r="6215" spans="10:10" x14ac:dyDescent="0.4">
      <c r="J6215" s="140"/>
    </row>
    <row r="6216" spans="10:10" x14ac:dyDescent="0.4">
      <c r="J6216" s="140"/>
    </row>
    <row r="6217" spans="10:10" x14ac:dyDescent="0.4">
      <c r="J6217" s="140"/>
    </row>
    <row r="6218" spans="10:10" x14ac:dyDescent="0.4">
      <c r="J6218" s="140"/>
    </row>
    <row r="6219" spans="10:10" x14ac:dyDescent="0.4">
      <c r="J6219" s="140"/>
    </row>
    <row r="6220" spans="10:10" x14ac:dyDescent="0.4">
      <c r="J6220" s="140"/>
    </row>
    <row r="6221" spans="10:10" x14ac:dyDescent="0.4">
      <c r="J6221" s="140"/>
    </row>
    <row r="6222" spans="10:10" x14ac:dyDescent="0.4">
      <c r="J6222" s="140"/>
    </row>
    <row r="6223" spans="10:10" x14ac:dyDescent="0.4">
      <c r="J6223" s="140"/>
    </row>
    <row r="6224" spans="10:10" x14ac:dyDescent="0.4">
      <c r="J6224" s="140"/>
    </row>
    <row r="6225" spans="10:10" x14ac:dyDescent="0.4">
      <c r="J6225" s="140"/>
    </row>
    <row r="6226" spans="10:10" x14ac:dyDescent="0.4">
      <c r="J6226" s="140"/>
    </row>
    <row r="6227" spans="10:10" x14ac:dyDescent="0.4">
      <c r="J6227" s="140"/>
    </row>
    <row r="6228" spans="10:10" x14ac:dyDescent="0.4">
      <c r="J6228" s="140"/>
    </row>
    <row r="6229" spans="10:10" x14ac:dyDescent="0.4">
      <c r="J6229" s="140"/>
    </row>
    <row r="6230" spans="10:10" x14ac:dyDescent="0.4">
      <c r="J6230" s="140"/>
    </row>
    <row r="6231" spans="10:10" x14ac:dyDescent="0.4">
      <c r="J6231" s="140"/>
    </row>
    <row r="6232" spans="10:10" x14ac:dyDescent="0.4">
      <c r="J6232" s="140"/>
    </row>
    <row r="6233" spans="10:10" x14ac:dyDescent="0.4">
      <c r="J6233" s="140"/>
    </row>
    <row r="6234" spans="10:10" x14ac:dyDescent="0.4">
      <c r="J6234" s="140"/>
    </row>
    <row r="6235" spans="10:10" x14ac:dyDescent="0.4">
      <c r="J6235" s="140"/>
    </row>
    <row r="6236" spans="10:10" x14ac:dyDescent="0.4">
      <c r="J6236" s="140"/>
    </row>
    <row r="6237" spans="10:10" x14ac:dyDescent="0.4">
      <c r="J6237" s="140"/>
    </row>
    <row r="6238" spans="10:10" x14ac:dyDescent="0.4">
      <c r="J6238" s="140"/>
    </row>
    <row r="6239" spans="10:10" x14ac:dyDescent="0.4">
      <c r="J6239" s="140"/>
    </row>
    <row r="6240" spans="10:10" x14ac:dyDescent="0.4">
      <c r="J6240" s="140"/>
    </row>
    <row r="6241" spans="10:10" x14ac:dyDescent="0.4">
      <c r="J6241" s="140"/>
    </row>
    <row r="6242" spans="10:10" x14ac:dyDescent="0.4">
      <c r="J6242" s="140"/>
    </row>
    <row r="6243" spans="10:10" x14ac:dyDescent="0.4">
      <c r="J6243" s="140"/>
    </row>
    <row r="6244" spans="10:10" x14ac:dyDescent="0.4">
      <c r="J6244" s="140"/>
    </row>
    <row r="6245" spans="10:10" x14ac:dyDescent="0.4">
      <c r="J6245" s="140"/>
    </row>
    <row r="6246" spans="10:10" x14ac:dyDescent="0.4">
      <c r="J6246" s="140"/>
    </row>
    <row r="6247" spans="10:10" x14ac:dyDescent="0.4">
      <c r="J6247" s="140"/>
    </row>
    <row r="6248" spans="10:10" x14ac:dyDescent="0.4">
      <c r="J6248" s="140"/>
    </row>
    <row r="6249" spans="10:10" x14ac:dyDescent="0.4">
      <c r="J6249" s="140"/>
    </row>
    <row r="6250" spans="10:10" x14ac:dyDescent="0.4">
      <c r="J6250" s="140"/>
    </row>
    <row r="6251" spans="10:10" x14ac:dyDescent="0.4">
      <c r="J6251" s="140"/>
    </row>
    <row r="6252" spans="10:10" x14ac:dyDescent="0.4">
      <c r="J6252" s="140"/>
    </row>
    <row r="6253" spans="10:10" x14ac:dyDescent="0.4">
      <c r="J6253" s="140"/>
    </row>
    <row r="6254" spans="10:10" x14ac:dyDescent="0.4">
      <c r="J6254" s="140"/>
    </row>
    <row r="6255" spans="10:10" x14ac:dyDescent="0.4">
      <c r="J6255" s="140"/>
    </row>
    <row r="6256" spans="10:10" x14ac:dyDescent="0.4">
      <c r="J6256" s="140"/>
    </row>
    <row r="6257" spans="10:10" x14ac:dyDescent="0.4">
      <c r="J6257" s="140"/>
    </row>
    <row r="6258" spans="10:10" x14ac:dyDescent="0.4">
      <c r="J6258" s="140"/>
    </row>
    <row r="6259" spans="10:10" x14ac:dyDescent="0.4">
      <c r="J6259" s="140"/>
    </row>
    <row r="6260" spans="10:10" x14ac:dyDescent="0.4">
      <c r="J6260" s="140"/>
    </row>
    <row r="6261" spans="10:10" x14ac:dyDescent="0.4">
      <c r="J6261" s="140"/>
    </row>
    <row r="6262" spans="10:10" x14ac:dyDescent="0.4">
      <c r="J6262" s="140"/>
    </row>
    <row r="6263" spans="10:10" x14ac:dyDescent="0.4">
      <c r="J6263" s="140"/>
    </row>
    <row r="6264" spans="10:10" x14ac:dyDescent="0.4">
      <c r="J6264" s="140"/>
    </row>
    <row r="6265" spans="10:10" x14ac:dyDescent="0.4">
      <c r="J6265" s="140"/>
    </row>
    <row r="6266" spans="10:10" x14ac:dyDescent="0.4">
      <c r="J6266" s="140"/>
    </row>
    <row r="6267" spans="10:10" x14ac:dyDescent="0.4">
      <c r="J6267" s="140"/>
    </row>
    <row r="6268" spans="10:10" x14ac:dyDescent="0.4">
      <c r="J6268" s="140"/>
    </row>
    <row r="6269" spans="10:10" x14ac:dyDescent="0.4">
      <c r="J6269" s="140"/>
    </row>
    <row r="6270" spans="10:10" x14ac:dyDescent="0.4">
      <c r="J6270" s="140"/>
    </row>
    <row r="6271" spans="10:10" x14ac:dyDescent="0.4">
      <c r="J6271" s="140"/>
    </row>
    <row r="6272" spans="10:10" x14ac:dyDescent="0.4">
      <c r="J6272" s="140"/>
    </row>
    <row r="6273" spans="10:10" x14ac:dyDescent="0.4">
      <c r="J6273" s="140"/>
    </row>
    <row r="6274" spans="10:10" x14ac:dyDescent="0.4">
      <c r="J6274" s="140"/>
    </row>
    <row r="6275" spans="10:10" x14ac:dyDescent="0.4">
      <c r="J6275" s="140"/>
    </row>
    <row r="6276" spans="10:10" x14ac:dyDescent="0.4">
      <c r="J6276" s="140"/>
    </row>
    <row r="6277" spans="10:10" x14ac:dyDescent="0.4">
      <c r="J6277" s="140"/>
    </row>
    <row r="6278" spans="10:10" x14ac:dyDescent="0.4">
      <c r="J6278" s="140"/>
    </row>
    <row r="6279" spans="10:10" x14ac:dyDescent="0.4">
      <c r="J6279" s="140"/>
    </row>
    <row r="6280" spans="10:10" x14ac:dyDescent="0.4">
      <c r="J6280" s="140"/>
    </row>
    <row r="6281" spans="10:10" x14ac:dyDescent="0.4">
      <c r="J6281" s="140"/>
    </row>
    <row r="6282" spans="10:10" x14ac:dyDescent="0.4">
      <c r="J6282" s="140"/>
    </row>
    <row r="6283" spans="10:10" x14ac:dyDescent="0.4">
      <c r="J6283" s="140"/>
    </row>
    <row r="6284" spans="10:10" x14ac:dyDescent="0.4">
      <c r="J6284" s="140"/>
    </row>
    <row r="6285" spans="10:10" x14ac:dyDescent="0.4">
      <c r="J6285" s="140"/>
    </row>
    <row r="6286" spans="10:10" x14ac:dyDescent="0.4">
      <c r="J6286" s="140"/>
    </row>
    <row r="6287" spans="10:10" x14ac:dyDescent="0.4">
      <c r="J6287" s="140"/>
    </row>
    <row r="6288" spans="10:10" x14ac:dyDescent="0.4">
      <c r="J6288" s="140"/>
    </row>
    <row r="6289" spans="10:10" x14ac:dyDescent="0.4">
      <c r="J6289" s="140"/>
    </row>
    <row r="6290" spans="10:10" x14ac:dyDescent="0.4">
      <c r="J6290" s="140"/>
    </row>
    <row r="6291" spans="10:10" x14ac:dyDescent="0.4">
      <c r="J6291" s="140"/>
    </row>
    <row r="6292" spans="10:10" x14ac:dyDescent="0.4">
      <c r="J6292" s="140"/>
    </row>
    <row r="6293" spans="10:10" x14ac:dyDescent="0.4">
      <c r="J6293" s="140"/>
    </row>
    <row r="6294" spans="10:10" x14ac:dyDescent="0.4">
      <c r="J6294" s="140"/>
    </row>
    <row r="6295" spans="10:10" x14ac:dyDescent="0.4">
      <c r="J6295" s="140"/>
    </row>
    <row r="6296" spans="10:10" x14ac:dyDescent="0.4">
      <c r="J6296" s="140"/>
    </row>
    <row r="6297" spans="10:10" x14ac:dyDescent="0.4">
      <c r="J6297" s="140"/>
    </row>
    <row r="6298" spans="10:10" x14ac:dyDescent="0.4">
      <c r="J6298" s="140"/>
    </row>
    <row r="6299" spans="10:10" x14ac:dyDescent="0.4">
      <c r="J6299" s="140"/>
    </row>
    <row r="6300" spans="10:10" x14ac:dyDescent="0.4">
      <c r="J6300" s="140"/>
    </row>
    <row r="6301" spans="10:10" x14ac:dyDescent="0.4">
      <c r="J6301" s="140"/>
    </row>
    <row r="6302" spans="10:10" x14ac:dyDescent="0.4">
      <c r="J6302" s="140"/>
    </row>
    <row r="6303" spans="10:10" x14ac:dyDescent="0.4">
      <c r="J6303" s="140"/>
    </row>
    <row r="6304" spans="10:10" x14ac:dyDescent="0.4">
      <c r="J6304" s="140"/>
    </row>
    <row r="6305" spans="10:10" x14ac:dyDescent="0.4">
      <c r="J6305" s="140"/>
    </row>
    <row r="6306" spans="10:10" x14ac:dyDescent="0.4">
      <c r="J6306" s="140"/>
    </row>
    <row r="6307" spans="10:10" x14ac:dyDescent="0.4">
      <c r="J6307" s="140"/>
    </row>
    <row r="6308" spans="10:10" x14ac:dyDescent="0.4">
      <c r="J6308" s="140"/>
    </row>
    <row r="6309" spans="10:10" x14ac:dyDescent="0.4">
      <c r="J6309" s="140"/>
    </row>
    <row r="6310" spans="10:10" x14ac:dyDescent="0.4">
      <c r="J6310" s="140"/>
    </row>
    <row r="6311" spans="10:10" x14ac:dyDescent="0.4">
      <c r="J6311" s="140"/>
    </row>
    <row r="6312" spans="10:10" x14ac:dyDescent="0.4">
      <c r="J6312" s="140"/>
    </row>
    <row r="6313" spans="10:10" x14ac:dyDescent="0.4">
      <c r="J6313" s="140"/>
    </row>
    <row r="6314" spans="10:10" x14ac:dyDescent="0.4">
      <c r="J6314" s="140"/>
    </row>
    <row r="6315" spans="10:10" x14ac:dyDescent="0.4">
      <c r="J6315" s="140"/>
    </row>
    <row r="6316" spans="10:10" x14ac:dyDescent="0.4">
      <c r="J6316" s="140"/>
    </row>
    <row r="6317" spans="10:10" x14ac:dyDescent="0.4">
      <c r="J6317" s="140"/>
    </row>
    <row r="6318" spans="10:10" x14ac:dyDescent="0.4">
      <c r="J6318" s="140"/>
    </row>
    <row r="6319" spans="10:10" x14ac:dyDescent="0.4">
      <c r="J6319" s="140"/>
    </row>
    <row r="6320" spans="10:10" x14ac:dyDescent="0.4">
      <c r="J6320" s="140"/>
    </row>
    <row r="6321" spans="10:10" x14ac:dyDescent="0.4">
      <c r="J6321" s="140"/>
    </row>
    <row r="6322" spans="10:10" x14ac:dyDescent="0.4">
      <c r="J6322" s="140"/>
    </row>
    <row r="6323" spans="10:10" x14ac:dyDescent="0.4">
      <c r="J6323" s="140"/>
    </row>
    <row r="6324" spans="10:10" x14ac:dyDescent="0.4">
      <c r="J6324" s="140"/>
    </row>
    <row r="6325" spans="10:10" x14ac:dyDescent="0.4">
      <c r="J6325" s="140"/>
    </row>
    <row r="6326" spans="10:10" x14ac:dyDescent="0.4">
      <c r="J6326" s="140"/>
    </row>
    <row r="6327" spans="10:10" x14ac:dyDescent="0.4">
      <c r="J6327" s="140"/>
    </row>
    <row r="6328" spans="10:10" x14ac:dyDescent="0.4">
      <c r="J6328" s="140"/>
    </row>
    <row r="6329" spans="10:10" x14ac:dyDescent="0.4">
      <c r="J6329" s="140"/>
    </row>
    <row r="6330" spans="10:10" x14ac:dyDescent="0.4">
      <c r="J6330" s="140"/>
    </row>
    <row r="6331" spans="10:10" x14ac:dyDescent="0.4">
      <c r="J6331" s="140"/>
    </row>
    <row r="6332" spans="10:10" x14ac:dyDescent="0.4">
      <c r="J6332" s="140"/>
    </row>
    <row r="6333" spans="10:10" x14ac:dyDescent="0.4">
      <c r="J6333" s="140"/>
    </row>
    <row r="6334" spans="10:10" x14ac:dyDescent="0.4">
      <c r="J6334" s="140"/>
    </row>
    <row r="6335" spans="10:10" x14ac:dyDescent="0.4">
      <c r="J6335" s="140"/>
    </row>
    <row r="6336" spans="10:10" x14ac:dyDescent="0.4">
      <c r="J6336" s="140"/>
    </row>
    <row r="6337" spans="10:10" x14ac:dyDescent="0.4">
      <c r="J6337" s="140"/>
    </row>
    <row r="6338" spans="10:10" x14ac:dyDescent="0.4">
      <c r="J6338" s="140"/>
    </row>
    <row r="6339" spans="10:10" x14ac:dyDescent="0.4">
      <c r="J6339" s="140"/>
    </row>
    <row r="6340" spans="10:10" x14ac:dyDescent="0.4">
      <c r="J6340" s="140"/>
    </row>
    <row r="6341" spans="10:10" x14ac:dyDescent="0.4">
      <c r="J6341" s="140"/>
    </row>
    <row r="6342" spans="10:10" x14ac:dyDescent="0.4">
      <c r="J6342" s="140"/>
    </row>
    <row r="6343" spans="10:10" x14ac:dyDescent="0.4">
      <c r="J6343" s="140"/>
    </row>
    <row r="6344" spans="10:10" x14ac:dyDescent="0.4">
      <c r="J6344" s="140"/>
    </row>
    <row r="6345" spans="10:10" x14ac:dyDescent="0.4">
      <c r="J6345" s="140"/>
    </row>
    <row r="6346" spans="10:10" x14ac:dyDescent="0.4">
      <c r="J6346" s="140"/>
    </row>
    <row r="6347" spans="10:10" x14ac:dyDescent="0.4">
      <c r="J6347" s="140"/>
    </row>
    <row r="6348" spans="10:10" x14ac:dyDescent="0.4">
      <c r="J6348" s="140"/>
    </row>
    <row r="6349" spans="10:10" x14ac:dyDescent="0.4">
      <c r="J6349" s="140"/>
    </row>
    <row r="6350" spans="10:10" x14ac:dyDescent="0.4">
      <c r="J6350" s="140"/>
    </row>
    <row r="6351" spans="10:10" x14ac:dyDescent="0.4">
      <c r="J6351" s="140"/>
    </row>
    <row r="6352" spans="10:10" x14ac:dyDescent="0.4">
      <c r="J6352" s="140"/>
    </row>
    <row r="6353" spans="10:10" x14ac:dyDescent="0.4">
      <c r="J6353" s="140"/>
    </row>
    <row r="6354" spans="10:10" x14ac:dyDescent="0.4">
      <c r="J6354" s="140"/>
    </row>
    <row r="6355" spans="10:10" x14ac:dyDescent="0.4">
      <c r="J6355" s="140"/>
    </row>
    <row r="6356" spans="10:10" x14ac:dyDescent="0.4">
      <c r="J6356" s="140"/>
    </row>
    <row r="6357" spans="10:10" x14ac:dyDescent="0.4">
      <c r="J6357" s="140"/>
    </row>
    <row r="6358" spans="10:10" x14ac:dyDescent="0.4">
      <c r="J6358" s="140"/>
    </row>
    <row r="6359" spans="10:10" x14ac:dyDescent="0.4">
      <c r="J6359" s="140"/>
    </row>
    <row r="6360" spans="10:10" x14ac:dyDescent="0.4">
      <c r="J6360" s="140"/>
    </row>
    <row r="6361" spans="10:10" x14ac:dyDescent="0.4">
      <c r="J6361" s="140"/>
    </row>
    <row r="6362" spans="10:10" x14ac:dyDescent="0.4">
      <c r="J6362" s="140"/>
    </row>
    <row r="6363" spans="10:10" x14ac:dyDescent="0.4">
      <c r="J6363" s="140"/>
    </row>
    <row r="6364" spans="10:10" x14ac:dyDescent="0.4">
      <c r="J6364" s="140"/>
    </row>
    <row r="6365" spans="10:10" x14ac:dyDescent="0.4">
      <c r="J6365" s="140"/>
    </row>
    <row r="6366" spans="10:10" x14ac:dyDescent="0.4">
      <c r="J6366" s="140"/>
    </row>
    <row r="6367" spans="10:10" x14ac:dyDescent="0.4">
      <c r="J6367" s="140"/>
    </row>
    <row r="6368" spans="10:10" x14ac:dyDescent="0.4">
      <c r="J6368" s="140"/>
    </row>
    <row r="6369" spans="10:10" x14ac:dyDescent="0.4">
      <c r="J6369" s="140"/>
    </row>
    <row r="6370" spans="10:10" x14ac:dyDescent="0.4">
      <c r="J6370" s="140"/>
    </row>
    <row r="6371" spans="10:10" x14ac:dyDescent="0.4">
      <c r="J6371" s="140"/>
    </row>
    <row r="6372" spans="10:10" x14ac:dyDescent="0.4">
      <c r="J6372" s="140"/>
    </row>
    <row r="6373" spans="10:10" x14ac:dyDescent="0.4">
      <c r="J6373" s="140"/>
    </row>
    <row r="6374" spans="10:10" x14ac:dyDescent="0.4">
      <c r="J6374" s="140"/>
    </row>
    <row r="6375" spans="10:10" x14ac:dyDescent="0.4">
      <c r="J6375" s="140"/>
    </row>
    <row r="6376" spans="10:10" x14ac:dyDescent="0.4">
      <c r="J6376" s="140"/>
    </row>
    <row r="6377" spans="10:10" x14ac:dyDescent="0.4">
      <c r="J6377" s="140"/>
    </row>
    <row r="6378" spans="10:10" x14ac:dyDescent="0.4">
      <c r="J6378" s="140"/>
    </row>
    <row r="6379" spans="10:10" x14ac:dyDescent="0.4">
      <c r="J6379" s="140"/>
    </row>
    <row r="6380" spans="10:10" x14ac:dyDescent="0.4">
      <c r="J6380" s="140"/>
    </row>
    <row r="6381" spans="10:10" x14ac:dyDescent="0.4">
      <c r="J6381" s="140"/>
    </row>
    <row r="6382" spans="10:10" x14ac:dyDescent="0.4">
      <c r="J6382" s="140"/>
    </row>
    <row r="6383" spans="10:10" x14ac:dyDescent="0.4">
      <c r="J6383" s="140"/>
    </row>
    <row r="6384" spans="10:10" x14ac:dyDescent="0.4">
      <c r="J6384" s="140"/>
    </row>
    <row r="6385" spans="10:10" x14ac:dyDescent="0.4">
      <c r="J6385" s="140"/>
    </row>
    <row r="6386" spans="10:10" x14ac:dyDescent="0.4">
      <c r="J6386" s="140"/>
    </row>
    <row r="6387" spans="10:10" x14ac:dyDescent="0.4">
      <c r="J6387" s="140"/>
    </row>
    <row r="6388" spans="10:10" x14ac:dyDescent="0.4">
      <c r="J6388" s="140"/>
    </row>
    <row r="6389" spans="10:10" x14ac:dyDescent="0.4">
      <c r="J6389" s="140"/>
    </row>
    <row r="6390" spans="10:10" x14ac:dyDescent="0.4">
      <c r="J6390" s="140"/>
    </row>
    <row r="6391" spans="10:10" x14ac:dyDescent="0.4">
      <c r="J6391" s="140"/>
    </row>
    <row r="6392" spans="10:10" x14ac:dyDescent="0.4">
      <c r="J6392" s="140"/>
    </row>
    <row r="6393" spans="10:10" x14ac:dyDescent="0.4">
      <c r="J6393" s="140"/>
    </row>
    <row r="6394" spans="10:10" x14ac:dyDescent="0.4">
      <c r="J6394" s="140"/>
    </row>
    <row r="6395" spans="10:10" x14ac:dyDescent="0.4">
      <c r="J6395" s="140"/>
    </row>
    <row r="6396" spans="10:10" x14ac:dyDescent="0.4">
      <c r="J6396" s="140"/>
    </row>
    <row r="6397" spans="10:10" x14ac:dyDescent="0.4">
      <c r="J6397" s="140"/>
    </row>
    <row r="6398" spans="10:10" x14ac:dyDescent="0.4">
      <c r="J6398" s="140"/>
    </row>
    <row r="6399" spans="10:10" x14ac:dyDescent="0.4">
      <c r="J6399" s="140"/>
    </row>
    <row r="6400" spans="10:10" x14ac:dyDescent="0.4">
      <c r="J6400" s="140"/>
    </row>
    <row r="6401" spans="10:10" x14ac:dyDescent="0.4">
      <c r="J6401" s="140"/>
    </row>
    <row r="6402" spans="10:10" x14ac:dyDescent="0.4">
      <c r="J6402" s="140"/>
    </row>
    <row r="6403" spans="10:10" x14ac:dyDescent="0.4">
      <c r="J6403" s="140"/>
    </row>
    <row r="6404" spans="10:10" x14ac:dyDescent="0.4">
      <c r="J6404" s="140"/>
    </row>
    <row r="6405" spans="10:10" x14ac:dyDescent="0.4">
      <c r="J6405" s="140"/>
    </row>
    <row r="6406" spans="10:10" x14ac:dyDescent="0.4">
      <c r="J6406" s="140"/>
    </row>
    <row r="6407" spans="10:10" x14ac:dyDescent="0.4">
      <c r="J6407" s="140"/>
    </row>
    <row r="6408" spans="10:10" x14ac:dyDescent="0.4">
      <c r="J6408" s="140"/>
    </row>
    <row r="6409" spans="10:10" x14ac:dyDescent="0.4">
      <c r="J6409" s="140"/>
    </row>
    <row r="6410" spans="10:10" x14ac:dyDescent="0.4">
      <c r="J6410" s="140"/>
    </row>
    <row r="6411" spans="10:10" x14ac:dyDescent="0.4">
      <c r="J6411" s="140"/>
    </row>
    <row r="6412" spans="10:10" x14ac:dyDescent="0.4">
      <c r="J6412" s="140"/>
    </row>
    <row r="6413" spans="10:10" x14ac:dyDescent="0.4">
      <c r="J6413" s="140"/>
    </row>
    <row r="6414" spans="10:10" x14ac:dyDescent="0.4">
      <c r="J6414" s="140"/>
    </row>
    <row r="6415" spans="10:10" x14ac:dyDescent="0.4">
      <c r="J6415" s="140"/>
    </row>
    <row r="6416" spans="10:10" x14ac:dyDescent="0.4">
      <c r="J6416" s="140"/>
    </row>
    <row r="6417" spans="10:10" x14ac:dyDescent="0.4">
      <c r="J6417" s="140"/>
    </row>
    <row r="6418" spans="10:10" x14ac:dyDescent="0.4">
      <c r="J6418" s="140"/>
    </row>
    <row r="6419" spans="10:10" x14ac:dyDescent="0.4">
      <c r="J6419" s="140"/>
    </row>
    <row r="6420" spans="10:10" x14ac:dyDescent="0.4">
      <c r="J6420" s="140"/>
    </row>
    <row r="6421" spans="10:10" x14ac:dyDescent="0.4">
      <c r="J6421" s="140"/>
    </row>
    <row r="6422" spans="10:10" x14ac:dyDescent="0.4">
      <c r="J6422" s="140"/>
    </row>
    <row r="6423" spans="10:10" x14ac:dyDescent="0.4">
      <c r="J6423" s="140"/>
    </row>
    <row r="6424" spans="10:10" x14ac:dyDescent="0.4">
      <c r="J6424" s="140"/>
    </row>
    <row r="6425" spans="10:10" x14ac:dyDescent="0.4">
      <c r="J6425" s="140"/>
    </row>
    <row r="6426" spans="10:10" x14ac:dyDescent="0.4">
      <c r="J6426" s="140"/>
    </row>
    <row r="6427" spans="10:10" x14ac:dyDescent="0.4">
      <c r="J6427" s="140"/>
    </row>
    <row r="6428" spans="10:10" x14ac:dyDescent="0.4">
      <c r="J6428" s="140"/>
    </row>
    <row r="6429" spans="10:10" x14ac:dyDescent="0.4">
      <c r="J6429" s="140"/>
    </row>
    <row r="6430" spans="10:10" x14ac:dyDescent="0.4">
      <c r="J6430" s="140"/>
    </row>
    <row r="6431" spans="10:10" x14ac:dyDescent="0.4">
      <c r="J6431" s="140"/>
    </row>
    <row r="6432" spans="10:10" x14ac:dyDescent="0.4">
      <c r="J6432" s="140"/>
    </row>
    <row r="6433" spans="10:10" x14ac:dyDescent="0.4">
      <c r="J6433" s="140"/>
    </row>
    <row r="6434" spans="10:10" x14ac:dyDescent="0.4">
      <c r="J6434" s="140"/>
    </row>
    <row r="6435" spans="10:10" x14ac:dyDescent="0.4">
      <c r="J6435" s="140"/>
    </row>
    <row r="6436" spans="10:10" x14ac:dyDescent="0.4">
      <c r="J6436" s="140"/>
    </row>
    <row r="6437" spans="10:10" x14ac:dyDescent="0.4">
      <c r="J6437" s="140"/>
    </row>
    <row r="6438" spans="10:10" x14ac:dyDescent="0.4">
      <c r="J6438" s="140"/>
    </row>
    <row r="6439" spans="10:10" x14ac:dyDescent="0.4">
      <c r="J6439" s="140"/>
    </row>
    <row r="6440" spans="10:10" x14ac:dyDescent="0.4">
      <c r="J6440" s="140"/>
    </row>
    <row r="6441" spans="10:10" x14ac:dyDescent="0.4">
      <c r="J6441" s="140"/>
    </row>
    <row r="6442" spans="10:10" x14ac:dyDescent="0.4">
      <c r="J6442" s="140"/>
    </row>
    <row r="6443" spans="10:10" x14ac:dyDescent="0.4">
      <c r="J6443" s="140"/>
    </row>
    <row r="6444" spans="10:10" x14ac:dyDescent="0.4">
      <c r="J6444" s="140"/>
    </row>
    <row r="6445" spans="10:10" x14ac:dyDescent="0.4">
      <c r="J6445" s="140"/>
    </row>
    <row r="6446" spans="10:10" x14ac:dyDescent="0.4">
      <c r="J6446" s="140"/>
    </row>
    <row r="6447" spans="10:10" x14ac:dyDescent="0.4">
      <c r="J6447" s="140"/>
    </row>
    <row r="6448" spans="10:10" x14ac:dyDescent="0.4">
      <c r="J6448" s="140"/>
    </row>
    <row r="6449" spans="10:10" x14ac:dyDescent="0.4">
      <c r="J6449" s="140"/>
    </row>
    <row r="6450" spans="10:10" x14ac:dyDescent="0.4">
      <c r="J6450" s="140"/>
    </row>
    <row r="6451" spans="10:10" x14ac:dyDescent="0.4">
      <c r="J6451" s="140"/>
    </row>
    <row r="6452" spans="10:10" x14ac:dyDescent="0.4">
      <c r="J6452" s="140"/>
    </row>
    <row r="6453" spans="10:10" x14ac:dyDescent="0.4">
      <c r="J6453" s="140"/>
    </row>
    <row r="6454" spans="10:10" x14ac:dyDescent="0.4">
      <c r="J6454" s="140"/>
    </row>
    <row r="6455" spans="10:10" x14ac:dyDescent="0.4">
      <c r="J6455" s="140"/>
    </row>
    <row r="6456" spans="10:10" x14ac:dyDescent="0.4">
      <c r="J6456" s="140"/>
    </row>
    <row r="6457" spans="10:10" x14ac:dyDescent="0.4">
      <c r="J6457" s="140"/>
    </row>
    <row r="6458" spans="10:10" x14ac:dyDescent="0.4">
      <c r="J6458" s="140"/>
    </row>
    <row r="6459" spans="10:10" x14ac:dyDescent="0.4">
      <c r="J6459" s="140"/>
    </row>
    <row r="6460" spans="10:10" x14ac:dyDescent="0.4">
      <c r="J6460" s="140"/>
    </row>
    <row r="6461" spans="10:10" x14ac:dyDescent="0.4">
      <c r="J6461" s="140"/>
    </row>
    <row r="6462" spans="10:10" x14ac:dyDescent="0.4">
      <c r="J6462" s="140"/>
    </row>
    <row r="6463" spans="10:10" x14ac:dyDescent="0.4">
      <c r="J6463" s="140"/>
    </row>
    <row r="6464" spans="10:10" x14ac:dyDescent="0.4">
      <c r="J6464" s="140"/>
    </row>
    <row r="6465" spans="10:10" x14ac:dyDescent="0.4">
      <c r="J6465" s="140"/>
    </row>
    <row r="6466" spans="10:10" x14ac:dyDescent="0.4">
      <c r="J6466" s="140"/>
    </row>
    <row r="6467" spans="10:10" x14ac:dyDescent="0.4">
      <c r="J6467" s="140"/>
    </row>
    <row r="6468" spans="10:10" x14ac:dyDescent="0.4">
      <c r="J6468" s="140"/>
    </row>
    <row r="6469" spans="10:10" x14ac:dyDescent="0.4">
      <c r="J6469" s="140"/>
    </row>
    <row r="6470" spans="10:10" x14ac:dyDescent="0.4">
      <c r="J6470" s="140"/>
    </row>
    <row r="6471" spans="10:10" x14ac:dyDescent="0.4">
      <c r="J6471" s="140"/>
    </row>
    <row r="6472" spans="10:10" x14ac:dyDescent="0.4">
      <c r="J6472" s="140"/>
    </row>
    <row r="6473" spans="10:10" x14ac:dyDescent="0.4">
      <c r="J6473" s="140"/>
    </row>
    <row r="6474" spans="10:10" x14ac:dyDescent="0.4">
      <c r="J6474" s="140"/>
    </row>
    <row r="6475" spans="10:10" x14ac:dyDescent="0.4">
      <c r="J6475" s="140"/>
    </row>
    <row r="6476" spans="10:10" x14ac:dyDescent="0.4">
      <c r="J6476" s="140"/>
    </row>
    <row r="6477" spans="10:10" x14ac:dyDescent="0.4">
      <c r="J6477" s="140"/>
    </row>
    <row r="6478" spans="10:10" x14ac:dyDescent="0.4">
      <c r="J6478" s="140"/>
    </row>
    <row r="6479" spans="10:10" x14ac:dyDescent="0.4">
      <c r="J6479" s="140"/>
    </row>
    <row r="6480" spans="10:10" x14ac:dyDescent="0.4">
      <c r="J6480" s="140"/>
    </row>
    <row r="6481" spans="10:10" x14ac:dyDescent="0.4">
      <c r="J6481" s="140"/>
    </row>
    <row r="6482" spans="10:10" x14ac:dyDescent="0.4">
      <c r="J6482" s="140"/>
    </row>
    <row r="6483" spans="10:10" x14ac:dyDescent="0.4">
      <c r="J6483" s="140"/>
    </row>
    <row r="6484" spans="10:10" x14ac:dyDescent="0.4">
      <c r="J6484" s="140"/>
    </row>
    <row r="6485" spans="10:10" x14ac:dyDescent="0.4">
      <c r="J6485" s="140"/>
    </row>
    <row r="6486" spans="10:10" x14ac:dyDescent="0.4">
      <c r="J6486" s="140"/>
    </row>
    <row r="6487" spans="10:10" x14ac:dyDescent="0.4">
      <c r="J6487" s="140"/>
    </row>
    <row r="6488" spans="10:10" x14ac:dyDescent="0.4">
      <c r="J6488" s="140"/>
    </row>
    <row r="6489" spans="10:10" x14ac:dyDescent="0.4">
      <c r="J6489" s="140"/>
    </row>
    <row r="6490" spans="10:10" x14ac:dyDescent="0.4">
      <c r="J6490" s="140"/>
    </row>
    <row r="6491" spans="10:10" x14ac:dyDescent="0.4">
      <c r="J6491" s="140"/>
    </row>
    <row r="6492" spans="10:10" x14ac:dyDescent="0.4">
      <c r="J6492" s="140"/>
    </row>
    <row r="6493" spans="10:10" x14ac:dyDescent="0.4">
      <c r="J6493" s="140"/>
    </row>
    <row r="6494" spans="10:10" x14ac:dyDescent="0.4">
      <c r="J6494" s="140"/>
    </row>
    <row r="6495" spans="10:10" x14ac:dyDescent="0.4">
      <c r="J6495" s="140"/>
    </row>
    <row r="6496" spans="10:10" x14ac:dyDescent="0.4">
      <c r="J6496" s="140"/>
    </row>
    <row r="6497" spans="10:10" x14ac:dyDescent="0.4">
      <c r="J6497" s="140"/>
    </row>
    <row r="6498" spans="10:10" x14ac:dyDescent="0.4">
      <c r="J6498" s="140"/>
    </row>
    <row r="6499" spans="10:10" x14ac:dyDescent="0.4">
      <c r="J6499" s="140"/>
    </row>
    <row r="6500" spans="10:10" x14ac:dyDescent="0.4">
      <c r="J6500" s="140"/>
    </row>
    <row r="6501" spans="10:10" x14ac:dyDescent="0.4">
      <c r="J6501" s="140"/>
    </row>
    <row r="6502" spans="10:10" x14ac:dyDescent="0.4">
      <c r="J6502" s="140"/>
    </row>
    <row r="6503" spans="10:10" x14ac:dyDescent="0.4">
      <c r="J6503" s="140"/>
    </row>
    <row r="6504" spans="10:10" x14ac:dyDescent="0.4">
      <c r="J6504" s="140"/>
    </row>
    <row r="6505" spans="10:10" x14ac:dyDescent="0.4">
      <c r="J6505" s="140"/>
    </row>
    <row r="6506" spans="10:10" x14ac:dyDescent="0.4">
      <c r="J6506" s="140"/>
    </row>
    <row r="6507" spans="10:10" x14ac:dyDescent="0.4">
      <c r="J6507" s="140"/>
    </row>
    <row r="6508" spans="10:10" x14ac:dyDescent="0.4">
      <c r="J6508" s="140"/>
    </row>
    <row r="6509" spans="10:10" x14ac:dyDescent="0.4">
      <c r="J6509" s="140"/>
    </row>
    <row r="6510" spans="10:10" x14ac:dyDescent="0.4">
      <c r="J6510" s="140"/>
    </row>
    <row r="6511" spans="10:10" x14ac:dyDescent="0.4">
      <c r="J6511" s="140"/>
    </row>
    <row r="6512" spans="10:10" x14ac:dyDescent="0.4">
      <c r="J6512" s="140"/>
    </row>
    <row r="6513" spans="10:10" x14ac:dyDescent="0.4">
      <c r="J6513" s="140"/>
    </row>
    <row r="6514" spans="10:10" x14ac:dyDescent="0.4">
      <c r="J6514" s="140"/>
    </row>
    <row r="6515" spans="10:10" x14ac:dyDescent="0.4">
      <c r="J6515" s="140"/>
    </row>
    <row r="6516" spans="10:10" x14ac:dyDescent="0.4">
      <c r="J6516" s="140"/>
    </row>
    <row r="6517" spans="10:10" x14ac:dyDescent="0.4">
      <c r="J6517" s="140"/>
    </row>
    <row r="6518" spans="10:10" x14ac:dyDescent="0.4">
      <c r="J6518" s="140"/>
    </row>
    <row r="6519" spans="10:10" x14ac:dyDescent="0.4">
      <c r="J6519" s="140"/>
    </row>
    <row r="6520" spans="10:10" x14ac:dyDescent="0.4">
      <c r="J6520" s="140"/>
    </row>
    <row r="6521" spans="10:10" x14ac:dyDescent="0.4">
      <c r="J6521" s="140"/>
    </row>
    <row r="6522" spans="10:10" x14ac:dyDescent="0.4">
      <c r="J6522" s="140"/>
    </row>
    <row r="6523" spans="10:10" x14ac:dyDescent="0.4">
      <c r="J6523" s="140"/>
    </row>
    <row r="6524" spans="10:10" x14ac:dyDescent="0.4">
      <c r="J6524" s="140"/>
    </row>
    <row r="6525" spans="10:10" x14ac:dyDescent="0.4">
      <c r="J6525" s="140"/>
    </row>
    <row r="6526" spans="10:10" x14ac:dyDescent="0.4">
      <c r="J6526" s="140"/>
    </row>
    <row r="6527" spans="10:10" x14ac:dyDescent="0.4">
      <c r="J6527" s="140"/>
    </row>
    <row r="6528" spans="10:10" x14ac:dyDescent="0.4">
      <c r="J6528" s="140"/>
    </row>
    <row r="6529" spans="10:10" x14ac:dyDescent="0.4">
      <c r="J6529" s="140"/>
    </row>
    <row r="6530" spans="10:10" x14ac:dyDescent="0.4">
      <c r="J6530" s="140"/>
    </row>
    <row r="6531" spans="10:10" x14ac:dyDescent="0.4">
      <c r="J6531" s="140"/>
    </row>
    <row r="6532" spans="10:10" x14ac:dyDescent="0.4">
      <c r="J6532" s="140"/>
    </row>
    <row r="6533" spans="10:10" x14ac:dyDescent="0.4">
      <c r="J6533" s="140"/>
    </row>
    <row r="6534" spans="10:10" x14ac:dyDescent="0.4">
      <c r="J6534" s="140"/>
    </row>
    <row r="6535" spans="10:10" x14ac:dyDescent="0.4">
      <c r="J6535" s="140"/>
    </row>
    <row r="6536" spans="10:10" x14ac:dyDescent="0.4">
      <c r="J6536" s="140"/>
    </row>
    <row r="6537" spans="10:10" x14ac:dyDescent="0.4">
      <c r="J6537" s="140"/>
    </row>
    <row r="6538" spans="10:10" x14ac:dyDescent="0.4">
      <c r="J6538" s="140"/>
    </row>
    <row r="6539" spans="10:10" x14ac:dyDescent="0.4">
      <c r="J6539" s="140"/>
    </row>
    <row r="6540" spans="10:10" x14ac:dyDescent="0.4">
      <c r="J6540" s="140"/>
    </row>
    <row r="6541" spans="10:10" x14ac:dyDescent="0.4">
      <c r="J6541" s="140"/>
    </row>
    <row r="6542" spans="10:10" x14ac:dyDescent="0.4">
      <c r="J6542" s="140"/>
    </row>
    <row r="6543" spans="10:10" x14ac:dyDescent="0.4">
      <c r="J6543" s="140"/>
    </row>
    <row r="6544" spans="10:10" x14ac:dyDescent="0.4">
      <c r="J6544" s="140"/>
    </row>
    <row r="6545" spans="10:10" x14ac:dyDescent="0.4">
      <c r="J6545" s="140"/>
    </row>
    <row r="6546" spans="10:10" x14ac:dyDescent="0.4">
      <c r="J6546" s="140"/>
    </row>
    <row r="6547" spans="10:10" x14ac:dyDescent="0.4">
      <c r="J6547" s="140"/>
    </row>
    <row r="6548" spans="10:10" x14ac:dyDescent="0.4">
      <c r="J6548" s="140"/>
    </row>
    <row r="6549" spans="10:10" x14ac:dyDescent="0.4">
      <c r="J6549" s="140"/>
    </row>
    <row r="6550" spans="10:10" x14ac:dyDescent="0.4">
      <c r="J6550" s="140"/>
    </row>
    <row r="6551" spans="10:10" x14ac:dyDescent="0.4">
      <c r="J6551" s="140"/>
    </row>
    <row r="6552" spans="10:10" x14ac:dyDescent="0.4">
      <c r="J6552" s="140"/>
    </row>
    <row r="6553" spans="10:10" x14ac:dyDescent="0.4">
      <c r="J6553" s="140"/>
    </row>
    <row r="6554" spans="10:10" x14ac:dyDescent="0.4">
      <c r="J6554" s="140"/>
    </row>
    <row r="6555" spans="10:10" x14ac:dyDescent="0.4">
      <c r="J6555" s="140"/>
    </row>
    <row r="6556" spans="10:10" x14ac:dyDescent="0.4">
      <c r="J6556" s="140"/>
    </row>
    <row r="6557" spans="10:10" x14ac:dyDescent="0.4">
      <c r="J6557" s="140"/>
    </row>
    <row r="6558" spans="10:10" x14ac:dyDescent="0.4">
      <c r="J6558" s="140"/>
    </row>
    <row r="6559" spans="10:10" x14ac:dyDescent="0.4">
      <c r="J6559" s="140"/>
    </row>
    <row r="6560" spans="10:10" x14ac:dyDescent="0.4">
      <c r="J6560" s="140"/>
    </row>
    <row r="6561" spans="10:10" x14ac:dyDescent="0.4">
      <c r="J6561" s="140"/>
    </row>
    <row r="6562" spans="10:10" x14ac:dyDescent="0.4">
      <c r="J6562" s="140"/>
    </row>
    <row r="6563" spans="10:10" x14ac:dyDescent="0.4">
      <c r="J6563" s="140"/>
    </row>
    <row r="6564" spans="10:10" x14ac:dyDescent="0.4">
      <c r="J6564" s="140"/>
    </row>
    <row r="6565" spans="10:10" x14ac:dyDescent="0.4">
      <c r="J6565" s="140"/>
    </row>
    <row r="6566" spans="10:10" x14ac:dyDescent="0.4">
      <c r="J6566" s="140"/>
    </row>
    <row r="6567" spans="10:10" x14ac:dyDescent="0.4">
      <c r="J6567" s="140"/>
    </row>
    <row r="6568" spans="10:10" x14ac:dyDescent="0.4">
      <c r="J6568" s="140"/>
    </row>
    <row r="6569" spans="10:10" x14ac:dyDescent="0.4">
      <c r="J6569" s="140"/>
    </row>
    <row r="6570" spans="10:10" x14ac:dyDescent="0.4">
      <c r="J6570" s="140"/>
    </row>
    <row r="6571" spans="10:10" x14ac:dyDescent="0.4">
      <c r="J6571" s="140"/>
    </row>
    <row r="6572" spans="10:10" x14ac:dyDescent="0.4">
      <c r="J6572" s="140"/>
    </row>
    <row r="6573" spans="10:10" x14ac:dyDescent="0.4">
      <c r="J6573" s="140"/>
    </row>
    <row r="6574" spans="10:10" x14ac:dyDescent="0.4">
      <c r="J6574" s="140"/>
    </row>
    <row r="6575" spans="10:10" x14ac:dyDescent="0.4">
      <c r="J6575" s="140"/>
    </row>
    <row r="6576" spans="10:10" x14ac:dyDescent="0.4">
      <c r="J6576" s="140"/>
    </row>
    <row r="6577" spans="10:10" x14ac:dyDescent="0.4">
      <c r="J6577" s="140"/>
    </row>
    <row r="6578" spans="10:10" x14ac:dyDescent="0.4">
      <c r="J6578" s="140"/>
    </row>
    <row r="6579" spans="10:10" x14ac:dyDescent="0.4">
      <c r="J6579" s="140"/>
    </row>
    <row r="6580" spans="10:10" x14ac:dyDescent="0.4">
      <c r="J6580" s="140"/>
    </row>
    <row r="6581" spans="10:10" x14ac:dyDescent="0.4">
      <c r="J6581" s="140"/>
    </row>
    <row r="6582" spans="10:10" x14ac:dyDescent="0.4">
      <c r="J6582" s="140"/>
    </row>
    <row r="6583" spans="10:10" x14ac:dyDescent="0.4">
      <c r="J6583" s="140"/>
    </row>
    <row r="6584" spans="10:10" x14ac:dyDescent="0.4">
      <c r="J6584" s="140"/>
    </row>
    <row r="6585" spans="10:10" x14ac:dyDescent="0.4">
      <c r="J6585" s="140"/>
    </row>
    <row r="6586" spans="10:10" x14ac:dyDescent="0.4">
      <c r="J6586" s="140"/>
    </row>
    <row r="6587" spans="10:10" x14ac:dyDescent="0.4">
      <c r="J6587" s="140"/>
    </row>
    <row r="6588" spans="10:10" x14ac:dyDescent="0.4">
      <c r="J6588" s="140"/>
    </row>
    <row r="6589" spans="10:10" x14ac:dyDescent="0.4">
      <c r="J6589" s="140"/>
    </row>
    <row r="6590" spans="10:10" x14ac:dyDescent="0.4">
      <c r="J6590" s="140"/>
    </row>
    <row r="6591" spans="10:10" x14ac:dyDescent="0.4">
      <c r="J6591" s="140"/>
    </row>
    <row r="6592" spans="10:10" x14ac:dyDescent="0.4">
      <c r="J6592" s="140"/>
    </row>
    <row r="6593" spans="10:10" x14ac:dyDescent="0.4">
      <c r="J6593" s="140"/>
    </row>
    <row r="6594" spans="10:10" x14ac:dyDescent="0.4">
      <c r="J6594" s="140"/>
    </row>
    <row r="6595" spans="10:10" x14ac:dyDescent="0.4">
      <c r="J6595" s="140"/>
    </row>
    <row r="6596" spans="10:10" x14ac:dyDescent="0.4">
      <c r="J6596" s="140"/>
    </row>
    <row r="6597" spans="10:10" x14ac:dyDescent="0.4">
      <c r="J6597" s="140"/>
    </row>
    <row r="6598" spans="10:10" x14ac:dyDescent="0.4">
      <c r="J6598" s="140"/>
    </row>
    <row r="6599" spans="10:10" x14ac:dyDescent="0.4">
      <c r="J6599" s="140"/>
    </row>
    <row r="6600" spans="10:10" x14ac:dyDescent="0.4">
      <c r="J6600" s="140"/>
    </row>
    <row r="6601" spans="10:10" x14ac:dyDescent="0.4">
      <c r="J6601" s="140"/>
    </row>
    <row r="6602" spans="10:10" x14ac:dyDescent="0.4">
      <c r="J6602" s="140"/>
    </row>
    <row r="6603" spans="10:10" x14ac:dyDescent="0.4">
      <c r="J6603" s="140"/>
    </row>
    <row r="6604" spans="10:10" x14ac:dyDescent="0.4">
      <c r="J6604" s="140"/>
    </row>
    <row r="6605" spans="10:10" x14ac:dyDescent="0.4">
      <c r="J6605" s="140"/>
    </row>
    <row r="6606" spans="10:10" x14ac:dyDescent="0.4">
      <c r="J6606" s="140"/>
    </row>
    <row r="6607" spans="10:10" x14ac:dyDescent="0.4">
      <c r="J6607" s="140"/>
    </row>
    <row r="6608" spans="10:10" x14ac:dyDescent="0.4">
      <c r="J6608" s="140"/>
    </row>
    <row r="6609" spans="10:10" x14ac:dyDescent="0.4">
      <c r="J6609" s="140"/>
    </row>
    <row r="6610" spans="10:10" x14ac:dyDescent="0.4">
      <c r="J6610" s="140"/>
    </row>
    <row r="6611" spans="10:10" x14ac:dyDescent="0.4">
      <c r="J6611" s="140"/>
    </row>
    <row r="6612" spans="10:10" x14ac:dyDescent="0.4">
      <c r="J6612" s="140"/>
    </row>
    <row r="6613" spans="10:10" x14ac:dyDescent="0.4">
      <c r="J6613" s="140"/>
    </row>
    <row r="6614" spans="10:10" x14ac:dyDescent="0.4">
      <c r="J6614" s="140"/>
    </row>
    <row r="6615" spans="10:10" x14ac:dyDescent="0.4">
      <c r="J6615" s="140"/>
    </row>
    <row r="6616" spans="10:10" x14ac:dyDescent="0.4">
      <c r="J6616" s="140"/>
    </row>
    <row r="6617" spans="10:10" x14ac:dyDescent="0.4">
      <c r="J6617" s="140"/>
    </row>
    <row r="6618" spans="10:10" x14ac:dyDescent="0.4">
      <c r="J6618" s="140"/>
    </row>
    <row r="6619" spans="10:10" x14ac:dyDescent="0.4">
      <c r="J6619" s="140"/>
    </row>
    <row r="6620" spans="10:10" x14ac:dyDescent="0.4">
      <c r="J6620" s="140"/>
    </row>
    <row r="6621" spans="10:10" x14ac:dyDescent="0.4">
      <c r="J6621" s="140"/>
    </row>
    <row r="6622" spans="10:10" x14ac:dyDescent="0.4">
      <c r="J6622" s="140"/>
    </row>
    <row r="6623" spans="10:10" x14ac:dyDescent="0.4">
      <c r="J6623" s="140"/>
    </row>
    <row r="6624" spans="10:10" x14ac:dyDescent="0.4">
      <c r="J6624" s="140"/>
    </row>
    <row r="6625" spans="10:10" x14ac:dyDescent="0.4">
      <c r="J6625" s="140"/>
    </row>
    <row r="6626" spans="10:10" x14ac:dyDescent="0.4">
      <c r="J6626" s="140"/>
    </row>
    <row r="6627" spans="10:10" x14ac:dyDescent="0.4">
      <c r="J6627" s="140"/>
    </row>
    <row r="6628" spans="10:10" x14ac:dyDescent="0.4">
      <c r="J6628" s="140"/>
    </row>
    <row r="6629" spans="10:10" x14ac:dyDescent="0.4">
      <c r="J6629" s="140"/>
    </row>
    <row r="6630" spans="10:10" x14ac:dyDescent="0.4">
      <c r="J6630" s="140"/>
    </row>
    <row r="6631" spans="10:10" x14ac:dyDescent="0.4">
      <c r="J6631" s="140"/>
    </row>
    <row r="6632" spans="10:10" x14ac:dyDescent="0.4">
      <c r="J6632" s="140"/>
    </row>
    <row r="6633" spans="10:10" x14ac:dyDescent="0.4">
      <c r="J6633" s="140"/>
    </row>
    <row r="6634" spans="10:10" x14ac:dyDescent="0.4">
      <c r="J6634" s="140"/>
    </row>
    <row r="6635" spans="10:10" x14ac:dyDescent="0.4">
      <c r="J6635" s="140"/>
    </row>
    <row r="6636" spans="10:10" x14ac:dyDescent="0.4">
      <c r="J6636" s="140"/>
    </row>
    <row r="6637" spans="10:10" x14ac:dyDescent="0.4">
      <c r="J6637" s="140"/>
    </row>
    <row r="6638" spans="10:10" x14ac:dyDescent="0.4">
      <c r="J6638" s="140"/>
    </row>
    <row r="6639" spans="10:10" x14ac:dyDescent="0.4">
      <c r="J6639" s="140"/>
    </row>
    <row r="6640" spans="10:10" x14ac:dyDescent="0.4">
      <c r="J6640" s="140"/>
    </row>
    <row r="6641" spans="10:10" x14ac:dyDescent="0.4">
      <c r="J6641" s="140"/>
    </row>
    <row r="6642" spans="10:10" x14ac:dyDescent="0.4">
      <c r="J6642" s="140"/>
    </row>
    <row r="6643" spans="10:10" x14ac:dyDescent="0.4">
      <c r="J6643" s="140"/>
    </row>
    <row r="6644" spans="10:10" x14ac:dyDescent="0.4">
      <c r="J6644" s="140"/>
    </row>
    <row r="6645" spans="10:10" x14ac:dyDescent="0.4">
      <c r="J6645" s="140"/>
    </row>
    <row r="6646" spans="10:10" x14ac:dyDescent="0.4">
      <c r="J6646" s="140"/>
    </row>
    <row r="6647" spans="10:10" x14ac:dyDescent="0.4">
      <c r="J6647" s="140"/>
    </row>
    <row r="6648" spans="10:10" x14ac:dyDescent="0.4">
      <c r="J6648" s="140"/>
    </row>
    <row r="6649" spans="10:10" x14ac:dyDescent="0.4">
      <c r="J6649" s="140"/>
    </row>
    <row r="6650" spans="10:10" x14ac:dyDescent="0.4">
      <c r="J6650" s="140"/>
    </row>
    <row r="6651" spans="10:10" x14ac:dyDescent="0.4">
      <c r="J6651" s="140"/>
    </row>
    <row r="6652" spans="10:10" x14ac:dyDescent="0.4">
      <c r="J6652" s="140"/>
    </row>
    <row r="6653" spans="10:10" x14ac:dyDescent="0.4">
      <c r="J6653" s="140"/>
    </row>
    <row r="6654" spans="10:10" x14ac:dyDescent="0.4">
      <c r="J6654" s="140"/>
    </row>
    <row r="6655" spans="10:10" x14ac:dyDescent="0.4">
      <c r="J6655" s="140"/>
    </row>
    <row r="6656" spans="10:10" x14ac:dyDescent="0.4">
      <c r="J6656" s="140"/>
    </row>
    <row r="6657" spans="10:10" x14ac:dyDescent="0.4">
      <c r="J6657" s="140"/>
    </row>
    <row r="6658" spans="10:10" x14ac:dyDescent="0.4">
      <c r="J6658" s="140"/>
    </row>
    <row r="6659" spans="10:10" x14ac:dyDescent="0.4">
      <c r="J6659" s="140"/>
    </row>
    <row r="6660" spans="10:10" x14ac:dyDescent="0.4">
      <c r="J6660" s="140"/>
    </row>
    <row r="6661" spans="10:10" x14ac:dyDescent="0.4">
      <c r="J6661" s="140"/>
    </row>
    <row r="6662" spans="10:10" x14ac:dyDescent="0.4">
      <c r="J6662" s="140"/>
    </row>
    <row r="6663" spans="10:10" x14ac:dyDescent="0.4">
      <c r="J6663" s="140"/>
    </row>
    <row r="6664" spans="10:10" x14ac:dyDescent="0.4">
      <c r="J6664" s="140"/>
    </row>
    <row r="6665" spans="10:10" x14ac:dyDescent="0.4">
      <c r="J6665" s="140"/>
    </row>
    <row r="6666" spans="10:10" x14ac:dyDescent="0.4">
      <c r="J6666" s="140"/>
    </row>
    <row r="6667" spans="10:10" x14ac:dyDescent="0.4">
      <c r="J6667" s="140"/>
    </row>
    <row r="6668" spans="10:10" x14ac:dyDescent="0.4">
      <c r="J6668" s="140"/>
    </row>
    <row r="6669" spans="10:10" x14ac:dyDescent="0.4">
      <c r="J6669" s="140"/>
    </row>
    <row r="6670" spans="10:10" x14ac:dyDescent="0.4">
      <c r="J6670" s="140"/>
    </row>
    <row r="6671" spans="10:10" x14ac:dyDescent="0.4">
      <c r="J6671" s="140"/>
    </row>
    <row r="6672" spans="10:10" x14ac:dyDescent="0.4">
      <c r="J6672" s="140"/>
    </row>
    <row r="6673" spans="10:10" x14ac:dyDescent="0.4">
      <c r="J6673" s="140"/>
    </row>
    <row r="6674" spans="10:10" x14ac:dyDescent="0.4">
      <c r="J6674" s="140"/>
    </row>
    <row r="6675" spans="10:10" x14ac:dyDescent="0.4">
      <c r="J6675" s="140"/>
    </row>
    <row r="6676" spans="10:10" x14ac:dyDescent="0.4">
      <c r="J6676" s="140"/>
    </row>
    <row r="6677" spans="10:10" x14ac:dyDescent="0.4">
      <c r="J6677" s="140"/>
    </row>
    <row r="6678" spans="10:10" x14ac:dyDescent="0.4">
      <c r="J6678" s="140"/>
    </row>
    <row r="6679" spans="10:10" x14ac:dyDescent="0.4">
      <c r="J6679" s="140"/>
    </row>
    <row r="6680" spans="10:10" x14ac:dyDescent="0.4">
      <c r="J6680" s="140"/>
    </row>
    <row r="6681" spans="10:10" x14ac:dyDescent="0.4">
      <c r="J6681" s="140"/>
    </row>
    <row r="6682" spans="10:10" x14ac:dyDescent="0.4">
      <c r="J6682" s="140"/>
    </row>
    <row r="6683" spans="10:10" x14ac:dyDescent="0.4">
      <c r="J6683" s="140"/>
    </row>
    <row r="6684" spans="10:10" x14ac:dyDescent="0.4">
      <c r="J6684" s="140"/>
    </row>
    <row r="6685" spans="10:10" x14ac:dyDescent="0.4">
      <c r="J6685" s="140"/>
    </row>
    <row r="6686" spans="10:10" x14ac:dyDescent="0.4">
      <c r="J6686" s="140"/>
    </row>
    <row r="6687" spans="10:10" x14ac:dyDescent="0.4">
      <c r="J6687" s="140"/>
    </row>
    <row r="6688" spans="10:10" x14ac:dyDescent="0.4">
      <c r="J6688" s="140"/>
    </row>
    <row r="6689" spans="10:10" x14ac:dyDescent="0.4">
      <c r="J6689" s="140"/>
    </row>
    <row r="6690" spans="10:10" x14ac:dyDescent="0.4">
      <c r="J6690" s="140"/>
    </row>
    <row r="6691" spans="10:10" x14ac:dyDescent="0.4">
      <c r="J6691" s="140"/>
    </row>
    <row r="6692" spans="10:10" x14ac:dyDescent="0.4">
      <c r="J6692" s="140"/>
    </row>
    <row r="6693" spans="10:10" x14ac:dyDescent="0.4">
      <c r="J6693" s="140"/>
    </row>
    <row r="6694" spans="10:10" x14ac:dyDescent="0.4">
      <c r="J6694" s="140"/>
    </row>
    <row r="6695" spans="10:10" x14ac:dyDescent="0.4">
      <c r="J6695" s="140"/>
    </row>
    <row r="6696" spans="10:10" x14ac:dyDescent="0.4">
      <c r="J6696" s="140"/>
    </row>
    <row r="6697" spans="10:10" x14ac:dyDescent="0.4">
      <c r="J6697" s="140"/>
    </row>
    <row r="6698" spans="10:10" x14ac:dyDescent="0.4">
      <c r="J6698" s="140"/>
    </row>
    <row r="6699" spans="10:10" x14ac:dyDescent="0.4">
      <c r="J6699" s="140"/>
    </row>
    <row r="6700" spans="10:10" x14ac:dyDescent="0.4">
      <c r="J6700" s="140"/>
    </row>
    <row r="6701" spans="10:10" x14ac:dyDescent="0.4">
      <c r="J6701" s="140"/>
    </row>
    <row r="6702" spans="10:10" x14ac:dyDescent="0.4">
      <c r="J6702" s="140"/>
    </row>
    <row r="6703" spans="10:10" x14ac:dyDescent="0.4">
      <c r="J6703" s="140"/>
    </row>
    <row r="6704" spans="10:10" x14ac:dyDescent="0.4">
      <c r="J6704" s="140"/>
    </row>
    <row r="6705" spans="10:10" x14ac:dyDescent="0.4">
      <c r="J6705" s="140"/>
    </row>
    <row r="6706" spans="10:10" x14ac:dyDescent="0.4">
      <c r="J6706" s="140"/>
    </row>
    <row r="6707" spans="10:10" x14ac:dyDescent="0.4">
      <c r="J6707" s="140"/>
    </row>
    <row r="6708" spans="10:10" x14ac:dyDescent="0.4">
      <c r="J6708" s="140"/>
    </row>
    <row r="6709" spans="10:10" x14ac:dyDescent="0.4">
      <c r="J6709" s="140"/>
    </row>
    <row r="6710" spans="10:10" x14ac:dyDescent="0.4">
      <c r="J6710" s="140"/>
    </row>
    <row r="6711" spans="10:10" x14ac:dyDescent="0.4">
      <c r="J6711" s="140"/>
    </row>
    <row r="6712" spans="10:10" x14ac:dyDescent="0.4">
      <c r="J6712" s="140"/>
    </row>
    <row r="6713" spans="10:10" x14ac:dyDescent="0.4">
      <c r="J6713" s="140"/>
    </row>
    <row r="6714" spans="10:10" x14ac:dyDescent="0.4">
      <c r="J6714" s="140"/>
    </row>
    <row r="6715" spans="10:10" x14ac:dyDescent="0.4">
      <c r="J6715" s="140"/>
    </row>
    <row r="6716" spans="10:10" x14ac:dyDescent="0.4">
      <c r="J6716" s="140"/>
    </row>
    <row r="6717" spans="10:10" x14ac:dyDescent="0.4">
      <c r="J6717" s="140"/>
    </row>
    <row r="6718" spans="10:10" x14ac:dyDescent="0.4">
      <c r="J6718" s="140"/>
    </row>
    <row r="6719" spans="10:10" x14ac:dyDescent="0.4">
      <c r="J6719" s="140"/>
    </row>
    <row r="6720" spans="10:10" x14ac:dyDescent="0.4">
      <c r="J6720" s="140"/>
    </row>
    <row r="6721" spans="10:10" x14ac:dyDescent="0.4">
      <c r="J6721" s="140"/>
    </row>
    <row r="6722" spans="10:10" x14ac:dyDescent="0.4">
      <c r="J6722" s="140"/>
    </row>
    <row r="6723" spans="10:10" x14ac:dyDescent="0.4">
      <c r="J6723" s="140"/>
    </row>
    <row r="6724" spans="10:10" x14ac:dyDescent="0.4">
      <c r="J6724" s="140"/>
    </row>
    <row r="6725" spans="10:10" x14ac:dyDescent="0.4">
      <c r="J6725" s="140"/>
    </row>
    <row r="6726" spans="10:10" x14ac:dyDescent="0.4">
      <c r="J6726" s="140"/>
    </row>
    <row r="6727" spans="10:10" x14ac:dyDescent="0.4">
      <c r="J6727" s="140"/>
    </row>
    <row r="6728" spans="10:10" x14ac:dyDescent="0.4">
      <c r="J6728" s="140"/>
    </row>
    <row r="6729" spans="10:10" x14ac:dyDescent="0.4">
      <c r="J6729" s="140"/>
    </row>
    <row r="6730" spans="10:10" x14ac:dyDescent="0.4">
      <c r="J6730" s="140"/>
    </row>
    <row r="6731" spans="10:10" x14ac:dyDescent="0.4">
      <c r="J6731" s="140"/>
    </row>
    <row r="6732" spans="10:10" x14ac:dyDescent="0.4">
      <c r="J6732" s="140"/>
    </row>
    <row r="6733" spans="10:10" x14ac:dyDescent="0.4">
      <c r="J6733" s="140"/>
    </row>
    <row r="6734" spans="10:10" x14ac:dyDescent="0.4">
      <c r="J6734" s="140"/>
    </row>
    <row r="6735" spans="10:10" x14ac:dyDescent="0.4">
      <c r="J6735" s="140"/>
    </row>
    <row r="6736" spans="10:10" x14ac:dyDescent="0.4">
      <c r="J6736" s="140"/>
    </row>
    <row r="6737" spans="10:10" x14ac:dyDescent="0.4">
      <c r="J6737" s="140"/>
    </row>
    <row r="6738" spans="10:10" x14ac:dyDescent="0.4">
      <c r="J6738" s="140"/>
    </row>
    <row r="6739" spans="10:10" x14ac:dyDescent="0.4">
      <c r="J6739" s="140"/>
    </row>
    <row r="6740" spans="10:10" x14ac:dyDescent="0.4">
      <c r="J6740" s="140"/>
    </row>
    <row r="6741" spans="10:10" x14ac:dyDescent="0.4">
      <c r="J6741" s="140"/>
    </row>
    <row r="6742" spans="10:10" x14ac:dyDescent="0.4">
      <c r="J6742" s="140"/>
    </row>
    <row r="6743" spans="10:10" x14ac:dyDescent="0.4">
      <c r="J6743" s="140"/>
    </row>
    <row r="6744" spans="10:10" x14ac:dyDescent="0.4">
      <c r="J6744" s="140"/>
    </row>
    <row r="6745" spans="10:10" x14ac:dyDescent="0.4">
      <c r="J6745" s="140"/>
    </row>
    <row r="6746" spans="10:10" x14ac:dyDescent="0.4">
      <c r="J6746" s="140"/>
    </row>
    <row r="6747" spans="10:10" x14ac:dyDescent="0.4">
      <c r="J6747" s="140"/>
    </row>
    <row r="6748" spans="10:10" x14ac:dyDescent="0.4">
      <c r="J6748" s="140"/>
    </row>
    <row r="6749" spans="10:10" x14ac:dyDescent="0.4">
      <c r="J6749" s="140"/>
    </row>
    <row r="6750" spans="10:10" x14ac:dyDescent="0.4">
      <c r="J6750" s="140"/>
    </row>
    <row r="6751" spans="10:10" x14ac:dyDescent="0.4">
      <c r="J6751" s="140"/>
    </row>
    <row r="6752" spans="10:10" x14ac:dyDescent="0.4">
      <c r="J6752" s="140"/>
    </row>
    <row r="6753" spans="10:10" x14ac:dyDescent="0.4">
      <c r="J6753" s="140"/>
    </row>
    <row r="6754" spans="10:10" x14ac:dyDescent="0.4">
      <c r="J6754" s="140"/>
    </row>
    <row r="6755" spans="10:10" x14ac:dyDescent="0.4">
      <c r="J6755" s="140"/>
    </row>
    <row r="6756" spans="10:10" x14ac:dyDescent="0.4">
      <c r="J6756" s="140"/>
    </row>
    <row r="6757" spans="10:10" x14ac:dyDescent="0.4">
      <c r="J6757" s="140"/>
    </row>
    <row r="6758" spans="10:10" x14ac:dyDescent="0.4">
      <c r="J6758" s="140"/>
    </row>
    <row r="6759" spans="10:10" x14ac:dyDescent="0.4">
      <c r="J6759" s="140"/>
    </row>
    <row r="6760" spans="10:10" x14ac:dyDescent="0.4">
      <c r="J6760" s="140"/>
    </row>
    <row r="6761" spans="10:10" x14ac:dyDescent="0.4">
      <c r="J6761" s="140"/>
    </row>
    <row r="6762" spans="10:10" x14ac:dyDescent="0.4">
      <c r="J6762" s="140"/>
    </row>
    <row r="6763" spans="10:10" x14ac:dyDescent="0.4">
      <c r="J6763" s="140"/>
    </row>
    <row r="6764" spans="10:10" x14ac:dyDescent="0.4">
      <c r="J6764" s="140"/>
    </row>
    <row r="6765" spans="10:10" x14ac:dyDescent="0.4">
      <c r="J6765" s="140"/>
    </row>
    <row r="6766" spans="10:10" x14ac:dyDescent="0.4">
      <c r="J6766" s="140"/>
    </row>
    <row r="6767" spans="10:10" x14ac:dyDescent="0.4">
      <c r="J6767" s="140"/>
    </row>
    <row r="6768" spans="10:10" x14ac:dyDescent="0.4">
      <c r="J6768" s="140"/>
    </row>
    <row r="6769" spans="10:10" x14ac:dyDescent="0.4">
      <c r="J6769" s="140"/>
    </row>
    <row r="6770" spans="10:10" x14ac:dyDescent="0.4">
      <c r="J6770" s="140"/>
    </row>
    <row r="6771" spans="10:10" x14ac:dyDescent="0.4">
      <c r="J6771" s="140"/>
    </row>
    <row r="6772" spans="10:10" x14ac:dyDescent="0.4">
      <c r="J6772" s="140"/>
    </row>
    <row r="6773" spans="10:10" x14ac:dyDescent="0.4">
      <c r="J6773" s="140"/>
    </row>
    <row r="6774" spans="10:10" x14ac:dyDescent="0.4">
      <c r="J6774" s="140"/>
    </row>
    <row r="6775" spans="10:10" x14ac:dyDescent="0.4">
      <c r="J6775" s="140"/>
    </row>
    <row r="6776" spans="10:10" x14ac:dyDescent="0.4">
      <c r="J6776" s="140"/>
    </row>
    <row r="6777" spans="10:10" x14ac:dyDescent="0.4">
      <c r="J6777" s="140"/>
    </row>
    <row r="6778" spans="10:10" x14ac:dyDescent="0.4">
      <c r="J6778" s="140"/>
    </row>
    <row r="6779" spans="10:10" x14ac:dyDescent="0.4">
      <c r="J6779" s="140"/>
    </row>
    <row r="6780" spans="10:10" x14ac:dyDescent="0.4">
      <c r="J6780" s="140"/>
    </row>
    <row r="6781" spans="10:10" x14ac:dyDescent="0.4">
      <c r="J6781" s="140"/>
    </row>
    <row r="6782" spans="10:10" x14ac:dyDescent="0.4">
      <c r="J6782" s="140"/>
    </row>
    <row r="6783" spans="10:10" x14ac:dyDescent="0.4">
      <c r="J6783" s="140"/>
    </row>
    <row r="6784" spans="10:10" x14ac:dyDescent="0.4">
      <c r="J6784" s="140"/>
    </row>
    <row r="6785" spans="10:10" x14ac:dyDescent="0.4">
      <c r="J6785" s="140"/>
    </row>
    <row r="6786" spans="10:10" x14ac:dyDescent="0.4">
      <c r="J6786" s="140"/>
    </row>
    <row r="6787" spans="10:10" x14ac:dyDescent="0.4">
      <c r="J6787" s="140"/>
    </row>
    <row r="6788" spans="10:10" x14ac:dyDescent="0.4">
      <c r="J6788" s="140"/>
    </row>
    <row r="6789" spans="10:10" x14ac:dyDescent="0.4">
      <c r="J6789" s="140"/>
    </row>
    <row r="6790" spans="10:10" x14ac:dyDescent="0.4">
      <c r="J6790" s="140"/>
    </row>
    <row r="6791" spans="10:10" x14ac:dyDescent="0.4">
      <c r="J6791" s="140"/>
    </row>
    <row r="6792" spans="10:10" x14ac:dyDescent="0.4">
      <c r="J6792" s="140"/>
    </row>
    <row r="6793" spans="10:10" x14ac:dyDescent="0.4">
      <c r="J6793" s="140"/>
    </row>
    <row r="6794" spans="10:10" x14ac:dyDescent="0.4">
      <c r="J6794" s="140"/>
    </row>
    <row r="6795" spans="10:10" x14ac:dyDescent="0.4">
      <c r="J6795" s="140"/>
    </row>
    <row r="6796" spans="10:10" x14ac:dyDescent="0.4">
      <c r="J6796" s="140"/>
    </row>
    <row r="6797" spans="10:10" x14ac:dyDescent="0.4">
      <c r="J6797" s="140"/>
    </row>
    <row r="6798" spans="10:10" x14ac:dyDescent="0.4">
      <c r="J6798" s="140"/>
    </row>
    <row r="6799" spans="10:10" x14ac:dyDescent="0.4">
      <c r="J6799" s="140"/>
    </row>
    <row r="6800" spans="10:10" x14ac:dyDescent="0.4">
      <c r="J6800" s="140"/>
    </row>
    <row r="6801" spans="10:10" x14ac:dyDescent="0.4">
      <c r="J6801" s="140"/>
    </row>
    <row r="6802" spans="10:10" x14ac:dyDescent="0.4">
      <c r="J6802" s="140"/>
    </row>
    <row r="6803" spans="10:10" x14ac:dyDescent="0.4">
      <c r="J6803" s="140"/>
    </row>
    <row r="6804" spans="10:10" x14ac:dyDescent="0.4">
      <c r="J6804" s="140"/>
    </row>
    <row r="6805" spans="10:10" x14ac:dyDescent="0.4">
      <c r="J6805" s="140"/>
    </row>
    <row r="6806" spans="10:10" x14ac:dyDescent="0.4">
      <c r="J6806" s="140"/>
    </row>
    <row r="6807" spans="10:10" x14ac:dyDescent="0.4">
      <c r="J6807" s="140"/>
    </row>
    <row r="6808" spans="10:10" x14ac:dyDescent="0.4">
      <c r="J6808" s="140"/>
    </row>
    <row r="6809" spans="10:10" x14ac:dyDescent="0.4">
      <c r="J6809" s="140"/>
    </row>
    <row r="6810" spans="10:10" x14ac:dyDescent="0.4">
      <c r="J6810" s="140"/>
    </row>
    <row r="6811" spans="10:10" x14ac:dyDescent="0.4">
      <c r="J6811" s="140"/>
    </row>
    <row r="6812" spans="10:10" x14ac:dyDescent="0.4">
      <c r="J6812" s="140"/>
    </row>
    <row r="6813" spans="10:10" x14ac:dyDescent="0.4">
      <c r="J6813" s="140"/>
    </row>
    <row r="6814" spans="10:10" x14ac:dyDescent="0.4">
      <c r="J6814" s="140"/>
    </row>
    <row r="6815" spans="10:10" x14ac:dyDescent="0.4">
      <c r="J6815" s="140"/>
    </row>
    <row r="6816" spans="10:10" x14ac:dyDescent="0.4">
      <c r="J6816" s="140"/>
    </row>
    <row r="6817" spans="10:10" x14ac:dyDescent="0.4">
      <c r="J6817" s="140"/>
    </row>
    <row r="6818" spans="10:10" x14ac:dyDescent="0.4">
      <c r="J6818" s="140"/>
    </row>
    <row r="6819" spans="10:10" x14ac:dyDescent="0.4">
      <c r="J6819" s="140"/>
    </row>
    <row r="6820" spans="10:10" x14ac:dyDescent="0.4">
      <c r="J6820" s="140"/>
    </row>
    <row r="6821" spans="10:10" x14ac:dyDescent="0.4">
      <c r="J6821" s="140"/>
    </row>
    <row r="6822" spans="10:10" x14ac:dyDescent="0.4">
      <c r="J6822" s="140"/>
    </row>
    <row r="6823" spans="10:10" x14ac:dyDescent="0.4">
      <c r="J6823" s="140"/>
    </row>
    <row r="6824" spans="10:10" x14ac:dyDescent="0.4">
      <c r="J6824" s="140"/>
    </row>
    <row r="6825" spans="10:10" x14ac:dyDescent="0.4">
      <c r="J6825" s="140"/>
    </row>
    <row r="6826" spans="10:10" x14ac:dyDescent="0.4">
      <c r="J6826" s="140"/>
    </row>
    <row r="6827" spans="10:10" x14ac:dyDescent="0.4">
      <c r="J6827" s="140"/>
    </row>
    <row r="6828" spans="10:10" x14ac:dyDescent="0.4">
      <c r="J6828" s="140"/>
    </row>
    <row r="6829" spans="10:10" x14ac:dyDescent="0.4">
      <c r="J6829" s="140"/>
    </row>
    <row r="6830" spans="10:10" x14ac:dyDescent="0.4">
      <c r="J6830" s="140"/>
    </row>
    <row r="6831" spans="10:10" x14ac:dyDescent="0.4">
      <c r="J6831" s="140"/>
    </row>
    <row r="6832" spans="10:10" x14ac:dyDescent="0.4">
      <c r="J6832" s="140"/>
    </row>
    <row r="6833" spans="10:10" x14ac:dyDescent="0.4">
      <c r="J6833" s="140"/>
    </row>
    <row r="6834" spans="10:10" x14ac:dyDescent="0.4">
      <c r="J6834" s="140"/>
    </row>
    <row r="6835" spans="10:10" x14ac:dyDescent="0.4">
      <c r="J6835" s="140"/>
    </row>
    <row r="6836" spans="10:10" x14ac:dyDescent="0.4">
      <c r="J6836" s="140"/>
    </row>
    <row r="6837" spans="10:10" x14ac:dyDescent="0.4">
      <c r="J6837" s="140"/>
    </row>
    <row r="6838" spans="10:10" x14ac:dyDescent="0.4">
      <c r="J6838" s="140"/>
    </row>
    <row r="6839" spans="10:10" x14ac:dyDescent="0.4">
      <c r="J6839" s="140"/>
    </row>
    <row r="6840" spans="10:10" x14ac:dyDescent="0.4">
      <c r="J6840" s="140"/>
    </row>
    <row r="6841" spans="10:10" x14ac:dyDescent="0.4">
      <c r="J6841" s="140"/>
    </row>
    <row r="6842" spans="10:10" x14ac:dyDescent="0.4">
      <c r="J6842" s="140"/>
    </row>
    <row r="6843" spans="10:10" x14ac:dyDescent="0.4">
      <c r="J6843" s="140"/>
    </row>
    <row r="6844" spans="10:10" x14ac:dyDescent="0.4">
      <c r="J6844" s="140"/>
    </row>
    <row r="6845" spans="10:10" x14ac:dyDescent="0.4">
      <c r="J6845" s="140"/>
    </row>
    <row r="6846" spans="10:10" x14ac:dyDescent="0.4">
      <c r="J6846" s="140"/>
    </row>
    <row r="6847" spans="10:10" x14ac:dyDescent="0.4">
      <c r="J6847" s="140"/>
    </row>
    <row r="6848" spans="10:10" x14ac:dyDescent="0.4">
      <c r="J6848" s="140"/>
    </row>
    <row r="6849" spans="10:10" x14ac:dyDescent="0.4">
      <c r="J6849" s="140"/>
    </row>
    <row r="6850" spans="10:10" x14ac:dyDescent="0.4">
      <c r="J6850" s="140"/>
    </row>
    <row r="6851" spans="10:10" x14ac:dyDescent="0.4">
      <c r="J6851" s="140"/>
    </row>
    <row r="6852" spans="10:10" x14ac:dyDescent="0.4">
      <c r="J6852" s="140"/>
    </row>
    <row r="6853" spans="10:10" x14ac:dyDescent="0.4">
      <c r="J6853" s="140"/>
    </row>
    <row r="6854" spans="10:10" x14ac:dyDescent="0.4">
      <c r="J6854" s="140"/>
    </row>
    <row r="6855" spans="10:10" x14ac:dyDescent="0.4">
      <c r="J6855" s="140"/>
    </row>
    <row r="6856" spans="10:10" x14ac:dyDescent="0.4">
      <c r="J6856" s="140"/>
    </row>
    <row r="6857" spans="10:10" x14ac:dyDescent="0.4">
      <c r="J6857" s="140"/>
    </row>
    <row r="6858" spans="10:10" x14ac:dyDescent="0.4">
      <c r="J6858" s="140"/>
    </row>
    <row r="6859" spans="10:10" x14ac:dyDescent="0.4">
      <c r="J6859" s="140"/>
    </row>
    <row r="6860" spans="10:10" x14ac:dyDescent="0.4">
      <c r="J6860" s="140"/>
    </row>
    <row r="6861" spans="10:10" x14ac:dyDescent="0.4">
      <c r="J6861" s="140"/>
    </row>
    <row r="6862" spans="10:10" x14ac:dyDescent="0.4">
      <c r="J6862" s="140"/>
    </row>
    <row r="6863" spans="10:10" x14ac:dyDescent="0.4">
      <c r="J6863" s="140"/>
    </row>
    <row r="6864" spans="10:10" x14ac:dyDescent="0.4">
      <c r="J6864" s="140"/>
    </row>
    <row r="6865" spans="10:10" x14ac:dyDescent="0.4">
      <c r="J6865" s="140"/>
    </row>
    <row r="6866" spans="10:10" x14ac:dyDescent="0.4">
      <c r="J6866" s="140"/>
    </row>
    <row r="6867" spans="10:10" x14ac:dyDescent="0.4">
      <c r="J6867" s="140"/>
    </row>
    <row r="6868" spans="10:10" x14ac:dyDescent="0.4">
      <c r="J6868" s="140"/>
    </row>
    <row r="6869" spans="10:10" x14ac:dyDescent="0.4">
      <c r="J6869" s="140"/>
    </row>
    <row r="6870" spans="10:10" x14ac:dyDescent="0.4">
      <c r="J6870" s="140"/>
    </row>
    <row r="6871" spans="10:10" x14ac:dyDescent="0.4">
      <c r="J6871" s="140"/>
    </row>
    <row r="6872" spans="10:10" x14ac:dyDescent="0.4">
      <c r="J6872" s="140"/>
    </row>
    <row r="6873" spans="10:10" x14ac:dyDescent="0.4">
      <c r="J6873" s="140"/>
    </row>
    <row r="6874" spans="10:10" x14ac:dyDescent="0.4">
      <c r="J6874" s="140"/>
    </row>
    <row r="6875" spans="10:10" x14ac:dyDescent="0.4">
      <c r="J6875" s="140"/>
    </row>
    <row r="6876" spans="10:10" x14ac:dyDescent="0.4">
      <c r="J6876" s="140"/>
    </row>
    <row r="6877" spans="10:10" x14ac:dyDescent="0.4">
      <c r="J6877" s="140"/>
    </row>
    <row r="6878" spans="10:10" x14ac:dyDescent="0.4">
      <c r="J6878" s="140"/>
    </row>
    <row r="6879" spans="10:10" x14ac:dyDescent="0.4">
      <c r="J6879" s="140"/>
    </row>
    <row r="6880" spans="10:10" x14ac:dyDescent="0.4">
      <c r="J6880" s="140"/>
    </row>
    <row r="6881" spans="10:10" x14ac:dyDescent="0.4">
      <c r="J6881" s="140"/>
    </row>
    <row r="6882" spans="10:10" x14ac:dyDescent="0.4">
      <c r="J6882" s="140"/>
    </row>
    <row r="6883" spans="10:10" x14ac:dyDescent="0.4">
      <c r="J6883" s="140"/>
    </row>
    <row r="6884" spans="10:10" x14ac:dyDescent="0.4">
      <c r="J6884" s="140"/>
    </row>
    <row r="6885" spans="10:10" x14ac:dyDescent="0.4">
      <c r="J6885" s="140"/>
    </row>
    <row r="6886" spans="10:10" x14ac:dyDescent="0.4">
      <c r="J6886" s="140"/>
    </row>
    <row r="6887" spans="10:10" x14ac:dyDescent="0.4">
      <c r="J6887" s="140"/>
    </row>
    <row r="6888" spans="10:10" x14ac:dyDescent="0.4">
      <c r="J6888" s="140"/>
    </row>
    <row r="6889" spans="10:10" x14ac:dyDescent="0.4">
      <c r="J6889" s="140"/>
    </row>
    <row r="6890" spans="10:10" x14ac:dyDescent="0.4">
      <c r="J6890" s="140"/>
    </row>
    <row r="6891" spans="10:10" x14ac:dyDescent="0.4">
      <c r="J6891" s="140"/>
    </row>
    <row r="6892" spans="10:10" x14ac:dyDescent="0.4">
      <c r="J6892" s="140"/>
    </row>
    <row r="6893" spans="10:10" x14ac:dyDescent="0.4">
      <c r="J6893" s="140"/>
    </row>
    <row r="6894" spans="10:10" x14ac:dyDescent="0.4">
      <c r="J6894" s="140"/>
    </row>
    <row r="6895" spans="10:10" x14ac:dyDescent="0.4">
      <c r="J6895" s="140"/>
    </row>
    <row r="6896" spans="10:10" x14ac:dyDescent="0.4">
      <c r="J6896" s="140"/>
    </row>
    <row r="6897" spans="10:10" x14ac:dyDescent="0.4">
      <c r="J6897" s="140"/>
    </row>
    <row r="6898" spans="10:10" x14ac:dyDescent="0.4">
      <c r="J6898" s="140"/>
    </row>
    <row r="6899" spans="10:10" x14ac:dyDescent="0.4">
      <c r="J6899" s="140"/>
    </row>
    <row r="6900" spans="10:10" x14ac:dyDescent="0.4">
      <c r="J6900" s="140"/>
    </row>
    <row r="6901" spans="10:10" x14ac:dyDescent="0.4">
      <c r="J6901" s="140"/>
    </row>
    <row r="6902" spans="10:10" x14ac:dyDescent="0.4">
      <c r="J6902" s="140"/>
    </row>
    <row r="6903" spans="10:10" x14ac:dyDescent="0.4">
      <c r="J6903" s="140"/>
    </row>
    <row r="6904" spans="10:10" x14ac:dyDescent="0.4">
      <c r="J6904" s="140"/>
    </row>
    <row r="6905" spans="10:10" x14ac:dyDescent="0.4">
      <c r="J6905" s="140"/>
    </row>
    <row r="6906" spans="10:10" x14ac:dyDescent="0.4">
      <c r="J6906" s="140"/>
    </row>
    <row r="6907" spans="10:10" x14ac:dyDescent="0.4">
      <c r="J6907" s="140"/>
    </row>
    <row r="6908" spans="10:10" x14ac:dyDescent="0.4">
      <c r="J6908" s="140"/>
    </row>
    <row r="6909" spans="10:10" x14ac:dyDescent="0.4">
      <c r="J6909" s="140"/>
    </row>
    <row r="6910" spans="10:10" x14ac:dyDescent="0.4">
      <c r="J6910" s="140"/>
    </row>
    <row r="6911" spans="10:10" x14ac:dyDescent="0.4">
      <c r="J6911" s="140"/>
    </row>
    <row r="6912" spans="10:10" x14ac:dyDescent="0.4">
      <c r="J6912" s="140"/>
    </row>
    <row r="6913" spans="10:10" x14ac:dyDescent="0.4">
      <c r="J6913" s="140"/>
    </row>
    <row r="6914" spans="10:10" x14ac:dyDescent="0.4">
      <c r="J6914" s="140"/>
    </row>
    <row r="6915" spans="10:10" x14ac:dyDescent="0.4">
      <c r="J6915" s="140"/>
    </row>
    <row r="6916" spans="10:10" x14ac:dyDescent="0.4">
      <c r="J6916" s="140"/>
    </row>
    <row r="6917" spans="10:10" x14ac:dyDescent="0.4">
      <c r="J6917" s="140"/>
    </row>
    <row r="6918" spans="10:10" x14ac:dyDescent="0.4">
      <c r="J6918" s="140"/>
    </row>
    <row r="6919" spans="10:10" x14ac:dyDescent="0.4">
      <c r="J6919" s="140"/>
    </row>
    <row r="6920" spans="10:10" x14ac:dyDescent="0.4">
      <c r="J6920" s="140"/>
    </row>
    <row r="6921" spans="10:10" x14ac:dyDescent="0.4">
      <c r="J6921" s="140"/>
    </row>
    <row r="6922" spans="10:10" x14ac:dyDescent="0.4">
      <c r="J6922" s="140"/>
    </row>
    <row r="6923" spans="10:10" x14ac:dyDescent="0.4">
      <c r="J6923" s="140"/>
    </row>
    <row r="6924" spans="10:10" x14ac:dyDescent="0.4">
      <c r="J6924" s="140"/>
    </row>
    <row r="6925" spans="10:10" x14ac:dyDescent="0.4">
      <c r="J6925" s="140"/>
    </row>
    <row r="6926" spans="10:10" x14ac:dyDescent="0.4">
      <c r="J6926" s="140"/>
    </row>
    <row r="6927" spans="10:10" x14ac:dyDescent="0.4">
      <c r="J6927" s="140"/>
    </row>
    <row r="6928" spans="10:10" x14ac:dyDescent="0.4">
      <c r="J6928" s="140"/>
    </row>
    <row r="6929" spans="10:10" x14ac:dyDescent="0.4">
      <c r="J6929" s="140"/>
    </row>
    <row r="6930" spans="10:10" x14ac:dyDescent="0.4">
      <c r="J6930" s="140"/>
    </row>
    <row r="6931" spans="10:10" x14ac:dyDescent="0.4">
      <c r="J6931" s="140"/>
    </row>
    <row r="6932" spans="10:10" x14ac:dyDescent="0.4">
      <c r="J6932" s="140"/>
    </row>
    <row r="6933" spans="10:10" x14ac:dyDescent="0.4">
      <c r="J6933" s="140"/>
    </row>
    <row r="6934" spans="10:10" x14ac:dyDescent="0.4">
      <c r="J6934" s="140"/>
    </row>
    <row r="6935" spans="10:10" x14ac:dyDescent="0.4">
      <c r="J6935" s="140"/>
    </row>
    <row r="6936" spans="10:10" x14ac:dyDescent="0.4">
      <c r="J6936" s="140"/>
    </row>
    <row r="6937" spans="10:10" x14ac:dyDescent="0.4">
      <c r="J6937" s="140"/>
    </row>
    <row r="6938" spans="10:10" x14ac:dyDescent="0.4">
      <c r="J6938" s="140"/>
    </row>
    <row r="6939" spans="10:10" x14ac:dyDescent="0.4">
      <c r="J6939" s="140"/>
    </row>
    <row r="6940" spans="10:10" x14ac:dyDescent="0.4">
      <c r="J6940" s="140"/>
    </row>
    <row r="6941" spans="10:10" x14ac:dyDescent="0.4">
      <c r="J6941" s="140"/>
    </row>
    <row r="6942" spans="10:10" x14ac:dyDescent="0.4">
      <c r="J6942" s="140"/>
    </row>
    <row r="6943" spans="10:10" x14ac:dyDescent="0.4">
      <c r="J6943" s="140"/>
    </row>
    <row r="6944" spans="10:10" x14ac:dyDescent="0.4">
      <c r="J6944" s="140"/>
    </row>
    <row r="6945" spans="10:10" x14ac:dyDescent="0.4">
      <c r="J6945" s="140"/>
    </row>
    <row r="6946" spans="10:10" x14ac:dyDescent="0.4">
      <c r="J6946" s="140"/>
    </row>
    <row r="6947" spans="10:10" x14ac:dyDescent="0.4">
      <c r="J6947" s="140"/>
    </row>
    <row r="6948" spans="10:10" x14ac:dyDescent="0.4">
      <c r="J6948" s="140"/>
    </row>
    <row r="6949" spans="10:10" x14ac:dyDescent="0.4">
      <c r="J6949" s="140"/>
    </row>
    <row r="6950" spans="10:10" x14ac:dyDescent="0.4">
      <c r="J6950" s="140"/>
    </row>
    <row r="6951" spans="10:10" x14ac:dyDescent="0.4">
      <c r="J6951" s="140"/>
    </row>
    <row r="6952" spans="10:10" x14ac:dyDescent="0.4">
      <c r="J6952" s="140"/>
    </row>
    <row r="6953" spans="10:10" x14ac:dyDescent="0.4">
      <c r="J6953" s="140"/>
    </row>
    <row r="6954" spans="10:10" x14ac:dyDescent="0.4">
      <c r="J6954" s="140"/>
    </row>
    <row r="6955" spans="10:10" x14ac:dyDescent="0.4">
      <c r="J6955" s="140"/>
    </row>
    <row r="6956" spans="10:10" x14ac:dyDescent="0.4">
      <c r="J6956" s="140"/>
    </row>
    <row r="6957" spans="10:10" x14ac:dyDescent="0.4">
      <c r="J6957" s="140"/>
    </row>
    <row r="6958" spans="10:10" x14ac:dyDescent="0.4">
      <c r="J6958" s="140"/>
    </row>
    <row r="6959" spans="10:10" x14ac:dyDescent="0.4">
      <c r="J6959" s="140"/>
    </row>
    <row r="6960" spans="10:10" x14ac:dyDescent="0.4">
      <c r="J6960" s="140"/>
    </row>
    <row r="6961" spans="10:10" x14ac:dyDescent="0.4">
      <c r="J6961" s="140"/>
    </row>
    <row r="6962" spans="10:10" x14ac:dyDescent="0.4">
      <c r="J6962" s="140"/>
    </row>
    <row r="6963" spans="10:10" x14ac:dyDescent="0.4">
      <c r="J6963" s="140"/>
    </row>
    <row r="6964" spans="10:10" x14ac:dyDescent="0.4">
      <c r="J6964" s="140"/>
    </row>
    <row r="6965" spans="10:10" x14ac:dyDescent="0.4">
      <c r="J6965" s="140"/>
    </row>
    <row r="6966" spans="10:10" x14ac:dyDescent="0.4">
      <c r="J6966" s="140"/>
    </row>
    <row r="6967" spans="10:10" x14ac:dyDescent="0.4">
      <c r="J6967" s="140"/>
    </row>
    <row r="6968" spans="10:10" x14ac:dyDescent="0.4">
      <c r="J6968" s="140"/>
    </row>
    <row r="6969" spans="10:10" x14ac:dyDescent="0.4">
      <c r="J6969" s="140"/>
    </row>
    <row r="6970" spans="10:10" x14ac:dyDescent="0.4">
      <c r="J6970" s="140"/>
    </row>
    <row r="6971" spans="10:10" x14ac:dyDescent="0.4">
      <c r="J6971" s="140"/>
    </row>
    <row r="6972" spans="10:10" x14ac:dyDescent="0.4">
      <c r="J6972" s="140"/>
    </row>
    <row r="6973" spans="10:10" x14ac:dyDescent="0.4">
      <c r="J6973" s="140"/>
    </row>
    <row r="6974" spans="10:10" x14ac:dyDescent="0.4">
      <c r="J6974" s="140"/>
    </row>
    <row r="6975" spans="10:10" x14ac:dyDescent="0.4">
      <c r="J6975" s="140"/>
    </row>
    <row r="6976" spans="10:10" x14ac:dyDescent="0.4">
      <c r="J6976" s="140"/>
    </row>
    <row r="6977" spans="10:10" x14ac:dyDescent="0.4">
      <c r="J6977" s="140"/>
    </row>
    <row r="6978" spans="10:10" x14ac:dyDescent="0.4">
      <c r="J6978" s="140"/>
    </row>
    <row r="6979" spans="10:10" x14ac:dyDescent="0.4">
      <c r="J6979" s="140"/>
    </row>
    <row r="6980" spans="10:10" x14ac:dyDescent="0.4">
      <c r="J6980" s="140"/>
    </row>
    <row r="6981" spans="10:10" x14ac:dyDescent="0.4">
      <c r="J6981" s="140"/>
    </row>
    <row r="6982" spans="10:10" x14ac:dyDescent="0.4">
      <c r="J6982" s="140"/>
    </row>
    <row r="6983" spans="10:10" x14ac:dyDescent="0.4">
      <c r="J6983" s="140"/>
    </row>
    <row r="6984" spans="10:10" x14ac:dyDescent="0.4">
      <c r="J6984" s="140"/>
    </row>
    <row r="6985" spans="10:10" x14ac:dyDescent="0.4">
      <c r="J6985" s="140"/>
    </row>
    <row r="6986" spans="10:10" x14ac:dyDescent="0.4">
      <c r="J6986" s="140"/>
    </row>
    <row r="6987" spans="10:10" x14ac:dyDescent="0.4">
      <c r="J6987" s="140"/>
    </row>
    <row r="6988" spans="10:10" x14ac:dyDescent="0.4">
      <c r="J6988" s="140"/>
    </row>
    <row r="6989" spans="10:10" x14ac:dyDescent="0.4">
      <c r="J6989" s="140"/>
    </row>
    <row r="6990" spans="10:10" x14ac:dyDescent="0.4">
      <c r="J6990" s="140"/>
    </row>
    <row r="6991" spans="10:10" x14ac:dyDescent="0.4">
      <c r="J6991" s="140"/>
    </row>
    <row r="6992" spans="10:10" x14ac:dyDescent="0.4">
      <c r="J6992" s="140"/>
    </row>
    <row r="6993" spans="10:10" x14ac:dyDescent="0.4">
      <c r="J6993" s="140"/>
    </row>
    <row r="6994" spans="10:10" x14ac:dyDescent="0.4">
      <c r="J6994" s="140"/>
    </row>
    <row r="6995" spans="10:10" x14ac:dyDescent="0.4">
      <c r="J6995" s="140"/>
    </row>
    <row r="6996" spans="10:10" x14ac:dyDescent="0.4">
      <c r="J6996" s="140"/>
    </row>
    <row r="6997" spans="10:10" x14ac:dyDescent="0.4">
      <c r="J6997" s="140"/>
    </row>
    <row r="6998" spans="10:10" x14ac:dyDescent="0.4">
      <c r="J6998" s="140"/>
    </row>
    <row r="6999" spans="10:10" x14ac:dyDescent="0.4">
      <c r="J6999" s="140"/>
    </row>
    <row r="7000" spans="10:10" x14ac:dyDescent="0.4">
      <c r="J7000" s="140"/>
    </row>
    <row r="7001" spans="10:10" x14ac:dyDescent="0.4">
      <c r="J7001" s="140"/>
    </row>
    <row r="7002" spans="10:10" x14ac:dyDescent="0.4">
      <c r="J7002" s="140"/>
    </row>
    <row r="7003" spans="10:10" x14ac:dyDescent="0.4">
      <c r="J7003" s="140"/>
    </row>
    <row r="7004" spans="10:10" x14ac:dyDescent="0.4">
      <c r="J7004" s="140"/>
    </row>
    <row r="7005" spans="10:10" x14ac:dyDescent="0.4">
      <c r="J7005" s="140"/>
    </row>
    <row r="7006" spans="10:10" x14ac:dyDescent="0.4">
      <c r="J7006" s="140"/>
    </row>
    <row r="7007" spans="10:10" x14ac:dyDescent="0.4">
      <c r="J7007" s="140"/>
    </row>
    <row r="7008" spans="10:10" x14ac:dyDescent="0.4">
      <c r="J7008" s="140"/>
    </row>
    <row r="7009" spans="10:10" x14ac:dyDescent="0.4">
      <c r="J7009" s="140"/>
    </row>
    <row r="7010" spans="10:10" x14ac:dyDescent="0.4">
      <c r="J7010" s="140"/>
    </row>
    <row r="7011" spans="10:10" x14ac:dyDescent="0.4">
      <c r="J7011" s="140"/>
    </row>
    <row r="7012" spans="10:10" x14ac:dyDescent="0.4">
      <c r="J7012" s="140"/>
    </row>
    <row r="7013" spans="10:10" x14ac:dyDescent="0.4">
      <c r="J7013" s="140"/>
    </row>
    <row r="7014" spans="10:10" x14ac:dyDescent="0.4">
      <c r="J7014" s="140"/>
    </row>
    <row r="7015" spans="10:10" x14ac:dyDescent="0.4">
      <c r="J7015" s="140"/>
    </row>
    <row r="7016" spans="10:10" x14ac:dyDescent="0.4">
      <c r="J7016" s="140"/>
    </row>
    <row r="7017" spans="10:10" x14ac:dyDescent="0.4">
      <c r="J7017" s="140"/>
    </row>
    <row r="7018" spans="10:10" x14ac:dyDescent="0.4">
      <c r="J7018" s="140"/>
    </row>
    <row r="7019" spans="10:10" x14ac:dyDescent="0.4">
      <c r="J7019" s="140"/>
    </row>
    <row r="7020" spans="10:10" x14ac:dyDescent="0.4">
      <c r="J7020" s="140"/>
    </row>
    <row r="7021" spans="10:10" x14ac:dyDescent="0.4">
      <c r="J7021" s="140"/>
    </row>
    <row r="7022" spans="10:10" x14ac:dyDescent="0.4">
      <c r="J7022" s="140"/>
    </row>
    <row r="7023" spans="10:10" x14ac:dyDescent="0.4">
      <c r="J7023" s="140"/>
    </row>
    <row r="7024" spans="10:10" x14ac:dyDescent="0.4">
      <c r="J7024" s="140"/>
    </row>
    <row r="7025" spans="10:10" x14ac:dyDescent="0.4">
      <c r="J7025" s="140"/>
    </row>
    <row r="7026" spans="10:10" x14ac:dyDescent="0.4">
      <c r="J7026" s="140"/>
    </row>
    <row r="7027" spans="10:10" x14ac:dyDescent="0.4">
      <c r="J7027" s="140"/>
    </row>
    <row r="7028" spans="10:10" x14ac:dyDescent="0.4">
      <c r="J7028" s="140"/>
    </row>
    <row r="7029" spans="10:10" x14ac:dyDescent="0.4">
      <c r="J7029" s="140"/>
    </row>
    <row r="7030" spans="10:10" x14ac:dyDescent="0.4">
      <c r="J7030" s="140"/>
    </row>
    <row r="7031" spans="10:10" x14ac:dyDescent="0.4">
      <c r="J7031" s="140"/>
    </row>
    <row r="7032" spans="10:10" x14ac:dyDescent="0.4">
      <c r="J7032" s="140"/>
    </row>
    <row r="7033" spans="10:10" x14ac:dyDescent="0.4">
      <c r="J7033" s="140"/>
    </row>
    <row r="7034" spans="10:10" x14ac:dyDescent="0.4">
      <c r="J7034" s="140"/>
    </row>
    <row r="7035" spans="10:10" x14ac:dyDescent="0.4">
      <c r="J7035" s="140"/>
    </row>
    <row r="7036" spans="10:10" x14ac:dyDescent="0.4">
      <c r="J7036" s="140"/>
    </row>
    <row r="7037" spans="10:10" x14ac:dyDescent="0.4">
      <c r="J7037" s="140"/>
    </row>
    <row r="7038" spans="10:10" x14ac:dyDescent="0.4">
      <c r="J7038" s="140"/>
    </row>
    <row r="7039" spans="10:10" x14ac:dyDescent="0.4">
      <c r="J7039" s="140"/>
    </row>
    <row r="7040" spans="10:10" x14ac:dyDescent="0.4">
      <c r="J7040" s="140"/>
    </row>
    <row r="7041" spans="10:10" x14ac:dyDescent="0.4">
      <c r="J7041" s="140"/>
    </row>
    <row r="7042" spans="10:10" x14ac:dyDescent="0.4">
      <c r="J7042" s="140"/>
    </row>
    <row r="7043" spans="10:10" x14ac:dyDescent="0.4">
      <c r="J7043" s="140"/>
    </row>
    <row r="7044" spans="10:10" x14ac:dyDescent="0.4">
      <c r="J7044" s="140"/>
    </row>
    <row r="7045" spans="10:10" x14ac:dyDescent="0.4">
      <c r="J7045" s="140"/>
    </row>
    <row r="7046" spans="10:10" x14ac:dyDescent="0.4">
      <c r="J7046" s="140"/>
    </row>
    <row r="7047" spans="10:10" x14ac:dyDescent="0.4">
      <c r="J7047" s="140"/>
    </row>
    <row r="7048" spans="10:10" x14ac:dyDescent="0.4">
      <c r="J7048" s="140"/>
    </row>
    <row r="7049" spans="10:10" x14ac:dyDescent="0.4">
      <c r="J7049" s="140"/>
    </row>
    <row r="7050" spans="10:10" x14ac:dyDescent="0.4">
      <c r="J7050" s="140"/>
    </row>
    <row r="7051" spans="10:10" x14ac:dyDescent="0.4">
      <c r="J7051" s="140"/>
    </row>
    <row r="7052" spans="10:10" x14ac:dyDescent="0.4">
      <c r="J7052" s="140"/>
    </row>
    <row r="7053" spans="10:10" x14ac:dyDescent="0.4">
      <c r="J7053" s="140"/>
    </row>
    <row r="7054" spans="10:10" x14ac:dyDescent="0.4">
      <c r="J7054" s="140"/>
    </row>
    <row r="7055" spans="10:10" x14ac:dyDescent="0.4">
      <c r="J7055" s="140"/>
    </row>
    <row r="7056" spans="10:10" x14ac:dyDescent="0.4">
      <c r="J7056" s="140"/>
    </row>
    <row r="7057" spans="10:10" x14ac:dyDescent="0.4">
      <c r="J7057" s="140"/>
    </row>
    <row r="7058" spans="10:10" x14ac:dyDescent="0.4">
      <c r="J7058" s="140"/>
    </row>
    <row r="7059" spans="10:10" x14ac:dyDescent="0.4">
      <c r="J7059" s="140"/>
    </row>
    <row r="7060" spans="10:10" x14ac:dyDescent="0.4">
      <c r="J7060" s="140"/>
    </row>
    <row r="7061" spans="10:10" x14ac:dyDescent="0.4">
      <c r="J7061" s="140"/>
    </row>
    <row r="7062" spans="10:10" x14ac:dyDescent="0.4">
      <c r="J7062" s="140"/>
    </row>
    <row r="7063" spans="10:10" x14ac:dyDescent="0.4">
      <c r="J7063" s="140"/>
    </row>
    <row r="7064" spans="10:10" x14ac:dyDescent="0.4">
      <c r="J7064" s="140"/>
    </row>
    <row r="7065" spans="10:10" x14ac:dyDescent="0.4">
      <c r="J7065" s="140"/>
    </row>
    <row r="7066" spans="10:10" x14ac:dyDescent="0.4">
      <c r="J7066" s="140"/>
    </row>
    <row r="7067" spans="10:10" x14ac:dyDescent="0.4">
      <c r="J7067" s="140"/>
    </row>
    <row r="7068" spans="10:10" x14ac:dyDescent="0.4">
      <c r="J7068" s="140"/>
    </row>
    <row r="7069" spans="10:10" x14ac:dyDescent="0.4">
      <c r="J7069" s="140"/>
    </row>
    <row r="7070" spans="10:10" x14ac:dyDescent="0.4">
      <c r="J7070" s="140"/>
    </row>
    <row r="7071" spans="10:10" x14ac:dyDescent="0.4">
      <c r="J7071" s="140"/>
    </row>
    <row r="7072" spans="10:10" x14ac:dyDescent="0.4">
      <c r="J7072" s="140"/>
    </row>
    <row r="7073" spans="10:10" x14ac:dyDescent="0.4">
      <c r="J7073" s="140"/>
    </row>
    <row r="7074" spans="10:10" x14ac:dyDescent="0.4">
      <c r="J7074" s="140"/>
    </row>
    <row r="7075" spans="10:10" x14ac:dyDescent="0.4">
      <c r="J7075" s="140"/>
    </row>
    <row r="7076" spans="10:10" x14ac:dyDescent="0.4">
      <c r="J7076" s="140"/>
    </row>
    <row r="7077" spans="10:10" x14ac:dyDescent="0.4">
      <c r="J7077" s="140"/>
    </row>
    <row r="7078" spans="10:10" x14ac:dyDescent="0.4">
      <c r="J7078" s="140"/>
    </row>
    <row r="7079" spans="10:10" x14ac:dyDescent="0.4">
      <c r="J7079" s="140"/>
    </row>
    <row r="7080" spans="10:10" x14ac:dyDescent="0.4">
      <c r="J7080" s="140"/>
    </row>
    <row r="7081" spans="10:10" x14ac:dyDescent="0.4">
      <c r="J7081" s="140"/>
    </row>
    <row r="7082" spans="10:10" x14ac:dyDescent="0.4">
      <c r="J7082" s="140"/>
    </row>
    <row r="7083" spans="10:10" x14ac:dyDescent="0.4">
      <c r="J7083" s="140"/>
    </row>
    <row r="7084" spans="10:10" x14ac:dyDescent="0.4">
      <c r="J7084" s="140"/>
    </row>
    <row r="7085" spans="10:10" x14ac:dyDescent="0.4">
      <c r="J7085" s="140"/>
    </row>
    <row r="7086" spans="10:10" x14ac:dyDescent="0.4">
      <c r="J7086" s="140"/>
    </row>
    <row r="7087" spans="10:10" x14ac:dyDescent="0.4">
      <c r="J7087" s="140"/>
    </row>
    <row r="7088" spans="10:10" x14ac:dyDescent="0.4">
      <c r="J7088" s="140"/>
    </row>
    <row r="7089" spans="10:10" x14ac:dyDescent="0.4">
      <c r="J7089" s="140"/>
    </row>
    <row r="7090" spans="10:10" x14ac:dyDescent="0.4">
      <c r="J7090" s="140"/>
    </row>
    <row r="7091" spans="10:10" x14ac:dyDescent="0.4">
      <c r="J7091" s="140"/>
    </row>
    <row r="7092" spans="10:10" x14ac:dyDescent="0.4">
      <c r="J7092" s="140"/>
    </row>
    <row r="7093" spans="10:10" x14ac:dyDescent="0.4">
      <c r="J7093" s="140"/>
    </row>
    <row r="7094" spans="10:10" x14ac:dyDescent="0.4">
      <c r="J7094" s="140"/>
    </row>
    <row r="7095" spans="10:10" x14ac:dyDescent="0.4">
      <c r="J7095" s="140"/>
    </row>
    <row r="7096" spans="10:10" x14ac:dyDescent="0.4">
      <c r="J7096" s="140"/>
    </row>
    <row r="7097" spans="10:10" x14ac:dyDescent="0.4">
      <c r="J7097" s="140"/>
    </row>
    <row r="7098" spans="10:10" x14ac:dyDescent="0.4">
      <c r="J7098" s="140"/>
    </row>
    <row r="7099" spans="10:10" x14ac:dyDescent="0.4">
      <c r="J7099" s="140"/>
    </row>
    <row r="7100" spans="10:10" x14ac:dyDescent="0.4">
      <c r="J7100" s="140"/>
    </row>
    <row r="7101" spans="10:10" x14ac:dyDescent="0.4">
      <c r="J7101" s="140"/>
    </row>
    <row r="7102" spans="10:10" x14ac:dyDescent="0.4">
      <c r="J7102" s="140"/>
    </row>
    <row r="7103" spans="10:10" x14ac:dyDescent="0.4">
      <c r="J7103" s="140"/>
    </row>
    <row r="7104" spans="10:10" x14ac:dyDescent="0.4">
      <c r="J7104" s="140"/>
    </row>
    <row r="7105" spans="10:10" x14ac:dyDescent="0.4">
      <c r="J7105" s="140"/>
    </row>
    <row r="7106" spans="10:10" x14ac:dyDescent="0.4">
      <c r="J7106" s="140"/>
    </row>
    <row r="7107" spans="10:10" x14ac:dyDescent="0.4">
      <c r="J7107" s="140"/>
    </row>
    <row r="7108" spans="10:10" x14ac:dyDescent="0.4">
      <c r="J7108" s="140"/>
    </row>
    <row r="7109" spans="10:10" x14ac:dyDescent="0.4">
      <c r="J7109" s="140"/>
    </row>
    <row r="7110" spans="10:10" x14ac:dyDescent="0.4">
      <c r="J7110" s="140"/>
    </row>
    <row r="7111" spans="10:10" x14ac:dyDescent="0.4">
      <c r="J7111" s="140"/>
    </row>
    <row r="7112" spans="10:10" x14ac:dyDescent="0.4">
      <c r="J7112" s="140"/>
    </row>
    <row r="7113" spans="10:10" x14ac:dyDescent="0.4">
      <c r="J7113" s="140"/>
    </row>
    <row r="7114" spans="10:10" x14ac:dyDescent="0.4">
      <c r="J7114" s="140"/>
    </row>
    <row r="7115" spans="10:10" x14ac:dyDescent="0.4">
      <c r="J7115" s="140"/>
    </row>
    <row r="7116" spans="10:10" x14ac:dyDescent="0.4">
      <c r="J7116" s="140"/>
    </row>
    <row r="7117" spans="10:10" x14ac:dyDescent="0.4">
      <c r="J7117" s="140"/>
    </row>
    <row r="7118" spans="10:10" x14ac:dyDescent="0.4">
      <c r="J7118" s="140"/>
    </row>
    <row r="7119" spans="10:10" x14ac:dyDescent="0.4">
      <c r="J7119" s="140"/>
    </row>
    <row r="7120" spans="10:10" x14ac:dyDescent="0.4">
      <c r="J7120" s="140"/>
    </row>
    <row r="7121" spans="10:10" x14ac:dyDescent="0.4">
      <c r="J7121" s="140"/>
    </row>
    <row r="7122" spans="10:10" x14ac:dyDescent="0.4">
      <c r="J7122" s="140"/>
    </row>
    <row r="7123" spans="10:10" x14ac:dyDescent="0.4">
      <c r="J7123" s="140"/>
    </row>
    <row r="7124" spans="10:10" x14ac:dyDescent="0.4">
      <c r="J7124" s="140"/>
    </row>
    <row r="7125" spans="10:10" x14ac:dyDescent="0.4">
      <c r="J7125" s="140"/>
    </row>
    <row r="7126" spans="10:10" x14ac:dyDescent="0.4">
      <c r="J7126" s="140"/>
    </row>
    <row r="7127" spans="10:10" x14ac:dyDescent="0.4">
      <c r="J7127" s="140"/>
    </row>
    <row r="7128" spans="10:10" x14ac:dyDescent="0.4">
      <c r="J7128" s="140"/>
    </row>
    <row r="7129" spans="10:10" x14ac:dyDescent="0.4">
      <c r="J7129" s="140"/>
    </row>
    <row r="7130" spans="10:10" x14ac:dyDescent="0.4">
      <c r="J7130" s="140"/>
    </row>
    <row r="7131" spans="10:10" x14ac:dyDescent="0.4">
      <c r="J7131" s="140"/>
    </row>
    <row r="7132" spans="10:10" x14ac:dyDescent="0.4">
      <c r="J7132" s="140"/>
    </row>
    <row r="7133" spans="10:10" x14ac:dyDescent="0.4">
      <c r="J7133" s="140"/>
    </row>
    <row r="7134" spans="10:10" x14ac:dyDescent="0.4">
      <c r="J7134" s="140"/>
    </row>
    <row r="7135" spans="10:10" x14ac:dyDescent="0.4">
      <c r="J7135" s="140"/>
    </row>
    <row r="7136" spans="10:10" x14ac:dyDescent="0.4">
      <c r="J7136" s="140"/>
    </row>
    <row r="7137" spans="10:10" x14ac:dyDescent="0.4">
      <c r="J7137" s="140"/>
    </row>
    <row r="7138" spans="10:10" x14ac:dyDescent="0.4">
      <c r="J7138" s="140"/>
    </row>
    <row r="7139" spans="10:10" x14ac:dyDescent="0.4">
      <c r="J7139" s="140"/>
    </row>
    <row r="7140" spans="10:10" x14ac:dyDescent="0.4">
      <c r="J7140" s="140"/>
    </row>
    <row r="7141" spans="10:10" x14ac:dyDescent="0.4">
      <c r="J7141" s="140"/>
    </row>
    <row r="7142" spans="10:10" x14ac:dyDescent="0.4">
      <c r="J7142" s="140"/>
    </row>
    <row r="7143" spans="10:10" x14ac:dyDescent="0.4">
      <c r="J7143" s="140"/>
    </row>
    <row r="7144" spans="10:10" x14ac:dyDescent="0.4">
      <c r="J7144" s="140"/>
    </row>
    <row r="7145" spans="10:10" x14ac:dyDescent="0.4">
      <c r="J7145" s="140"/>
    </row>
    <row r="7146" spans="10:10" x14ac:dyDescent="0.4">
      <c r="J7146" s="140"/>
    </row>
    <row r="7147" spans="10:10" x14ac:dyDescent="0.4">
      <c r="J7147" s="140"/>
    </row>
    <row r="7148" spans="10:10" x14ac:dyDescent="0.4">
      <c r="J7148" s="140"/>
    </row>
    <row r="7149" spans="10:10" x14ac:dyDescent="0.4">
      <c r="J7149" s="140"/>
    </row>
    <row r="7150" spans="10:10" x14ac:dyDescent="0.4">
      <c r="J7150" s="140"/>
    </row>
    <row r="7151" spans="10:10" x14ac:dyDescent="0.4">
      <c r="J7151" s="140"/>
    </row>
    <row r="7152" spans="10:10" x14ac:dyDescent="0.4">
      <c r="J7152" s="140"/>
    </row>
    <row r="7153" spans="10:10" x14ac:dyDescent="0.4">
      <c r="J7153" s="140"/>
    </row>
    <row r="7154" spans="10:10" x14ac:dyDescent="0.4">
      <c r="J7154" s="140"/>
    </row>
    <row r="7155" spans="10:10" x14ac:dyDescent="0.4">
      <c r="J7155" s="140"/>
    </row>
    <row r="7156" spans="10:10" x14ac:dyDescent="0.4">
      <c r="J7156" s="140"/>
    </row>
    <row r="7157" spans="10:10" x14ac:dyDescent="0.4">
      <c r="J7157" s="140"/>
    </row>
    <row r="7158" spans="10:10" x14ac:dyDescent="0.4">
      <c r="J7158" s="140"/>
    </row>
    <row r="7159" spans="10:10" x14ac:dyDescent="0.4">
      <c r="J7159" s="140"/>
    </row>
    <row r="7160" spans="10:10" x14ac:dyDescent="0.4">
      <c r="J7160" s="140"/>
    </row>
    <row r="7161" spans="10:10" x14ac:dyDescent="0.4">
      <c r="J7161" s="140"/>
    </row>
    <row r="7162" spans="10:10" x14ac:dyDescent="0.4">
      <c r="J7162" s="140"/>
    </row>
    <row r="7163" spans="10:10" x14ac:dyDescent="0.4">
      <c r="J7163" s="140"/>
    </row>
    <row r="7164" spans="10:10" x14ac:dyDescent="0.4">
      <c r="J7164" s="140"/>
    </row>
    <row r="7165" spans="10:10" x14ac:dyDescent="0.4">
      <c r="J7165" s="140"/>
    </row>
    <row r="7166" spans="10:10" x14ac:dyDescent="0.4">
      <c r="J7166" s="140"/>
    </row>
    <row r="7167" spans="10:10" x14ac:dyDescent="0.4">
      <c r="J7167" s="140"/>
    </row>
    <row r="7168" spans="10:10" x14ac:dyDescent="0.4">
      <c r="J7168" s="140"/>
    </row>
    <row r="7169" spans="10:10" x14ac:dyDescent="0.4">
      <c r="J7169" s="140"/>
    </row>
    <row r="7170" spans="10:10" x14ac:dyDescent="0.4">
      <c r="J7170" s="140"/>
    </row>
    <row r="7171" spans="10:10" x14ac:dyDescent="0.4">
      <c r="J7171" s="140"/>
    </row>
    <row r="7172" spans="10:10" x14ac:dyDescent="0.4">
      <c r="J7172" s="140"/>
    </row>
    <row r="7173" spans="10:10" x14ac:dyDescent="0.4">
      <c r="J7173" s="140"/>
    </row>
    <row r="7174" spans="10:10" x14ac:dyDescent="0.4">
      <c r="J7174" s="140"/>
    </row>
    <row r="7175" spans="10:10" x14ac:dyDescent="0.4">
      <c r="J7175" s="140"/>
    </row>
    <row r="7176" spans="10:10" x14ac:dyDescent="0.4">
      <c r="J7176" s="140"/>
    </row>
    <row r="7177" spans="10:10" x14ac:dyDescent="0.4">
      <c r="J7177" s="140"/>
    </row>
    <row r="7178" spans="10:10" x14ac:dyDescent="0.4">
      <c r="J7178" s="140"/>
    </row>
    <row r="7179" spans="10:10" x14ac:dyDescent="0.4">
      <c r="J7179" s="140"/>
    </row>
    <row r="7180" spans="10:10" x14ac:dyDescent="0.4">
      <c r="J7180" s="140"/>
    </row>
    <row r="7181" spans="10:10" x14ac:dyDescent="0.4">
      <c r="J7181" s="140"/>
    </row>
    <row r="7182" spans="10:10" x14ac:dyDescent="0.4">
      <c r="J7182" s="140"/>
    </row>
    <row r="7183" spans="10:10" x14ac:dyDescent="0.4">
      <c r="J7183" s="140"/>
    </row>
    <row r="7184" spans="10:10" x14ac:dyDescent="0.4">
      <c r="J7184" s="140"/>
    </row>
    <row r="7185" spans="10:10" x14ac:dyDescent="0.4">
      <c r="J7185" s="140"/>
    </row>
    <row r="7186" spans="10:10" x14ac:dyDescent="0.4">
      <c r="J7186" s="140"/>
    </row>
    <row r="7187" spans="10:10" x14ac:dyDescent="0.4">
      <c r="J7187" s="140"/>
    </row>
    <row r="7188" spans="10:10" x14ac:dyDescent="0.4">
      <c r="J7188" s="140"/>
    </row>
    <row r="7189" spans="10:10" x14ac:dyDescent="0.4">
      <c r="J7189" s="140"/>
    </row>
    <row r="7190" spans="10:10" x14ac:dyDescent="0.4">
      <c r="J7190" s="140"/>
    </row>
    <row r="7191" spans="10:10" x14ac:dyDescent="0.4">
      <c r="J7191" s="140"/>
    </row>
    <row r="7192" spans="10:10" x14ac:dyDescent="0.4">
      <c r="J7192" s="140"/>
    </row>
    <row r="7193" spans="10:10" x14ac:dyDescent="0.4">
      <c r="J7193" s="140"/>
    </row>
    <row r="7194" spans="10:10" x14ac:dyDescent="0.4">
      <c r="J7194" s="140"/>
    </row>
    <row r="7195" spans="10:10" x14ac:dyDescent="0.4">
      <c r="J7195" s="140"/>
    </row>
    <row r="7196" spans="10:10" x14ac:dyDescent="0.4">
      <c r="J7196" s="140"/>
    </row>
    <row r="7197" spans="10:10" x14ac:dyDescent="0.4">
      <c r="J7197" s="140"/>
    </row>
    <row r="7198" spans="10:10" x14ac:dyDescent="0.4">
      <c r="J7198" s="140"/>
    </row>
    <row r="7199" spans="10:10" x14ac:dyDescent="0.4">
      <c r="J7199" s="140"/>
    </row>
    <row r="7200" spans="10:10" x14ac:dyDescent="0.4">
      <c r="J7200" s="140"/>
    </row>
    <row r="7201" spans="10:10" x14ac:dyDescent="0.4">
      <c r="J7201" s="140"/>
    </row>
    <row r="7202" spans="10:10" x14ac:dyDescent="0.4">
      <c r="J7202" s="140"/>
    </row>
    <row r="7203" spans="10:10" x14ac:dyDescent="0.4">
      <c r="J7203" s="140"/>
    </row>
    <row r="7204" spans="10:10" x14ac:dyDescent="0.4">
      <c r="J7204" s="140"/>
    </row>
    <row r="7205" spans="10:10" x14ac:dyDescent="0.4">
      <c r="J7205" s="140"/>
    </row>
    <row r="7206" spans="10:10" x14ac:dyDescent="0.4">
      <c r="J7206" s="140"/>
    </row>
    <row r="7207" spans="10:10" x14ac:dyDescent="0.4">
      <c r="J7207" s="140"/>
    </row>
    <row r="7208" spans="10:10" x14ac:dyDescent="0.4">
      <c r="J7208" s="140"/>
    </row>
    <row r="7209" spans="10:10" x14ac:dyDescent="0.4">
      <c r="J7209" s="140"/>
    </row>
    <row r="7210" spans="10:10" x14ac:dyDescent="0.4">
      <c r="J7210" s="140"/>
    </row>
    <row r="7211" spans="10:10" x14ac:dyDescent="0.4">
      <c r="J7211" s="140"/>
    </row>
    <row r="7212" spans="10:10" x14ac:dyDescent="0.4">
      <c r="J7212" s="140"/>
    </row>
    <row r="7213" spans="10:10" x14ac:dyDescent="0.4">
      <c r="J7213" s="140"/>
    </row>
    <row r="7214" spans="10:10" x14ac:dyDescent="0.4">
      <c r="J7214" s="140"/>
    </row>
    <row r="7215" spans="10:10" x14ac:dyDescent="0.4">
      <c r="J7215" s="140"/>
    </row>
    <row r="7216" spans="10:10" x14ac:dyDescent="0.4">
      <c r="J7216" s="140"/>
    </row>
    <row r="7217" spans="10:10" x14ac:dyDescent="0.4">
      <c r="J7217" s="140"/>
    </row>
    <row r="7218" spans="10:10" x14ac:dyDescent="0.4">
      <c r="J7218" s="140"/>
    </row>
    <row r="7219" spans="10:10" x14ac:dyDescent="0.4">
      <c r="J7219" s="140"/>
    </row>
    <row r="7220" spans="10:10" x14ac:dyDescent="0.4">
      <c r="J7220" s="140"/>
    </row>
    <row r="7221" spans="10:10" x14ac:dyDescent="0.4">
      <c r="J7221" s="140"/>
    </row>
    <row r="7222" spans="10:10" x14ac:dyDescent="0.4">
      <c r="J7222" s="140"/>
    </row>
    <row r="7223" spans="10:10" x14ac:dyDescent="0.4">
      <c r="J7223" s="140"/>
    </row>
    <row r="7224" spans="10:10" x14ac:dyDescent="0.4">
      <c r="J7224" s="140"/>
    </row>
    <row r="7225" spans="10:10" x14ac:dyDescent="0.4">
      <c r="J7225" s="140"/>
    </row>
    <row r="7226" spans="10:10" x14ac:dyDescent="0.4">
      <c r="J7226" s="140"/>
    </row>
    <row r="7227" spans="10:10" x14ac:dyDescent="0.4">
      <c r="J7227" s="140"/>
    </row>
    <row r="7228" spans="10:10" x14ac:dyDescent="0.4">
      <c r="J7228" s="140"/>
    </row>
    <row r="7229" spans="10:10" x14ac:dyDescent="0.4">
      <c r="J7229" s="140"/>
    </row>
    <row r="7230" spans="10:10" x14ac:dyDescent="0.4">
      <c r="J7230" s="140"/>
    </row>
    <row r="7231" spans="10:10" x14ac:dyDescent="0.4">
      <c r="J7231" s="140"/>
    </row>
    <row r="7232" spans="10:10" x14ac:dyDescent="0.4">
      <c r="J7232" s="140"/>
    </row>
    <row r="7233" spans="10:10" x14ac:dyDescent="0.4">
      <c r="J7233" s="140"/>
    </row>
    <row r="7234" spans="10:10" x14ac:dyDescent="0.4">
      <c r="J7234" s="140"/>
    </row>
    <row r="7235" spans="10:10" x14ac:dyDescent="0.4">
      <c r="J7235" s="140"/>
    </row>
    <row r="7236" spans="10:10" x14ac:dyDescent="0.4">
      <c r="J7236" s="140"/>
    </row>
    <row r="7237" spans="10:10" x14ac:dyDescent="0.4">
      <c r="J7237" s="140"/>
    </row>
    <row r="7238" spans="10:10" x14ac:dyDescent="0.4">
      <c r="J7238" s="140"/>
    </row>
    <row r="7239" spans="10:10" x14ac:dyDescent="0.4">
      <c r="J7239" s="140"/>
    </row>
    <row r="7240" spans="10:10" x14ac:dyDescent="0.4">
      <c r="J7240" s="140"/>
    </row>
    <row r="7241" spans="10:10" x14ac:dyDescent="0.4">
      <c r="J7241" s="140"/>
    </row>
    <row r="7242" spans="10:10" x14ac:dyDescent="0.4">
      <c r="J7242" s="140"/>
    </row>
    <row r="7243" spans="10:10" x14ac:dyDescent="0.4">
      <c r="J7243" s="140"/>
    </row>
    <row r="7244" spans="10:10" x14ac:dyDescent="0.4">
      <c r="J7244" s="140"/>
    </row>
    <row r="7245" spans="10:10" x14ac:dyDescent="0.4">
      <c r="J7245" s="140"/>
    </row>
    <row r="7246" spans="10:10" x14ac:dyDescent="0.4">
      <c r="J7246" s="140"/>
    </row>
    <row r="7247" spans="10:10" x14ac:dyDescent="0.4">
      <c r="J7247" s="140"/>
    </row>
    <row r="7248" spans="10:10" x14ac:dyDescent="0.4">
      <c r="J7248" s="140"/>
    </row>
    <row r="7249" spans="10:10" x14ac:dyDescent="0.4">
      <c r="J7249" s="140"/>
    </row>
    <row r="7250" spans="10:10" x14ac:dyDescent="0.4">
      <c r="J7250" s="140"/>
    </row>
    <row r="7251" spans="10:10" x14ac:dyDescent="0.4">
      <c r="J7251" s="140"/>
    </row>
    <row r="7252" spans="10:10" x14ac:dyDescent="0.4">
      <c r="J7252" s="140"/>
    </row>
    <row r="7253" spans="10:10" x14ac:dyDescent="0.4">
      <c r="J7253" s="140"/>
    </row>
    <row r="7254" spans="10:10" x14ac:dyDescent="0.4">
      <c r="J7254" s="140"/>
    </row>
    <row r="7255" spans="10:10" x14ac:dyDescent="0.4">
      <c r="J7255" s="140"/>
    </row>
    <row r="7256" spans="10:10" x14ac:dyDescent="0.4">
      <c r="J7256" s="140"/>
    </row>
    <row r="7257" spans="10:10" x14ac:dyDescent="0.4">
      <c r="J7257" s="140"/>
    </row>
    <row r="7258" spans="10:10" x14ac:dyDescent="0.4">
      <c r="J7258" s="140"/>
    </row>
    <row r="7259" spans="10:10" x14ac:dyDescent="0.4">
      <c r="J7259" s="140"/>
    </row>
    <row r="7260" spans="10:10" x14ac:dyDescent="0.4">
      <c r="J7260" s="140"/>
    </row>
    <row r="7261" spans="10:10" x14ac:dyDescent="0.4">
      <c r="J7261" s="140"/>
    </row>
    <row r="7262" spans="10:10" x14ac:dyDescent="0.4">
      <c r="J7262" s="140"/>
    </row>
    <row r="7263" spans="10:10" x14ac:dyDescent="0.4">
      <c r="J7263" s="140"/>
    </row>
    <row r="7264" spans="10:10" x14ac:dyDescent="0.4">
      <c r="J7264" s="140"/>
    </row>
    <row r="7265" spans="10:10" x14ac:dyDescent="0.4">
      <c r="J7265" s="140"/>
    </row>
    <row r="7266" spans="10:10" x14ac:dyDescent="0.4">
      <c r="J7266" s="140"/>
    </row>
    <row r="7267" spans="10:10" x14ac:dyDescent="0.4">
      <c r="J7267" s="140"/>
    </row>
    <row r="7268" spans="10:10" x14ac:dyDescent="0.4">
      <c r="J7268" s="140"/>
    </row>
    <row r="7269" spans="10:10" x14ac:dyDescent="0.4">
      <c r="J7269" s="140"/>
    </row>
    <row r="7270" spans="10:10" x14ac:dyDescent="0.4">
      <c r="J7270" s="140"/>
    </row>
    <row r="7271" spans="10:10" x14ac:dyDescent="0.4">
      <c r="J7271" s="140"/>
    </row>
    <row r="7272" spans="10:10" x14ac:dyDescent="0.4">
      <c r="J7272" s="140"/>
    </row>
    <row r="7273" spans="10:10" x14ac:dyDescent="0.4">
      <c r="J7273" s="140"/>
    </row>
    <row r="7274" spans="10:10" x14ac:dyDescent="0.4">
      <c r="J7274" s="140"/>
    </row>
    <row r="7275" spans="10:10" x14ac:dyDescent="0.4">
      <c r="J7275" s="140"/>
    </row>
    <row r="7276" spans="10:10" x14ac:dyDescent="0.4">
      <c r="J7276" s="140"/>
    </row>
    <row r="7277" spans="10:10" x14ac:dyDescent="0.4">
      <c r="J7277" s="140"/>
    </row>
    <row r="7278" spans="10:10" x14ac:dyDescent="0.4">
      <c r="J7278" s="140"/>
    </row>
    <row r="7279" spans="10:10" x14ac:dyDescent="0.4">
      <c r="J7279" s="140"/>
    </row>
    <row r="7280" spans="10:10" x14ac:dyDescent="0.4">
      <c r="J7280" s="140"/>
    </row>
    <row r="7281" spans="10:10" x14ac:dyDescent="0.4">
      <c r="J7281" s="140"/>
    </row>
    <row r="7282" spans="10:10" x14ac:dyDescent="0.4">
      <c r="J7282" s="140"/>
    </row>
    <row r="7283" spans="10:10" x14ac:dyDescent="0.4">
      <c r="J7283" s="140"/>
    </row>
    <row r="7284" spans="10:10" x14ac:dyDescent="0.4">
      <c r="J7284" s="140"/>
    </row>
    <row r="7285" spans="10:10" x14ac:dyDescent="0.4">
      <c r="J7285" s="140"/>
    </row>
    <row r="7286" spans="10:10" x14ac:dyDescent="0.4">
      <c r="J7286" s="140"/>
    </row>
    <row r="7287" spans="10:10" x14ac:dyDescent="0.4">
      <c r="J7287" s="140"/>
    </row>
    <row r="7288" spans="10:10" x14ac:dyDescent="0.4">
      <c r="J7288" s="140"/>
    </row>
    <row r="7289" spans="10:10" x14ac:dyDescent="0.4">
      <c r="J7289" s="140"/>
    </row>
    <row r="7290" spans="10:10" x14ac:dyDescent="0.4">
      <c r="J7290" s="140"/>
    </row>
    <row r="7291" spans="10:10" x14ac:dyDescent="0.4">
      <c r="J7291" s="140"/>
    </row>
    <row r="7292" spans="10:10" x14ac:dyDescent="0.4">
      <c r="J7292" s="140"/>
    </row>
    <row r="7293" spans="10:10" x14ac:dyDescent="0.4">
      <c r="J7293" s="140"/>
    </row>
    <row r="7294" spans="10:10" x14ac:dyDescent="0.4">
      <c r="J7294" s="140"/>
    </row>
    <row r="7295" spans="10:10" x14ac:dyDescent="0.4">
      <c r="J7295" s="140"/>
    </row>
    <row r="7296" spans="10:10" x14ac:dyDescent="0.4">
      <c r="J7296" s="140"/>
    </row>
    <row r="7297" spans="10:10" x14ac:dyDescent="0.4">
      <c r="J7297" s="140"/>
    </row>
    <row r="7298" spans="10:10" x14ac:dyDescent="0.4">
      <c r="J7298" s="140"/>
    </row>
    <row r="7299" spans="10:10" x14ac:dyDescent="0.4">
      <c r="J7299" s="140"/>
    </row>
    <row r="7300" spans="10:10" x14ac:dyDescent="0.4">
      <c r="J7300" s="140"/>
    </row>
    <row r="7301" spans="10:10" x14ac:dyDescent="0.4">
      <c r="J7301" s="140"/>
    </row>
    <row r="7302" spans="10:10" x14ac:dyDescent="0.4">
      <c r="J7302" s="140"/>
    </row>
    <row r="7303" spans="10:10" x14ac:dyDescent="0.4">
      <c r="J7303" s="140"/>
    </row>
    <row r="7304" spans="10:10" x14ac:dyDescent="0.4">
      <c r="J7304" s="140"/>
    </row>
    <row r="7305" spans="10:10" x14ac:dyDescent="0.4">
      <c r="J7305" s="140"/>
    </row>
    <row r="7306" spans="10:10" x14ac:dyDescent="0.4">
      <c r="J7306" s="140"/>
    </row>
    <row r="7307" spans="10:10" x14ac:dyDescent="0.4">
      <c r="J7307" s="140"/>
    </row>
    <row r="7308" spans="10:10" x14ac:dyDescent="0.4">
      <c r="J7308" s="140"/>
    </row>
    <row r="7309" spans="10:10" x14ac:dyDescent="0.4">
      <c r="J7309" s="140"/>
    </row>
    <row r="7310" spans="10:10" x14ac:dyDescent="0.4">
      <c r="J7310" s="140"/>
    </row>
    <row r="7311" spans="10:10" x14ac:dyDescent="0.4">
      <c r="J7311" s="140"/>
    </row>
  </sheetData>
  <phoneticPr fontId="72" type="noConversion"/>
  <pageMargins left="0.7" right="0.7" top="0.75" bottom="0.75" header="0.3" footer="0.3"/>
  <pageSetup orientation="portrait" r:id="rId1"/>
  <drawing r:id="rId2"/>
  <legacyDrawing r:id="rId3"/>
  <controls>
    <mc:AlternateContent xmlns:mc="http://schemas.openxmlformats.org/markup-compatibility/2006">
      <mc:Choice Requires="x14">
        <control shapeId="97284" r:id="rId4" name="cmdWriteWp1">
          <controlPr defaultSize="0" autoLine="0" r:id="rId5">
            <anchor moveWithCells="1">
              <from>
                <xdr:col>7</xdr:col>
                <xdr:colOff>522514</xdr:colOff>
                <xdr:row>0</xdr:row>
                <xdr:rowOff>255814</xdr:rowOff>
              </from>
              <to>
                <xdr:col>8</xdr:col>
                <xdr:colOff>729343</xdr:colOff>
                <xdr:row>2</xdr:row>
                <xdr:rowOff>10886</xdr:rowOff>
              </to>
            </anchor>
          </controlPr>
        </control>
      </mc:Choice>
      <mc:Fallback>
        <control shapeId="97284" r:id="rId4" name="cmdWriteWp1"/>
      </mc:Fallback>
    </mc:AlternateContent>
    <mc:AlternateContent xmlns:mc="http://schemas.openxmlformats.org/markup-compatibility/2006">
      <mc:Choice Requires="x14">
        <control shapeId="97283" r:id="rId6" name="cmdGetWp1">
          <controlPr defaultSize="0" autoLine="0" r:id="rId7">
            <anchor moveWithCells="1">
              <from>
                <xdr:col>5</xdr:col>
                <xdr:colOff>65314</xdr:colOff>
                <xdr:row>0</xdr:row>
                <xdr:rowOff>255814</xdr:rowOff>
              </from>
              <to>
                <xdr:col>6</xdr:col>
                <xdr:colOff>244929</xdr:colOff>
                <xdr:row>2</xdr:row>
                <xdr:rowOff>0</xdr:rowOff>
              </to>
            </anchor>
          </controlPr>
        </control>
      </mc:Choice>
      <mc:Fallback>
        <control shapeId="97283" r:id="rId6" name="cmdGetWp1"/>
      </mc:Fallback>
    </mc:AlternateContent>
    <mc:AlternateContent xmlns:mc="http://schemas.openxmlformats.org/markup-compatibility/2006">
      <mc:Choice Requires="x14">
        <control shapeId="97282" r:id="rId8" name="cmbBoxWp1">
          <controlPr defaultSize="0" autoLine="0" linkedCell="B2" r:id="rId9">
            <anchor moveWithCells="1">
              <from>
                <xdr:col>1</xdr:col>
                <xdr:colOff>10886</xdr:colOff>
                <xdr:row>1</xdr:row>
                <xdr:rowOff>10886</xdr:rowOff>
              </from>
              <to>
                <xdr:col>2</xdr:col>
                <xdr:colOff>631371</xdr:colOff>
                <xdr:row>1</xdr:row>
                <xdr:rowOff>239486</xdr:rowOff>
              </to>
            </anchor>
          </controlPr>
        </control>
      </mc:Choice>
      <mc:Fallback>
        <control shapeId="97282" r:id="rId8" name="cmbBoxWp1"/>
      </mc:Fallback>
    </mc:AlternateContent>
    <mc:AlternateContent xmlns:mc="http://schemas.openxmlformats.org/markup-compatibility/2006">
      <mc:Choice Requires="x14">
        <control shapeId="97281" r:id="rId10" name="cmdReadWp1">
          <controlPr defaultSize="0" autoLine="0" r:id="rId11">
            <anchor moveWithCells="1">
              <from>
                <xdr:col>6</xdr:col>
                <xdr:colOff>315686</xdr:colOff>
                <xdr:row>0</xdr:row>
                <xdr:rowOff>255814</xdr:rowOff>
              </from>
              <to>
                <xdr:col>7</xdr:col>
                <xdr:colOff>522514</xdr:colOff>
                <xdr:row>2</xdr:row>
                <xdr:rowOff>10886</xdr:rowOff>
              </to>
            </anchor>
          </controlPr>
        </control>
      </mc:Choice>
      <mc:Fallback>
        <control shapeId="97281" r:id="rId10" name="cmdReadWp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O7310"/>
  <sheetViews>
    <sheetView zoomScaleNormal="100" workbookViewId="0"/>
  </sheetViews>
  <sheetFormatPr defaultColWidth="9.15234375" defaultRowHeight="14.6" x14ac:dyDescent="0.4"/>
  <cols>
    <col min="1" max="1" width="11" customWidth="1"/>
    <col min="2" max="13" width="11.84375" customWidth="1"/>
    <col min="14" max="14" width="31.3828125" customWidth="1"/>
  </cols>
  <sheetData>
    <row r="1" spans="1:15" ht="25.4" customHeight="1" x14ac:dyDescent="0.4">
      <c r="A1" s="94" t="s">
        <v>1383</v>
      </c>
      <c r="B1" s="10"/>
      <c r="C1" s="8"/>
    </row>
    <row r="2" spans="1:15" ht="19.95" customHeight="1" x14ac:dyDescent="0.4">
      <c r="A2" s="98" t="s">
        <v>918</v>
      </c>
      <c r="B2" s="95" t="s">
        <v>1872</v>
      </c>
      <c r="C2" s="17"/>
      <c r="D2" s="27" t="s">
        <v>758</v>
      </c>
      <c r="E2" s="85" t="s">
        <v>1537</v>
      </c>
    </row>
    <row r="3" spans="1:15" x14ac:dyDescent="0.4">
      <c r="A3" s="99" t="s">
        <v>900</v>
      </c>
      <c r="B3" s="95"/>
      <c r="C3" s="92"/>
      <c r="D3" s="17"/>
    </row>
    <row r="5" spans="1:15" x14ac:dyDescent="0.4">
      <c r="A5" s="26" t="s">
        <v>974</v>
      </c>
      <c r="B5" s="128"/>
    </row>
    <row r="6" spans="1:15" s="72" customFormat="1" x14ac:dyDescent="0.4">
      <c r="A6" s="26" t="s">
        <v>975</v>
      </c>
      <c r="B6" s="145"/>
      <c r="C6"/>
      <c r="D6"/>
      <c r="E6"/>
      <c r="F6"/>
      <c r="G6"/>
      <c r="H6"/>
      <c r="I6"/>
    </row>
    <row r="7" spans="1:15" s="72" customFormat="1" x14ac:dyDescent="0.4">
      <c r="A7" s="69" t="s">
        <v>1608</v>
      </c>
      <c r="B7"/>
      <c r="C7"/>
      <c r="D7"/>
      <c r="E7"/>
      <c r="F7"/>
      <c r="G7"/>
      <c r="H7"/>
      <c r="I7"/>
    </row>
    <row r="8" spans="1:15" s="7" customFormat="1" x14ac:dyDescent="0.4">
      <c r="A8" s="7" t="s">
        <v>1349</v>
      </c>
      <c r="B8" s="7" t="s">
        <v>1319</v>
      </c>
      <c r="C8" s="7" t="s">
        <v>1320</v>
      </c>
      <c r="D8" s="7" t="s">
        <v>1321</v>
      </c>
      <c r="E8" s="7" t="s">
        <v>1322</v>
      </c>
      <c r="F8" s="7" t="s">
        <v>1323</v>
      </c>
      <c r="G8" s="7" t="s">
        <v>1324</v>
      </c>
      <c r="H8" s="7" t="s">
        <v>1325</v>
      </c>
      <c r="I8" s="7" t="s">
        <v>1326</v>
      </c>
      <c r="J8" s="7" t="s">
        <v>1327</v>
      </c>
      <c r="K8" s="7" t="s">
        <v>1328</v>
      </c>
      <c r="L8" s="7" t="s">
        <v>1329</v>
      </c>
      <c r="M8" s="7" t="s">
        <v>1330</v>
      </c>
      <c r="N8" s="139" t="s">
        <v>1348</v>
      </c>
      <c r="O8" s="139"/>
    </row>
    <row r="9" spans="1:15" s="6" customFormat="1" x14ac:dyDescent="0.4">
      <c r="A9" s="143" t="s">
        <v>1384</v>
      </c>
      <c r="B9" s="144"/>
      <c r="C9" s="144"/>
      <c r="D9" s="144"/>
      <c r="E9" s="144"/>
      <c r="F9" s="144"/>
      <c r="G9" s="144"/>
      <c r="H9" s="144"/>
      <c r="I9" s="144"/>
      <c r="J9" s="144"/>
      <c r="K9" s="144"/>
      <c r="L9" s="144"/>
      <c r="M9" s="144"/>
      <c r="N9" s="22" t="s">
        <v>1366</v>
      </c>
    </row>
    <row r="10" spans="1:15" s="6" customFormat="1" x14ac:dyDescent="0.4">
      <c r="A10" s="143" t="s">
        <v>1350</v>
      </c>
      <c r="B10" s="144"/>
      <c r="C10" s="144"/>
      <c r="D10" s="144"/>
      <c r="E10" s="144"/>
      <c r="F10" s="144"/>
      <c r="G10" s="144"/>
      <c r="H10" s="144"/>
      <c r="I10" s="144"/>
      <c r="J10" s="144"/>
      <c r="K10" s="144"/>
      <c r="L10" s="144"/>
      <c r="M10" s="144"/>
      <c r="N10" s="22" t="s">
        <v>1367</v>
      </c>
    </row>
    <row r="11" spans="1:15" s="6" customFormat="1" x14ac:dyDescent="0.4">
      <c r="A11" s="143" t="s">
        <v>1351</v>
      </c>
      <c r="B11" s="144"/>
      <c r="C11" s="144"/>
      <c r="D11" s="144"/>
      <c r="E11" s="144"/>
      <c r="F11" s="144"/>
      <c r="G11" s="144"/>
      <c r="H11" s="144"/>
      <c r="I11" s="144"/>
      <c r="J11" s="144"/>
      <c r="K11" s="144"/>
      <c r="L11" s="144"/>
      <c r="M11" s="144"/>
      <c r="N11" s="22" t="s">
        <v>1368</v>
      </c>
    </row>
    <row r="12" spans="1:15" s="6" customFormat="1" x14ac:dyDescent="0.4">
      <c r="A12" s="143" t="s">
        <v>1352</v>
      </c>
      <c r="B12" s="144"/>
      <c r="C12" s="144"/>
      <c r="D12" s="144"/>
      <c r="E12" s="144"/>
      <c r="F12" s="144"/>
      <c r="G12" s="144"/>
      <c r="H12" s="144"/>
      <c r="I12" s="144"/>
      <c r="J12" s="144"/>
      <c r="K12" s="144"/>
      <c r="L12" s="144"/>
      <c r="M12" s="144"/>
      <c r="N12" s="22" t="s">
        <v>1369</v>
      </c>
    </row>
    <row r="13" spans="1:15" x14ac:dyDescent="0.4">
      <c r="A13" s="143" t="s">
        <v>1353</v>
      </c>
      <c r="B13" s="144"/>
      <c r="C13" s="144"/>
      <c r="D13" s="144"/>
      <c r="E13" s="144"/>
      <c r="F13" s="144"/>
      <c r="G13" s="144"/>
      <c r="H13" s="144"/>
      <c r="I13" s="144"/>
      <c r="J13" s="144"/>
      <c r="K13" s="144"/>
      <c r="L13" s="144"/>
      <c r="M13" s="144"/>
      <c r="N13" s="22" t="s">
        <v>1370</v>
      </c>
    </row>
    <row r="14" spans="1:15" x14ac:dyDescent="0.4">
      <c r="A14" s="143" t="s">
        <v>1354</v>
      </c>
      <c r="B14" s="144"/>
      <c r="C14" s="144"/>
      <c r="D14" s="144"/>
      <c r="E14" s="144"/>
      <c r="F14" s="144"/>
      <c r="G14" s="144"/>
      <c r="H14" s="144"/>
      <c r="I14" s="144"/>
      <c r="J14" s="144"/>
      <c r="K14" s="144"/>
      <c r="L14" s="144"/>
      <c r="M14" s="144"/>
      <c r="N14" s="22" t="s">
        <v>1371</v>
      </c>
    </row>
    <row r="15" spans="1:15" x14ac:dyDescent="0.4">
      <c r="A15" s="143" t="s">
        <v>1355</v>
      </c>
      <c r="B15" s="144"/>
      <c r="C15" s="144"/>
      <c r="D15" s="144"/>
      <c r="E15" s="144"/>
      <c r="F15" s="144"/>
      <c r="G15" s="144"/>
      <c r="H15" s="144"/>
      <c r="I15" s="144"/>
      <c r="J15" s="144"/>
      <c r="K15" s="144"/>
      <c r="L15" s="144"/>
      <c r="M15" s="144"/>
      <c r="N15" s="22" t="s">
        <v>1372</v>
      </c>
    </row>
    <row r="16" spans="1:15" x14ac:dyDescent="0.4">
      <c r="A16" s="143" t="s">
        <v>1356</v>
      </c>
      <c r="B16" s="144"/>
      <c r="C16" s="144"/>
      <c r="D16" s="144"/>
      <c r="E16" s="144"/>
      <c r="F16" s="144"/>
      <c r="G16" s="144"/>
      <c r="H16" s="144"/>
      <c r="I16" s="144"/>
      <c r="J16" s="144"/>
      <c r="K16" s="144"/>
      <c r="L16" s="144"/>
      <c r="M16" s="144"/>
      <c r="N16" s="22" t="s">
        <v>1373</v>
      </c>
    </row>
    <row r="17" spans="1:14" x14ac:dyDescent="0.4">
      <c r="A17" s="143" t="s">
        <v>1357</v>
      </c>
      <c r="B17" s="144"/>
      <c r="C17" s="144"/>
      <c r="D17" s="144"/>
      <c r="E17" s="144"/>
      <c r="F17" s="144"/>
      <c r="G17" s="144"/>
      <c r="H17" s="144"/>
      <c r="I17" s="144"/>
      <c r="J17" s="144"/>
      <c r="K17" s="144"/>
      <c r="L17" s="144"/>
      <c r="M17" s="144"/>
      <c r="N17" s="22" t="s">
        <v>1374</v>
      </c>
    </row>
    <row r="18" spans="1:14" x14ac:dyDescent="0.4">
      <c r="A18" s="143" t="s">
        <v>1358</v>
      </c>
      <c r="B18" s="144"/>
      <c r="C18" s="144"/>
      <c r="D18" s="144"/>
      <c r="E18" s="144"/>
      <c r="F18" s="144"/>
      <c r="G18" s="144"/>
      <c r="H18" s="144"/>
      <c r="I18" s="144"/>
      <c r="J18" s="144"/>
      <c r="K18" s="144"/>
      <c r="L18" s="144"/>
      <c r="M18" s="144"/>
      <c r="N18" s="22" t="s">
        <v>1375</v>
      </c>
    </row>
    <row r="19" spans="1:14" x14ac:dyDescent="0.4">
      <c r="A19" s="143" t="s">
        <v>1359</v>
      </c>
      <c r="B19" s="144"/>
      <c r="C19" s="144"/>
      <c r="D19" s="144"/>
      <c r="E19" s="144"/>
      <c r="F19" s="144"/>
      <c r="G19" s="144"/>
      <c r="H19" s="144"/>
      <c r="I19" s="144"/>
      <c r="J19" s="144"/>
      <c r="K19" s="144"/>
      <c r="L19" s="144"/>
      <c r="M19" s="144"/>
      <c r="N19" s="22" t="s">
        <v>1376</v>
      </c>
    </row>
    <row r="20" spans="1:14" x14ac:dyDescent="0.4">
      <c r="A20" s="143" t="s">
        <v>1360</v>
      </c>
      <c r="B20" s="144"/>
      <c r="C20" s="144"/>
      <c r="D20" s="144"/>
      <c r="E20" s="144"/>
      <c r="F20" s="144"/>
      <c r="G20" s="144"/>
      <c r="H20" s="144"/>
      <c r="I20" s="144"/>
      <c r="J20" s="144"/>
      <c r="K20" s="144"/>
      <c r="L20" s="144"/>
      <c r="M20" s="144"/>
      <c r="N20" s="22" t="s">
        <v>1377</v>
      </c>
    </row>
    <row r="21" spans="1:14" x14ac:dyDescent="0.4">
      <c r="A21" s="143" t="s">
        <v>1361</v>
      </c>
      <c r="B21" s="144"/>
      <c r="C21" s="144"/>
      <c r="D21" s="144"/>
      <c r="E21" s="144"/>
      <c r="F21" s="144"/>
      <c r="G21" s="144"/>
      <c r="H21" s="144"/>
      <c r="I21" s="144"/>
      <c r="J21" s="144"/>
      <c r="K21" s="144"/>
      <c r="L21" s="144"/>
      <c r="M21" s="144"/>
      <c r="N21" s="22" t="s">
        <v>1378</v>
      </c>
    </row>
    <row r="22" spans="1:14" x14ac:dyDescent="0.4">
      <c r="A22" s="143" t="s">
        <v>1362</v>
      </c>
      <c r="B22" s="144"/>
      <c r="C22" s="144"/>
      <c r="D22" s="144"/>
      <c r="E22" s="144"/>
      <c r="F22" s="144"/>
      <c r="G22" s="144"/>
      <c r="H22" s="144"/>
      <c r="I22" s="144"/>
      <c r="J22" s="144"/>
      <c r="K22" s="144"/>
      <c r="L22" s="144"/>
      <c r="M22" s="144"/>
      <c r="N22" t="s">
        <v>1379</v>
      </c>
    </row>
    <row r="23" spans="1:14" x14ac:dyDescent="0.4">
      <c r="A23" s="143" t="s">
        <v>1363</v>
      </c>
      <c r="B23" s="144"/>
      <c r="C23" s="144"/>
      <c r="D23" s="144"/>
      <c r="E23" s="144"/>
      <c r="F23" s="144"/>
      <c r="G23" s="144"/>
      <c r="H23" s="144"/>
      <c r="I23" s="144"/>
      <c r="J23" s="144"/>
      <c r="K23" s="144"/>
      <c r="L23" s="144"/>
      <c r="M23" s="144"/>
      <c r="N23" t="s">
        <v>1380</v>
      </c>
    </row>
    <row r="24" spans="1:14" x14ac:dyDescent="0.4">
      <c r="A24" s="143" t="s">
        <v>1364</v>
      </c>
      <c r="B24" s="144"/>
      <c r="C24" s="144"/>
      <c r="D24" s="144"/>
      <c r="E24" s="144"/>
      <c r="F24" s="144"/>
      <c r="G24" s="144"/>
      <c r="H24" s="144"/>
      <c r="I24" s="144"/>
      <c r="J24" s="144"/>
      <c r="K24" s="144"/>
      <c r="L24" s="144"/>
      <c r="M24" s="144"/>
      <c r="N24" t="s">
        <v>1381</v>
      </c>
    </row>
    <row r="25" spans="1:14" x14ac:dyDescent="0.4">
      <c r="A25" s="143" t="s">
        <v>1365</v>
      </c>
      <c r="B25" s="144"/>
      <c r="C25" s="144"/>
      <c r="D25" s="144"/>
      <c r="E25" s="144"/>
      <c r="F25" s="144"/>
      <c r="G25" s="144"/>
      <c r="H25" s="144"/>
      <c r="I25" s="144"/>
      <c r="J25" s="144"/>
      <c r="K25" s="144"/>
      <c r="L25" s="144"/>
      <c r="M25" s="144"/>
      <c r="N25" t="s">
        <v>1382</v>
      </c>
    </row>
    <row r="26" spans="1:14" x14ac:dyDescent="0.4">
      <c r="J26" s="140"/>
    </row>
    <row r="27" spans="1:14" x14ac:dyDescent="0.4">
      <c r="J27" s="140"/>
    </row>
    <row r="28" spans="1:14" x14ac:dyDescent="0.4">
      <c r="J28" s="140"/>
    </row>
    <row r="29" spans="1:14" x14ac:dyDescent="0.4">
      <c r="J29" s="140"/>
    </row>
    <row r="30" spans="1:14" x14ac:dyDescent="0.4">
      <c r="J30" s="140"/>
    </row>
    <row r="31" spans="1:14" x14ac:dyDescent="0.4">
      <c r="J31" s="140"/>
    </row>
    <row r="32" spans="1:14" x14ac:dyDescent="0.4">
      <c r="J32" s="140"/>
    </row>
    <row r="33" spans="10:10" x14ac:dyDescent="0.4">
      <c r="J33" s="140"/>
    </row>
    <row r="34" spans="10:10" x14ac:dyDescent="0.4">
      <c r="J34" s="140"/>
    </row>
    <row r="35" spans="10:10" x14ac:dyDescent="0.4">
      <c r="J35" s="140"/>
    </row>
    <row r="36" spans="10:10" x14ac:dyDescent="0.4">
      <c r="J36" s="140"/>
    </row>
    <row r="37" spans="10:10" x14ac:dyDescent="0.4">
      <c r="J37" s="140"/>
    </row>
    <row r="38" spans="10:10" x14ac:dyDescent="0.4">
      <c r="J38" s="140"/>
    </row>
    <row r="39" spans="10:10" x14ac:dyDescent="0.4">
      <c r="J39" s="140"/>
    </row>
    <row r="40" spans="10:10" x14ac:dyDescent="0.4">
      <c r="J40" s="140"/>
    </row>
    <row r="41" spans="10:10" x14ac:dyDescent="0.4">
      <c r="J41" s="140"/>
    </row>
    <row r="42" spans="10:10" x14ac:dyDescent="0.4">
      <c r="J42" s="140"/>
    </row>
    <row r="43" spans="10:10" x14ac:dyDescent="0.4">
      <c r="J43" s="140"/>
    </row>
    <row r="44" spans="10:10" x14ac:dyDescent="0.4">
      <c r="J44" s="140"/>
    </row>
    <row r="45" spans="10:10" x14ac:dyDescent="0.4">
      <c r="J45" s="140"/>
    </row>
    <row r="46" spans="10:10" x14ac:dyDescent="0.4">
      <c r="J46" s="140"/>
    </row>
    <row r="47" spans="10:10" x14ac:dyDescent="0.4">
      <c r="J47" s="140"/>
    </row>
    <row r="48" spans="10:10" x14ac:dyDescent="0.4">
      <c r="J48" s="140"/>
    </row>
    <row r="49" spans="10:10" x14ac:dyDescent="0.4">
      <c r="J49" s="140"/>
    </row>
    <row r="50" spans="10:10" x14ac:dyDescent="0.4">
      <c r="J50" s="140"/>
    </row>
    <row r="51" spans="10:10" x14ac:dyDescent="0.4">
      <c r="J51" s="140"/>
    </row>
    <row r="52" spans="10:10" x14ac:dyDescent="0.4">
      <c r="J52" s="140"/>
    </row>
    <row r="53" spans="10:10" x14ac:dyDescent="0.4">
      <c r="J53" s="140"/>
    </row>
    <row r="54" spans="10:10" x14ac:dyDescent="0.4">
      <c r="J54" s="140"/>
    </row>
    <row r="55" spans="10:10" x14ac:dyDescent="0.4">
      <c r="J55" s="140"/>
    </row>
    <row r="56" spans="10:10" x14ac:dyDescent="0.4">
      <c r="J56" s="140"/>
    </row>
    <row r="57" spans="10:10" x14ac:dyDescent="0.4">
      <c r="J57" s="140"/>
    </row>
    <row r="58" spans="10:10" x14ac:dyDescent="0.4">
      <c r="J58" s="140"/>
    </row>
    <row r="59" spans="10:10" x14ac:dyDescent="0.4">
      <c r="J59" s="140"/>
    </row>
    <row r="60" spans="10:10" x14ac:dyDescent="0.4">
      <c r="J60" s="140"/>
    </row>
    <row r="61" spans="10:10" x14ac:dyDescent="0.4">
      <c r="J61" s="140"/>
    </row>
    <row r="62" spans="10:10" x14ac:dyDescent="0.4">
      <c r="J62" s="140"/>
    </row>
    <row r="63" spans="10:10" x14ac:dyDescent="0.4">
      <c r="J63" s="140"/>
    </row>
    <row r="64" spans="10:10" x14ac:dyDescent="0.4">
      <c r="J64" s="140"/>
    </row>
    <row r="65" spans="10:10" x14ac:dyDescent="0.4">
      <c r="J65" s="140"/>
    </row>
    <row r="66" spans="10:10" x14ac:dyDescent="0.4">
      <c r="J66" s="140"/>
    </row>
    <row r="67" spans="10:10" x14ac:dyDescent="0.4">
      <c r="J67" s="140"/>
    </row>
    <row r="68" spans="10:10" x14ac:dyDescent="0.4">
      <c r="J68" s="140"/>
    </row>
    <row r="69" spans="10:10" x14ac:dyDescent="0.4">
      <c r="J69" s="140"/>
    </row>
    <row r="70" spans="10:10" x14ac:dyDescent="0.4">
      <c r="J70" s="140"/>
    </row>
    <row r="71" spans="10:10" x14ac:dyDescent="0.4">
      <c r="J71" s="140"/>
    </row>
    <row r="72" spans="10:10" x14ac:dyDescent="0.4">
      <c r="J72" s="140"/>
    </row>
    <row r="73" spans="10:10" x14ac:dyDescent="0.4">
      <c r="J73" s="140"/>
    </row>
    <row r="74" spans="10:10" x14ac:dyDescent="0.4">
      <c r="J74" s="140"/>
    </row>
    <row r="75" spans="10:10" x14ac:dyDescent="0.4">
      <c r="J75" s="140"/>
    </row>
    <row r="76" spans="10:10" x14ac:dyDescent="0.4">
      <c r="J76" s="140"/>
    </row>
    <row r="77" spans="10:10" x14ac:dyDescent="0.4">
      <c r="J77" s="140"/>
    </row>
    <row r="78" spans="10:10" x14ac:dyDescent="0.4">
      <c r="J78" s="140"/>
    </row>
    <row r="79" spans="10:10" x14ac:dyDescent="0.4">
      <c r="J79" s="140"/>
    </row>
    <row r="80" spans="10:10" x14ac:dyDescent="0.4">
      <c r="J80" s="140"/>
    </row>
    <row r="81" spans="10:10" x14ac:dyDescent="0.4">
      <c r="J81" s="140"/>
    </row>
    <row r="82" spans="10:10" x14ac:dyDescent="0.4">
      <c r="J82" s="140"/>
    </row>
    <row r="83" spans="10:10" x14ac:dyDescent="0.4">
      <c r="J83" s="140"/>
    </row>
    <row r="84" spans="10:10" x14ac:dyDescent="0.4">
      <c r="J84" s="140"/>
    </row>
    <row r="85" spans="10:10" x14ac:dyDescent="0.4">
      <c r="J85" s="140"/>
    </row>
    <row r="86" spans="10:10" x14ac:dyDescent="0.4">
      <c r="J86" s="140"/>
    </row>
    <row r="87" spans="10:10" x14ac:dyDescent="0.4">
      <c r="J87" s="140"/>
    </row>
    <row r="88" spans="10:10" x14ac:dyDescent="0.4">
      <c r="J88" s="140"/>
    </row>
    <row r="89" spans="10:10" x14ac:dyDescent="0.4">
      <c r="J89" s="140"/>
    </row>
    <row r="90" spans="10:10" x14ac:dyDescent="0.4">
      <c r="J90" s="140"/>
    </row>
    <row r="91" spans="10:10" x14ac:dyDescent="0.4">
      <c r="J91" s="140"/>
    </row>
    <row r="92" spans="10:10" x14ac:dyDescent="0.4">
      <c r="J92" s="140"/>
    </row>
    <row r="93" spans="10:10" x14ac:dyDescent="0.4">
      <c r="J93" s="140"/>
    </row>
    <row r="94" spans="10:10" x14ac:dyDescent="0.4">
      <c r="J94" s="140"/>
    </row>
    <row r="95" spans="10:10" x14ac:dyDescent="0.4">
      <c r="J95" s="140"/>
    </row>
    <row r="96" spans="10:10" x14ac:dyDescent="0.4">
      <c r="J96" s="140"/>
    </row>
    <row r="97" spans="10:10" x14ac:dyDescent="0.4">
      <c r="J97" s="140"/>
    </row>
    <row r="98" spans="10:10" x14ac:dyDescent="0.4">
      <c r="J98" s="140"/>
    </row>
    <row r="99" spans="10:10" x14ac:dyDescent="0.4">
      <c r="J99" s="140"/>
    </row>
    <row r="100" spans="10:10" x14ac:dyDescent="0.4">
      <c r="J100" s="140"/>
    </row>
    <row r="101" spans="10:10" x14ac:dyDescent="0.4">
      <c r="J101" s="140"/>
    </row>
    <row r="102" spans="10:10" x14ac:dyDescent="0.4">
      <c r="J102" s="140"/>
    </row>
    <row r="103" spans="10:10" x14ac:dyDescent="0.4">
      <c r="J103" s="140"/>
    </row>
    <row r="104" spans="10:10" x14ac:dyDescent="0.4">
      <c r="J104" s="140"/>
    </row>
    <row r="105" spans="10:10" x14ac:dyDescent="0.4">
      <c r="J105" s="140"/>
    </row>
    <row r="106" spans="10:10" x14ac:dyDescent="0.4">
      <c r="J106" s="140"/>
    </row>
    <row r="107" spans="10:10" x14ac:dyDescent="0.4">
      <c r="J107" s="140"/>
    </row>
    <row r="108" spans="10:10" x14ac:dyDescent="0.4">
      <c r="J108" s="140"/>
    </row>
    <row r="109" spans="10:10" x14ac:dyDescent="0.4">
      <c r="J109" s="140"/>
    </row>
    <row r="110" spans="10:10" x14ac:dyDescent="0.4">
      <c r="J110" s="140"/>
    </row>
    <row r="111" spans="10:10" x14ac:dyDescent="0.4">
      <c r="J111" s="140"/>
    </row>
    <row r="112" spans="10:10" x14ac:dyDescent="0.4">
      <c r="J112" s="140"/>
    </row>
    <row r="113" spans="10:10" x14ac:dyDescent="0.4">
      <c r="J113" s="140"/>
    </row>
    <row r="114" spans="10:10" x14ac:dyDescent="0.4">
      <c r="J114" s="140"/>
    </row>
    <row r="115" spans="10:10" x14ac:dyDescent="0.4">
      <c r="J115" s="140"/>
    </row>
    <row r="116" spans="10:10" x14ac:dyDescent="0.4">
      <c r="J116" s="140"/>
    </row>
    <row r="117" spans="10:10" x14ac:dyDescent="0.4">
      <c r="J117" s="140"/>
    </row>
    <row r="118" spans="10:10" x14ac:dyDescent="0.4">
      <c r="J118" s="140"/>
    </row>
    <row r="119" spans="10:10" x14ac:dyDescent="0.4">
      <c r="J119" s="140"/>
    </row>
    <row r="120" spans="10:10" x14ac:dyDescent="0.4">
      <c r="J120" s="140"/>
    </row>
    <row r="121" spans="10:10" x14ac:dyDescent="0.4">
      <c r="J121" s="140"/>
    </row>
    <row r="122" spans="10:10" x14ac:dyDescent="0.4">
      <c r="J122" s="140"/>
    </row>
    <row r="123" spans="10:10" x14ac:dyDescent="0.4">
      <c r="J123" s="140"/>
    </row>
    <row r="124" spans="10:10" x14ac:dyDescent="0.4">
      <c r="J124" s="140"/>
    </row>
    <row r="125" spans="10:10" x14ac:dyDescent="0.4">
      <c r="J125" s="140"/>
    </row>
    <row r="126" spans="10:10" x14ac:dyDescent="0.4">
      <c r="J126" s="140"/>
    </row>
    <row r="127" spans="10:10" x14ac:dyDescent="0.4">
      <c r="J127" s="140"/>
    </row>
    <row r="128" spans="10:10" x14ac:dyDescent="0.4">
      <c r="J128" s="140"/>
    </row>
    <row r="129" spans="10:10" x14ac:dyDescent="0.4">
      <c r="J129" s="140"/>
    </row>
    <row r="130" spans="10:10" x14ac:dyDescent="0.4">
      <c r="J130" s="140"/>
    </row>
    <row r="131" spans="10:10" x14ac:dyDescent="0.4">
      <c r="J131" s="140"/>
    </row>
    <row r="132" spans="10:10" x14ac:dyDescent="0.4">
      <c r="J132" s="140"/>
    </row>
    <row r="133" spans="10:10" x14ac:dyDescent="0.4">
      <c r="J133" s="140"/>
    </row>
    <row r="134" spans="10:10" x14ac:dyDescent="0.4">
      <c r="J134" s="140"/>
    </row>
    <row r="135" spans="10:10" x14ac:dyDescent="0.4">
      <c r="J135" s="140"/>
    </row>
    <row r="136" spans="10:10" x14ac:dyDescent="0.4">
      <c r="J136" s="140"/>
    </row>
    <row r="137" spans="10:10" x14ac:dyDescent="0.4">
      <c r="J137" s="140"/>
    </row>
    <row r="138" spans="10:10" x14ac:dyDescent="0.4">
      <c r="J138" s="140"/>
    </row>
    <row r="139" spans="10:10" x14ac:dyDescent="0.4">
      <c r="J139" s="140"/>
    </row>
    <row r="140" spans="10:10" x14ac:dyDescent="0.4">
      <c r="J140" s="140"/>
    </row>
    <row r="141" spans="10:10" x14ac:dyDescent="0.4">
      <c r="J141" s="140"/>
    </row>
    <row r="142" spans="10:10" x14ac:dyDescent="0.4">
      <c r="J142" s="140"/>
    </row>
    <row r="143" spans="10:10" x14ac:dyDescent="0.4">
      <c r="J143" s="140"/>
    </row>
    <row r="144" spans="10:10" x14ac:dyDescent="0.4">
      <c r="J144" s="140"/>
    </row>
    <row r="145" spans="10:10" x14ac:dyDescent="0.4">
      <c r="J145" s="140"/>
    </row>
    <row r="146" spans="10:10" x14ac:dyDescent="0.4">
      <c r="J146" s="140"/>
    </row>
    <row r="147" spans="10:10" x14ac:dyDescent="0.4">
      <c r="J147" s="140"/>
    </row>
    <row r="148" spans="10:10" x14ac:dyDescent="0.4">
      <c r="J148" s="140"/>
    </row>
    <row r="149" spans="10:10" x14ac:dyDescent="0.4">
      <c r="J149" s="140"/>
    </row>
    <row r="150" spans="10:10" x14ac:dyDescent="0.4">
      <c r="J150" s="140"/>
    </row>
    <row r="151" spans="10:10" x14ac:dyDescent="0.4">
      <c r="J151" s="140"/>
    </row>
    <row r="152" spans="10:10" x14ac:dyDescent="0.4">
      <c r="J152" s="140"/>
    </row>
    <row r="153" spans="10:10" x14ac:dyDescent="0.4">
      <c r="J153" s="140"/>
    </row>
    <row r="154" spans="10:10" x14ac:dyDescent="0.4">
      <c r="J154" s="140"/>
    </row>
    <row r="155" spans="10:10" x14ac:dyDescent="0.4">
      <c r="J155" s="140"/>
    </row>
    <row r="156" spans="10:10" x14ac:dyDescent="0.4">
      <c r="J156" s="140"/>
    </row>
    <row r="157" spans="10:10" x14ac:dyDescent="0.4">
      <c r="J157" s="140"/>
    </row>
    <row r="158" spans="10:10" x14ac:dyDescent="0.4">
      <c r="J158" s="140"/>
    </row>
    <row r="159" spans="10:10" x14ac:dyDescent="0.4">
      <c r="J159" s="140"/>
    </row>
    <row r="160" spans="10:10" x14ac:dyDescent="0.4">
      <c r="J160" s="140"/>
    </row>
    <row r="161" spans="10:10" x14ac:dyDescent="0.4">
      <c r="J161" s="140"/>
    </row>
    <row r="162" spans="10:10" x14ac:dyDescent="0.4">
      <c r="J162" s="140"/>
    </row>
    <row r="163" spans="10:10" x14ac:dyDescent="0.4">
      <c r="J163" s="140"/>
    </row>
    <row r="164" spans="10:10" x14ac:dyDescent="0.4">
      <c r="J164" s="140"/>
    </row>
    <row r="165" spans="10:10" x14ac:dyDescent="0.4">
      <c r="J165" s="140"/>
    </row>
    <row r="166" spans="10:10" x14ac:dyDescent="0.4">
      <c r="J166" s="140"/>
    </row>
    <row r="167" spans="10:10" x14ac:dyDescent="0.4">
      <c r="J167" s="140"/>
    </row>
    <row r="168" spans="10:10" x14ac:dyDescent="0.4">
      <c r="J168" s="140"/>
    </row>
    <row r="169" spans="10:10" x14ac:dyDescent="0.4">
      <c r="J169" s="140"/>
    </row>
    <row r="170" spans="10:10" x14ac:dyDescent="0.4">
      <c r="J170" s="140"/>
    </row>
    <row r="171" spans="10:10" x14ac:dyDescent="0.4">
      <c r="J171" s="140"/>
    </row>
    <row r="172" spans="10:10" x14ac:dyDescent="0.4">
      <c r="J172" s="140"/>
    </row>
    <row r="173" spans="10:10" x14ac:dyDescent="0.4">
      <c r="J173" s="140"/>
    </row>
    <row r="174" spans="10:10" x14ac:dyDescent="0.4">
      <c r="J174" s="140"/>
    </row>
    <row r="175" spans="10:10" x14ac:dyDescent="0.4">
      <c r="J175" s="140"/>
    </row>
    <row r="176" spans="10:10" x14ac:dyDescent="0.4">
      <c r="J176" s="140"/>
    </row>
    <row r="177" spans="10:10" x14ac:dyDescent="0.4">
      <c r="J177" s="140"/>
    </row>
    <row r="178" spans="10:10" x14ac:dyDescent="0.4">
      <c r="J178" s="140"/>
    </row>
    <row r="179" spans="10:10" x14ac:dyDescent="0.4">
      <c r="J179" s="140"/>
    </row>
    <row r="180" spans="10:10" x14ac:dyDescent="0.4">
      <c r="J180" s="140"/>
    </row>
    <row r="181" spans="10:10" x14ac:dyDescent="0.4">
      <c r="J181" s="140"/>
    </row>
    <row r="182" spans="10:10" x14ac:dyDescent="0.4">
      <c r="J182" s="140"/>
    </row>
    <row r="183" spans="10:10" x14ac:dyDescent="0.4">
      <c r="J183" s="140"/>
    </row>
    <row r="184" spans="10:10" x14ac:dyDescent="0.4">
      <c r="J184" s="140"/>
    </row>
    <row r="185" spans="10:10" x14ac:dyDescent="0.4">
      <c r="J185" s="140"/>
    </row>
    <row r="186" spans="10:10" x14ac:dyDescent="0.4">
      <c r="J186" s="140"/>
    </row>
    <row r="187" spans="10:10" x14ac:dyDescent="0.4">
      <c r="J187" s="140"/>
    </row>
    <row r="188" spans="10:10" x14ac:dyDescent="0.4">
      <c r="J188" s="140"/>
    </row>
    <row r="189" spans="10:10" x14ac:dyDescent="0.4">
      <c r="J189" s="140"/>
    </row>
    <row r="190" spans="10:10" x14ac:dyDescent="0.4">
      <c r="J190" s="140"/>
    </row>
    <row r="191" spans="10:10" x14ac:dyDescent="0.4">
      <c r="J191" s="140"/>
    </row>
    <row r="192" spans="10:10" x14ac:dyDescent="0.4">
      <c r="J192" s="140"/>
    </row>
    <row r="193" spans="10:10" x14ac:dyDescent="0.4">
      <c r="J193" s="140"/>
    </row>
    <row r="194" spans="10:10" x14ac:dyDescent="0.4">
      <c r="J194" s="140"/>
    </row>
    <row r="195" spans="10:10" x14ac:dyDescent="0.4">
      <c r="J195" s="140"/>
    </row>
    <row r="196" spans="10:10" x14ac:dyDescent="0.4">
      <c r="J196" s="140"/>
    </row>
    <row r="197" spans="10:10" x14ac:dyDescent="0.4">
      <c r="J197" s="140"/>
    </row>
    <row r="198" spans="10:10" x14ac:dyDescent="0.4">
      <c r="J198" s="140"/>
    </row>
    <row r="199" spans="10:10" x14ac:dyDescent="0.4">
      <c r="J199" s="140"/>
    </row>
    <row r="200" spans="10:10" x14ac:dyDescent="0.4">
      <c r="J200" s="140"/>
    </row>
    <row r="201" spans="10:10" x14ac:dyDescent="0.4">
      <c r="J201" s="140"/>
    </row>
    <row r="202" spans="10:10" x14ac:dyDescent="0.4">
      <c r="J202" s="140"/>
    </row>
    <row r="203" spans="10:10" x14ac:dyDescent="0.4">
      <c r="J203" s="140"/>
    </row>
    <row r="204" spans="10:10" x14ac:dyDescent="0.4">
      <c r="J204" s="140"/>
    </row>
    <row r="205" spans="10:10" x14ac:dyDescent="0.4">
      <c r="J205" s="140"/>
    </row>
    <row r="206" spans="10:10" x14ac:dyDescent="0.4">
      <c r="J206" s="140"/>
    </row>
    <row r="207" spans="10:10" x14ac:dyDescent="0.4">
      <c r="J207" s="140"/>
    </row>
    <row r="208" spans="10:10" x14ac:dyDescent="0.4">
      <c r="J208" s="140"/>
    </row>
    <row r="209" spans="10:10" x14ac:dyDescent="0.4">
      <c r="J209" s="140"/>
    </row>
    <row r="210" spans="10:10" x14ac:dyDescent="0.4">
      <c r="J210" s="140"/>
    </row>
    <row r="211" spans="10:10" x14ac:dyDescent="0.4">
      <c r="J211" s="140"/>
    </row>
    <row r="212" spans="10:10" x14ac:dyDescent="0.4">
      <c r="J212" s="140"/>
    </row>
    <row r="213" spans="10:10" x14ac:dyDescent="0.4">
      <c r="J213" s="140"/>
    </row>
    <row r="214" spans="10:10" x14ac:dyDescent="0.4">
      <c r="J214" s="140"/>
    </row>
    <row r="215" spans="10:10" x14ac:dyDescent="0.4">
      <c r="J215" s="140"/>
    </row>
    <row r="216" spans="10:10" x14ac:dyDescent="0.4">
      <c r="J216" s="140"/>
    </row>
    <row r="217" spans="10:10" x14ac:dyDescent="0.4">
      <c r="J217" s="140"/>
    </row>
    <row r="218" spans="10:10" x14ac:dyDescent="0.4">
      <c r="J218" s="140"/>
    </row>
    <row r="219" spans="10:10" x14ac:dyDescent="0.4">
      <c r="J219" s="140"/>
    </row>
    <row r="220" spans="10:10" x14ac:dyDescent="0.4">
      <c r="J220" s="140"/>
    </row>
    <row r="221" spans="10:10" x14ac:dyDescent="0.4">
      <c r="J221" s="140"/>
    </row>
    <row r="222" spans="10:10" x14ac:dyDescent="0.4">
      <c r="J222" s="140"/>
    </row>
    <row r="223" spans="10:10" x14ac:dyDescent="0.4">
      <c r="J223" s="140"/>
    </row>
    <row r="224" spans="10:10" x14ac:dyDescent="0.4">
      <c r="J224" s="140"/>
    </row>
    <row r="225" spans="10:10" x14ac:dyDescent="0.4">
      <c r="J225" s="140"/>
    </row>
    <row r="226" spans="10:10" x14ac:dyDescent="0.4">
      <c r="J226" s="140"/>
    </row>
    <row r="227" spans="10:10" x14ac:dyDescent="0.4">
      <c r="J227" s="140"/>
    </row>
    <row r="228" spans="10:10" x14ac:dyDescent="0.4">
      <c r="J228" s="140"/>
    </row>
    <row r="229" spans="10:10" x14ac:dyDescent="0.4">
      <c r="J229" s="140"/>
    </row>
    <row r="230" spans="10:10" x14ac:dyDescent="0.4">
      <c r="J230" s="140"/>
    </row>
    <row r="231" spans="10:10" x14ac:dyDescent="0.4">
      <c r="J231" s="140"/>
    </row>
    <row r="232" spans="10:10" x14ac:dyDescent="0.4">
      <c r="J232" s="140"/>
    </row>
    <row r="233" spans="10:10" x14ac:dyDescent="0.4">
      <c r="J233" s="140"/>
    </row>
    <row r="234" spans="10:10" x14ac:dyDescent="0.4">
      <c r="J234" s="140"/>
    </row>
    <row r="235" spans="10:10" x14ac:dyDescent="0.4">
      <c r="J235" s="140"/>
    </row>
    <row r="236" spans="10:10" x14ac:dyDescent="0.4">
      <c r="J236" s="140"/>
    </row>
    <row r="237" spans="10:10" x14ac:dyDescent="0.4">
      <c r="J237" s="140"/>
    </row>
    <row r="238" spans="10:10" x14ac:dyDescent="0.4">
      <c r="J238" s="140"/>
    </row>
    <row r="239" spans="10:10" x14ac:dyDescent="0.4">
      <c r="J239" s="140"/>
    </row>
    <row r="240" spans="10:10" x14ac:dyDescent="0.4">
      <c r="J240" s="140"/>
    </row>
    <row r="241" spans="10:10" x14ac:dyDescent="0.4">
      <c r="J241" s="140"/>
    </row>
    <row r="242" spans="10:10" x14ac:dyDescent="0.4">
      <c r="J242" s="140"/>
    </row>
    <row r="243" spans="10:10" x14ac:dyDescent="0.4">
      <c r="J243" s="140"/>
    </row>
    <row r="244" spans="10:10" x14ac:dyDescent="0.4">
      <c r="J244" s="140"/>
    </row>
    <row r="245" spans="10:10" x14ac:dyDescent="0.4">
      <c r="J245" s="140"/>
    </row>
    <row r="246" spans="10:10" x14ac:dyDescent="0.4">
      <c r="J246" s="140"/>
    </row>
    <row r="247" spans="10:10" x14ac:dyDescent="0.4">
      <c r="J247" s="140"/>
    </row>
    <row r="248" spans="10:10" x14ac:dyDescent="0.4">
      <c r="J248" s="140"/>
    </row>
    <row r="249" spans="10:10" x14ac:dyDescent="0.4">
      <c r="J249" s="140"/>
    </row>
    <row r="250" spans="10:10" x14ac:dyDescent="0.4">
      <c r="J250" s="140"/>
    </row>
    <row r="251" spans="10:10" x14ac:dyDescent="0.4">
      <c r="J251" s="140"/>
    </row>
    <row r="252" spans="10:10" x14ac:dyDescent="0.4">
      <c r="J252" s="140"/>
    </row>
    <row r="253" spans="10:10" x14ac:dyDescent="0.4">
      <c r="J253" s="140"/>
    </row>
    <row r="254" spans="10:10" x14ac:dyDescent="0.4">
      <c r="J254" s="140"/>
    </row>
    <row r="255" spans="10:10" x14ac:dyDescent="0.4">
      <c r="J255" s="140"/>
    </row>
    <row r="256" spans="10:10" x14ac:dyDescent="0.4">
      <c r="J256" s="140"/>
    </row>
    <row r="257" spans="10:10" x14ac:dyDescent="0.4">
      <c r="J257" s="140"/>
    </row>
    <row r="258" spans="10:10" x14ac:dyDescent="0.4">
      <c r="J258" s="140"/>
    </row>
    <row r="259" spans="10:10" x14ac:dyDescent="0.4">
      <c r="J259" s="140"/>
    </row>
    <row r="260" spans="10:10" x14ac:dyDescent="0.4">
      <c r="J260" s="140"/>
    </row>
    <row r="261" spans="10:10" x14ac:dyDescent="0.4">
      <c r="J261" s="140"/>
    </row>
    <row r="262" spans="10:10" x14ac:dyDescent="0.4">
      <c r="J262" s="140"/>
    </row>
    <row r="263" spans="10:10" x14ac:dyDescent="0.4">
      <c r="J263" s="140"/>
    </row>
    <row r="264" spans="10:10" x14ac:dyDescent="0.4">
      <c r="J264" s="140"/>
    </row>
    <row r="265" spans="10:10" x14ac:dyDescent="0.4">
      <c r="J265" s="140"/>
    </row>
    <row r="266" spans="10:10" x14ac:dyDescent="0.4">
      <c r="J266" s="140"/>
    </row>
    <row r="267" spans="10:10" x14ac:dyDescent="0.4">
      <c r="J267" s="140"/>
    </row>
    <row r="268" spans="10:10" x14ac:dyDescent="0.4">
      <c r="J268" s="140"/>
    </row>
    <row r="269" spans="10:10" x14ac:dyDescent="0.4">
      <c r="J269" s="140"/>
    </row>
    <row r="270" spans="10:10" x14ac:dyDescent="0.4">
      <c r="J270" s="140"/>
    </row>
    <row r="271" spans="10:10" x14ac:dyDescent="0.4">
      <c r="J271" s="140"/>
    </row>
    <row r="272" spans="10:10" x14ac:dyDescent="0.4">
      <c r="J272" s="140"/>
    </row>
    <row r="273" spans="10:10" x14ac:dyDescent="0.4">
      <c r="J273" s="140"/>
    </row>
    <row r="274" spans="10:10" x14ac:dyDescent="0.4">
      <c r="J274" s="140"/>
    </row>
    <row r="275" spans="10:10" x14ac:dyDescent="0.4">
      <c r="J275" s="140"/>
    </row>
    <row r="276" spans="10:10" x14ac:dyDescent="0.4">
      <c r="J276" s="140"/>
    </row>
    <row r="277" spans="10:10" x14ac:dyDescent="0.4">
      <c r="J277" s="140"/>
    </row>
    <row r="278" spans="10:10" x14ac:dyDescent="0.4">
      <c r="J278" s="140"/>
    </row>
    <row r="279" spans="10:10" x14ac:dyDescent="0.4">
      <c r="J279" s="140"/>
    </row>
    <row r="280" spans="10:10" x14ac:dyDescent="0.4">
      <c r="J280" s="140"/>
    </row>
    <row r="281" spans="10:10" x14ac:dyDescent="0.4">
      <c r="J281" s="140"/>
    </row>
    <row r="282" spans="10:10" x14ac:dyDescent="0.4">
      <c r="J282" s="140"/>
    </row>
    <row r="283" spans="10:10" x14ac:dyDescent="0.4">
      <c r="J283" s="140"/>
    </row>
    <row r="284" spans="10:10" x14ac:dyDescent="0.4">
      <c r="J284" s="140"/>
    </row>
    <row r="285" spans="10:10" x14ac:dyDescent="0.4">
      <c r="J285" s="140"/>
    </row>
    <row r="286" spans="10:10" x14ac:dyDescent="0.4">
      <c r="J286" s="140"/>
    </row>
    <row r="287" spans="10:10" x14ac:dyDescent="0.4">
      <c r="J287" s="140"/>
    </row>
    <row r="288" spans="10:10" x14ac:dyDescent="0.4">
      <c r="J288" s="140"/>
    </row>
    <row r="289" spans="10:10" x14ac:dyDescent="0.4">
      <c r="J289" s="140"/>
    </row>
    <row r="290" spans="10:10" x14ac:dyDescent="0.4">
      <c r="J290" s="140"/>
    </row>
    <row r="291" spans="10:10" x14ac:dyDescent="0.4">
      <c r="J291" s="140"/>
    </row>
    <row r="292" spans="10:10" x14ac:dyDescent="0.4">
      <c r="J292" s="140"/>
    </row>
    <row r="293" spans="10:10" x14ac:dyDescent="0.4">
      <c r="J293" s="140"/>
    </row>
    <row r="294" spans="10:10" x14ac:dyDescent="0.4">
      <c r="J294" s="140"/>
    </row>
    <row r="295" spans="10:10" x14ac:dyDescent="0.4">
      <c r="J295" s="140"/>
    </row>
    <row r="296" spans="10:10" x14ac:dyDescent="0.4">
      <c r="J296" s="140"/>
    </row>
    <row r="297" spans="10:10" x14ac:dyDescent="0.4">
      <c r="J297" s="140"/>
    </row>
    <row r="298" spans="10:10" x14ac:dyDescent="0.4">
      <c r="J298" s="140"/>
    </row>
    <row r="299" spans="10:10" x14ac:dyDescent="0.4">
      <c r="J299" s="140"/>
    </row>
    <row r="300" spans="10:10" x14ac:dyDescent="0.4">
      <c r="J300" s="140"/>
    </row>
    <row r="301" spans="10:10" x14ac:dyDescent="0.4">
      <c r="J301" s="140"/>
    </row>
    <row r="302" spans="10:10" x14ac:dyDescent="0.4">
      <c r="J302" s="140"/>
    </row>
    <row r="303" spans="10:10" x14ac:dyDescent="0.4">
      <c r="J303" s="140"/>
    </row>
    <row r="304" spans="10:10" x14ac:dyDescent="0.4">
      <c r="J304" s="140"/>
    </row>
    <row r="305" spans="10:10" x14ac:dyDescent="0.4">
      <c r="J305" s="140"/>
    </row>
    <row r="306" spans="10:10" x14ac:dyDescent="0.4">
      <c r="J306" s="140"/>
    </row>
    <row r="307" spans="10:10" x14ac:dyDescent="0.4">
      <c r="J307" s="140"/>
    </row>
    <row r="308" spans="10:10" x14ac:dyDescent="0.4">
      <c r="J308" s="140"/>
    </row>
    <row r="309" spans="10:10" x14ac:dyDescent="0.4">
      <c r="J309" s="140"/>
    </row>
    <row r="310" spans="10:10" x14ac:dyDescent="0.4">
      <c r="J310" s="140"/>
    </row>
    <row r="311" spans="10:10" x14ac:dyDescent="0.4">
      <c r="J311" s="140"/>
    </row>
    <row r="312" spans="10:10" x14ac:dyDescent="0.4">
      <c r="J312" s="140"/>
    </row>
    <row r="313" spans="10:10" x14ac:dyDescent="0.4">
      <c r="J313" s="140"/>
    </row>
    <row r="314" spans="10:10" x14ac:dyDescent="0.4">
      <c r="J314" s="140"/>
    </row>
    <row r="315" spans="10:10" x14ac:dyDescent="0.4">
      <c r="J315" s="140"/>
    </row>
    <row r="316" spans="10:10" x14ac:dyDescent="0.4">
      <c r="J316" s="140"/>
    </row>
    <row r="317" spans="10:10" x14ac:dyDescent="0.4">
      <c r="J317" s="140"/>
    </row>
    <row r="318" spans="10:10" x14ac:dyDescent="0.4">
      <c r="J318" s="140"/>
    </row>
    <row r="319" spans="10:10" x14ac:dyDescent="0.4">
      <c r="J319" s="140"/>
    </row>
    <row r="320" spans="10:10" x14ac:dyDescent="0.4">
      <c r="J320" s="140"/>
    </row>
    <row r="321" spans="10:10" x14ac:dyDescent="0.4">
      <c r="J321" s="140"/>
    </row>
    <row r="322" spans="10:10" x14ac:dyDescent="0.4">
      <c r="J322" s="140"/>
    </row>
    <row r="323" spans="10:10" x14ac:dyDescent="0.4">
      <c r="J323" s="140"/>
    </row>
    <row r="324" spans="10:10" x14ac:dyDescent="0.4">
      <c r="J324" s="140"/>
    </row>
    <row r="325" spans="10:10" x14ac:dyDescent="0.4">
      <c r="J325" s="140"/>
    </row>
    <row r="326" spans="10:10" x14ac:dyDescent="0.4">
      <c r="J326" s="140"/>
    </row>
    <row r="327" spans="10:10" x14ac:dyDescent="0.4">
      <c r="J327" s="140"/>
    </row>
    <row r="328" spans="10:10" x14ac:dyDescent="0.4">
      <c r="J328" s="140"/>
    </row>
    <row r="329" spans="10:10" x14ac:dyDescent="0.4">
      <c r="J329" s="140"/>
    </row>
    <row r="330" spans="10:10" x14ac:dyDescent="0.4">
      <c r="J330" s="140"/>
    </row>
    <row r="331" spans="10:10" x14ac:dyDescent="0.4">
      <c r="J331" s="140"/>
    </row>
    <row r="332" spans="10:10" x14ac:dyDescent="0.4">
      <c r="J332" s="140"/>
    </row>
    <row r="333" spans="10:10" x14ac:dyDescent="0.4">
      <c r="J333" s="140"/>
    </row>
    <row r="334" spans="10:10" x14ac:dyDescent="0.4">
      <c r="J334" s="140"/>
    </row>
    <row r="335" spans="10:10" x14ac:dyDescent="0.4">
      <c r="J335" s="140"/>
    </row>
    <row r="336" spans="10:10" x14ac:dyDescent="0.4">
      <c r="J336" s="140"/>
    </row>
    <row r="337" spans="10:10" x14ac:dyDescent="0.4">
      <c r="J337" s="140"/>
    </row>
    <row r="338" spans="10:10" x14ac:dyDescent="0.4">
      <c r="J338" s="140"/>
    </row>
    <row r="339" spans="10:10" x14ac:dyDescent="0.4">
      <c r="J339" s="140"/>
    </row>
    <row r="340" spans="10:10" x14ac:dyDescent="0.4">
      <c r="J340" s="140"/>
    </row>
    <row r="341" spans="10:10" x14ac:dyDescent="0.4">
      <c r="J341" s="140"/>
    </row>
    <row r="342" spans="10:10" x14ac:dyDescent="0.4">
      <c r="J342" s="140"/>
    </row>
    <row r="343" spans="10:10" x14ac:dyDescent="0.4">
      <c r="J343" s="140"/>
    </row>
    <row r="344" spans="10:10" x14ac:dyDescent="0.4">
      <c r="J344" s="140"/>
    </row>
    <row r="345" spans="10:10" x14ac:dyDescent="0.4">
      <c r="J345" s="140"/>
    </row>
    <row r="346" spans="10:10" x14ac:dyDescent="0.4">
      <c r="J346" s="140"/>
    </row>
    <row r="347" spans="10:10" x14ac:dyDescent="0.4">
      <c r="J347" s="140"/>
    </row>
    <row r="348" spans="10:10" x14ac:dyDescent="0.4">
      <c r="J348" s="140"/>
    </row>
    <row r="349" spans="10:10" x14ac:dyDescent="0.4">
      <c r="J349" s="140"/>
    </row>
    <row r="350" spans="10:10" x14ac:dyDescent="0.4">
      <c r="J350" s="140"/>
    </row>
    <row r="351" spans="10:10" x14ac:dyDescent="0.4">
      <c r="J351" s="140"/>
    </row>
    <row r="352" spans="10:10" x14ac:dyDescent="0.4">
      <c r="J352" s="140"/>
    </row>
    <row r="353" spans="10:10" x14ac:dyDescent="0.4">
      <c r="J353" s="140"/>
    </row>
    <row r="354" spans="10:10" x14ac:dyDescent="0.4">
      <c r="J354" s="140"/>
    </row>
    <row r="355" spans="10:10" x14ac:dyDescent="0.4">
      <c r="J355" s="140"/>
    </row>
    <row r="356" spans="10:10" x14ac:dyDescent="0.4">
      <c r="J356" s="140"/>
    </row>
    <row r="357" spans="10:10" x14ac:dyDescent="0.4">
      <c r="J357" s="140"/>
    </row>
    <row r="358" spans="10:10" x14ac:dyDescent="0.4">
      <c r="J358" s="140"/>
    </row>
    <row r="359" spans="10:10" x14ac:dyDescent="0.4">
      <c r="J359" s="140"/>
    </row>
    <row r="360" spans="10:10" x14ac:dyDescent="0.4">
      <c r="J360" s="140"/>
    </row>
    <row r="361" spans="10:10" x14ac:dyDescent="0.4">
      <c r="J361" s="140"/>
    </row>
    <row r="362" spans="10:10" x14ac:dyDescent="0.4">
      <c r="J362" s="140"/>
    </row>
    <row r="363" spans="10:10" x14ac:dyDescent="0.4">
      <c r="J363" s="140"/>
    </row>
    <row r="364" spans="10:10" x14ac:dyDescent="0.4">
      <c r="J364" s="140"/>
    </row>
    <row r="365" spans="10:10" x14ac:dyDescent="0.4">
      <c r="J365" s="140"/>
    </row>
    <row r="366" spans="10:10" x14ac:dyDescent="0.4">
      <c r="J366" s="140"/>
    </row>
    <row r="367" spans="10:10" x14ac:dyDescent="0.4">
      <c r="J367" s="140"/>
    </row>
    <row r="368" spans="10:10" x14ac:dyDescent="0.4">
      <c r="J368" s="140"/>
    </row>
    <row r="369" spans="10:10" x14ac:dyDescent="0.4">
      <c r="J369" s="140"/>
    </row>
    <row r="370" spans="10:10" x14ac:dyDescent="0.4">
      <c r="J370" s="140"/>
    </row>
    <row r="371" spans="10:10" x14ac:dyDescent="0.4">
      <c r="J371" s="140"/>
    </row>
    <row r="372" spans="10:10" x14ac:dyDescent="0.4">
      <c r="J372" s="140"/>
    </row>
    <row r="373" spans="10:10" x14ac:dyDescent="0.4">
      <c r="J373" s="140"/>
    </row>
    <row r="374" spans="10:10" x14ac:dyDescent="0.4">
      <c r="J374" s="140"/>
    </row>
    <row r="375" spans="10:10" x14ac:dyDescent="0.4">
      <c r="J375" s="140"/>
    </row>
    <row r="376" spans="10:10" x14ac:dyDescent="0.4">
      <c r="J376" s="140"/>
    </row>
    <row r="377" spans="10:10" x14ac:dyDescent="0.4">
      <c r="J377" s="140"/>
    </row>
    <row r="378" spans="10:10" x14ac:dyDescent="0.4">
      <c r="J378" s="140"/>
    </row>
    <row r="379" spans="10:10" x14ac:dyDescent="0.4">
      <c r="J379" s="140"/>
    </row>
    <row r="380" spans="10:10" x14ac:dyDescent="0.4">
      <c r="J380" s="140"/>
    </row>
    <row r="381" spans="10:10" x14ac:dyDescent="0.4">
      <c r="J381" s="140"/>
    </row>
    <row r="382" spans="10:10" x14ac:dyDescent="0.4">
      <c r="J382" s="140"/>
    </row>
    <row r="383" spans="10:10" x14ac:dyDescent="0.4">
      <c r="J383" s="140"/>
    </row>
    <row r="384" spans="10:10" x14ac:dyDescent="0.4">
      <c r="J384" s="140"/>
    </row>
    <row r="385" spans="10:10" x14ac:dyDescent="0.4">
      <c r="J385" s="140"/>
    </row>
    <row r="386" spans="10:10" x14ac:dyDescent="0.4">
      <c r="J386" s="140"/>
    </row>
    <row r="387" spans="10:10" x14ac:dyDescent="0.4">
      <c r="J387" s="140"/>
    </row>
    <row r="388" spans="10:10" x14ac:dyDescent="0.4">
      <c r="J388" s="140"/>
    </row>
    <row r="389" spans="10:10" x14ac:dyDescent="0.4">
      <c r="J389" s="140"/>
    </row>
    <row r="390" spans="10:10" x14ac:dyDescent="0.4">
      <c r="J390" s="140"/>
    </row>
    <row r="391" spans="10:10" x14ac:dyDescent="0.4">
      <c r="J391" s="140"/>
    </row>
    <row r="392" spans="10:10" x14ac:dyDescent="0.4">
      <c r="J392" s="140"/>
    </row>
    <row r="393" spans="10:10" x14ac:dyDescent="0.4">
      <c r="J393" s="140"/>
    </row>
    <row r="394" spans="10:10" x14ac:dyDescent="0.4">
      <c r="J394" s="140"/>
    </row>
    <row r="395" spans="10:10" x14ac:dyDescent="0.4">
      <c r="J395" s="140"/>
    </row>
    <row r="396" spans="10:10" x14ac:dyDescent="0.4">
      <c r="J396" s="140"/>
    </row>
    <row r="397" spans="10:10" x14ac:dyDescent="0.4">
      <c r="J397" s="140"/>
    </row>
    <row r="398" spans="10:10" x14ac:dyDescent="0.4">
      <c r="J398" s="140"/>
    </row>
    <row r="399" spans="10:10" x14ac:dyDescent="0.4">
      <c r="J399" s="140"/>
    </row>
    <row r="400" spans="10:10" x14ac:dyDescent="0.4">
      <c r="J400" s="140"/>
    </row>
    <row r="401" spans="10:10" x14ac:dyDescent="0.4">
      <c r="J401" s="140"/>
    </row>
    <row r="402" spans="10:10" x14ac:dyDescent="0.4">
      <c r="J402" s="140"/>
    </row>
    <row r="403" spans="10:10" x14ac:dyDescent="0.4">
      <c r="J403" s="140"/>
    </row>
    <row r="404" spans="10:10" x14ac:dyDescent="0.4">
      <c r="J404" s="140"/>
    </row>
    <row r="405" spans="10:10" x14ac:dyDescent="0.4">
      <c r="J405" s="140"/>
    </row>
    <row r="406" spans="10:10" x14ac:dyDescent="0.4">
      <c r="J406" s="140"/>
    </row>
    <row r="407" spans="10:10" x14ac:dyDescent="0.4">
      <c r="J407" s="140"/>
    </row>
    <row r="408" spans="10:10" x14ac:dyDescent="0.4">
      <c r="J408" s="140"/>
    </row>
    <row r="409" spans="10:10" x14ac:dyDescent="0.4">
      <c r="J409" s="140"/>
    </row>
    <row r="410" spans="10:10" x14ac:dyDescent="0.4">
      <c r="J410" s="140"/>
    </row>
    <row r="411" spans="10:10" x14ac:dyDescent="0.4">
      <c r="J411" s="140"/>
    </row>
    <row r="412" spans="10:10" x14ac:dyDescent="0.4">
      <c r="J412" s="140"/>
    </row>
    <row r="413" spans="10:10" x14ac:dyDescent="0.4">
      <c r="J413" s="140"/>
    </row>
    <row r="414" spans="10:10" x14ac:dyDescent="0.4">
      <c r="J414" s="140"/>
    </row>
    <row r="415" spans="10:10" x14ac:dyDescent="0.4">
      <c r="J415" s="140"/>
    </row>
    <row r="416" spans="10:10" x14ac:dyDescent="0.4">
      <c r="J416" s="140"/>
    </row>
    <row r="417" spans="10:10" x14ac:dyDescent="0.4">
      <c r="J417" s="140"/>
    </row>
    <row r="418" spans="10:10" x14ac:dyDescent="0.4">
      <c r="J418" s="140"/>
    </row>
    <row r="419" spans="10:10" x14ac:dyDescent="0.4">
      <c r="J419" s="140"/>
    </row>
    <row r="420" spans="10:10" x14ac:dyDescent="0.4">
      <c r="J420" s="140"/>
    </row>
    <row r="421" spans="10:10" x14ac:dyDescent="0.4">
      <c r="J421" s="140"/>
    </row>
    <row r="422" spans="10:10" x14ac:dyDescent="0.4">
      <c r="J422" s="140"/>
    </row>
    <row r="423" spans="10:10" x14ac:dyDescent="0.4">
      <c r="J423" s="140"/>
    </row>
    <row r="424" spans="10:10" x14ac:dyDescent="0.4">
      <c r="J424" s="140"/>
    </row>
    <row r="425" spans="10:10" x14ac:dyDescent="0.4">
      <c r="J425" s="140"/>
    </row>
    <row r="426" spans="10:10" x14ac:dyDescent="0.4">
      <c r="J426" s="140"/>
    </row>
    <row r="427" spans="10:10" x14ac:dyDescent="0.4">
      <c r="J427" s="140"/>
    </row>
    <row r="428" spans="10:10" x14ac:dyDescent="0.4">
      <c r="J428" s="140"/>
    </row>
    <row r="429" spans="10:10" x14ac:dyDescent="0.4">
      <c r="J429" s="140"/>
    </row>
    <row r="430" spans="10:10" x14ac:dyDescent="0.4">
      <c r="J430" s="140"/>
    </row>
    <row r="431" spans="10:10" x14ac:dyDescent="0.4">
      <c r="J431" s="140"/>
    </row>
    <row r="432" spans="10:10" x14ac:dyDescent="0.4">
      <c r="J432" s="140"/>
    </row>
    <row r="433" spans="10:10" x14ac:dyDescent="0.4">
      <c r="J433" s="140"/>
    </row>
    <row r="434" spans="10:10" x14ac:dyDescent="0.4">
      <c r="J434" s="140"/>
    </row>
    <row r="435" spans="10:10" x14ac:dyDescent="0.4">
      <c r="J435" s="140"/>
    </row>
    <row r="436" spans="10:10" x14ac:dyDescent="0.4">
      <c r="J436" s="140"/>
    </row>
    <row r="437" spans="10:10" x14ac:dyDescent="0.4">
      <c r="J437" s="140"/>
    </row>
    <row r="438" spans="10:10" x14ac:dyDescent="0.4">
      <c r="J438" s="140"/>
    </row>
    <row r="439" spans="10:10" x14ac:dyDescent="0.4">
      <c r="J439" s="140"/>
    </row>
    <row r="440" spans="10:10" x14ac:dyDescent="0.4">
      <c r="J440" s="140"/>
    </row>
    <row r="441" spans="10:10" x14ac:dyDescent="0.4">
      <c r="J441" s="140"/>
    </row>
    <row r="442" spans="10:10" x14ac:dyDescent="0.4">
      <c r="J442" s="140"/>
    </row>
    <row r="443" spans="10:10" x14ac:dyDescent="0.4">
      <c r="J443" s="140"/>
    </row>
    <row r="444" spans="10:10" x14ac:dyDescent="0.4">
      <c r="J444" s="140"/>
    </row>
    <row r="445" spans="10:10" x14ac:dyDescent="0.4">
      <c r="J445" s="140"/>
    </row>
    <row r="446" spans="10:10" x14ac:dyDescent="0.4">
      <c r="J446" s="140"/>
    </row>
    <row r="447" spans="10:10" x14ac:dyDescent="0.4">
      <c r="J447" s="140"/>
    </row>
    <row r="448" spans="10:10" x14ac:dyDescent="0.4">
      <c r="J448" s="140"/>
    </row>
    <row r="449" spans="10:10" x14ac:dyDescent="0.4">
      <c r="J449" s="140"/>
    </row>
    <row r="450" spans="10:10" x14ac:dyDescent="0.4">
      <c r="J450" s="140"/>
    </row>
    <row r="451" spans="10:10" x14ac:dyDescent="0.4">
      <c r="J451" s="140"/>
    </row>
    <row r="452" spans="10:10" x14ac:dyDescent="0.4">
      <c r="J452" s="140"/>
    </row>
    <row r="453" spans="10:10" x14ac:dyDescent="0.4">
      <c r="J453" s="140"/>
    </row>
    <row r="454" spans="10:10" x14ac:dyDescent="0.4">
      <c r="J454" s="140"/>
    </row>
    <row r="455" spans="10:10" x14ac:dyDescent="0.4">
      <c r="J455" s="140"/>
    </row>
    <row r="456" spans="10:10" x14ac:dyDescent="0.4">
      <c r="J456" s="140"/>
    </row>
    <row r="457" spans="10:10" x14ac:dyDescent="0.4">
      <c r="J457" s="140"/>
    </row>
    <row r="458" spans="10:10" x14ac:dyDescent="0.4">
      <c r="J458" s="140"/>
    </row>
    <row r="459" spans="10:10" x14ac:dyDescent="0.4">
      <c r="J459" s="140"/>
    </row>
    <row r="460" spans="10:10" x14ac:dyDescent="0.4">
      <c r="J460" s="140"/>
    </row>
    <row r="461" spans="10:10" x14ac:dyDescent="0.4">
      <c r="J461" s="140"/>
    </row>
    <row r="462" spans="10:10" x14ac:dyDescent="0.4">
      <c r="J462" s="140"/>
    </row>
    <row r="463" spans="10:10" x14ac:dyDescent="0.4">
      <c r="J463" s="140"/>
    </row>
    <row r="464" spans="10:10" x14ac:dyDescent="0.4">
      <c r="J464" s="140"/>
    </row>
    <row r="465" spans="10:10" x14ac:dyDescent="0.4">
      <c r="J465" s="140"/>
    </row>
    <row r="466" spans="10:10" x14ac:dyDescent="0.4">
      <c r="J466" s="140"/>
    </row>
    <row r="467" spans="10:10" x14ac:dyDescent="0.4">
      <c r="J467" s="140"/>
    </row>
    <row r="468" spans="10:10" x14ac:dyDescent="0.4">
      <c r="J468" s="140"/>
    </row>
    <row r="469" spans="10:10" x14ac:dyDescent="0.4">
      <c r="J469" s="140"/>
    </row>
    <row r="470" spans="10:10" x14ac:dyDescent="0.4">
      <c r="J470" s="140"/>
    </row>
    <row r="471" spans="10:10" x14ac:dyDescent="0.4">
      <c r="J471" s="140"/>
    </row>
    <row r="472" spans="10:10" x14ac:dyDescent="0.4">
      <c r="J472" s="140"/>
    </row>
    <row r="473" spans="10:10" x14ac:dyDescent="0.4">
      <c r="J473" s="140"/>
    </row>
    <row r="474" spans="10:10" x14ac:dyDescent="0.4">
      <c r="J474" s="140"/>
    </row>
    <row r="475" spans="10:10" x14ac:dyDescent="0.4">
      <c r="J475" s="140"/>
    </row>
    <row r="476" spans="10:10" x14ac:dyDescent="0.4">
      <c r="J476" s="140"/>
    </row>
    <row r="477" spans="10:10" x14ac:dyDescent="0.4">
      <c r="J477" s="140"/>
    </row>
    <row r="478" spans="10:10" x14ac:dyDescent="0.4">
      <c r="J478" s="140"/>
    </row>
    <row r="479" spans="10:10" x14ac:dyDescent="0.4">
      <c r="J479" s="140"/>
    </row>
    <row r="480" spans="10:10" x14ac:dyDescent="0.4">
      <c r="J480" s="140"/>
    </row>
    <row r="481" spans="10:10" x14ac:dyDescent="0.4">
      <c r="J481" s="140"/>
    </row>
    <row r="482" spans="10:10" x14ac:dyDescent="0.4">
      <c r="J482" s="140"/>
    </row>
    <row r="483" spans="10:10" x14ac:dyDescent="0.4">
      <c r="J483" s="140"/>
    </row>
    <row r="484" spans="10:10" x14ac:dyDescent="0.4">
      <c r="J484" s="140"/>
    </row>
    <row r="485" spans="10:10" x14ac:dyDescent="0.4">
      <c r="J485" s="140"/>
    </row>
    <row r="486" spans="10:10" x14ac:dyDescent="0.4">
      <c r="J486" s="140"/>
    </row>
    <row r="487" spans="10:10" x14ac:dyDescent="0.4">
      <c r="J487" s="140"/>
    </row>
    <row r="488" spans="10:10" x14ac:dyDescent="0.4">
      <c r="J488" s="140"/>
    </row>
    <row r="489" spans="10:10" x14ac:dyDescent="0.4">
      <c r="J489" s="140"/>
    </row>
    <row r="490" spans="10:10" x14ac:dyDescent="0.4">
      <c r="J490" s="140"/>
    </row>
    <row r="491" spans="10:10" x14ac:dyDescent="0.4">
      <c r="J491" s="140"/>
    </row>
    <row r="492" spans="10:10" x14ac:dyDescent="0.4">
      <c r="J492" s="140"/>
    </row>
    <row r="493" spans="10:10" x14ac:dyDescent="0.4">
      <c r="J493" s="140"/>
    </row>
    <row r="494" spans="10:10" x14ac:dyDescent="0.4">
      <c r="J494" s="140"/>
    </row>
    <row r="495" spans="10:10" x14ac:dyDescent="0.4">
      <c r="J495" s="140"/>
    </row>
    <row r="496" spans="10:10" x14ac:dyDescent="0.4">
      <c r="J496" s="140"/>
    </row>
    <row r="497" spans="10:10" x14ac:dyDescent="0.4">
      <c r="J497" s="140"/>
    </row>
    <row r="498" spans="10:10" x14ac:dyDescent="0.4">
      <c r="J498" s="140"/>
    </row>
    <row r="499" spans="10:10" x14ac:dyDescent="0.4">
      <c r="J499" s="140"/>
    </row>
    <row r="500" spans="10:10" x14ac:dyDescent="0.4">
      <c r="J500" s="140"/>
    </row>
    <row r="501" spans="10:10" x14ac:dyDescent="0.4">
      <c r="J501" s="140"/>
    </row>
    <row r="502" spans="10:10" x14ac:dyDescent="0.4">
      <c r="J502" s="140"/>
    </row>
    <row r="503" spans="10:10" x14ac:dyDescent="0.4">
      <c r="J503" s="140"/>
    </row>
    <row r="504" spans="10:10" x14ac:dyDescent="0.4">
      <c r="J504" s="140"/>
    </row>
    <row r="505" spans="10:10" x14ac:dyDescent="0.4">
      <c r="J505" s="140"/>
    </row>
    <row r="506" spans="10:10" x14ac:dyDescent="0.4">
      <c r="J506" s="140"/>
    </row>
    <row r="507" spans="10:10" x14ac:dyDescent="0.4">
      <c r="J507" s="140"/>
    </row>
    <row r="508" spans="10:10" x14ac:dyDescent="0.4">
      <c r="J508" s="140"/>
    </row>
    <row r="509" spans="10:10" x14ac:dyDescent="0.4">
      <c r="J509" s="140"/>
    </row>
    <row r="510" spans="10:10" x14ac:dyDescent="0.4">
      <c r="J510" s="140"/>
    </row>
    <row r="511" spans="10:10" x14ac:dyDescent="0.4">
      <c r="J511" s="140"/>
    </row>
    <row r="512" spans="10:10" x14ac:dyDescent="0.4">
      <c r="J512" s="140"/>
    </row>
    <row r="513" spans="10:10" x14ac:dyDescent="0.4">
      <c r="J513" s="140"/>
    </row>
    <row r="514" spans="10:10" x14ac:dyDescent="0.4">
      <c r="J514" s="140"/>
    </row>
    <row r="515" spans="10:10" x14ac:dyDescent="0.4">
      <c r="J515" s="140"/>
    </row>
    <row r="516" spans="10:10" x14ac:dyDescent="0.4">
      <c r="J516" s="140"/>
    </row>
    <row r="517" spans="10:10" x14ac:dyDescent="0.4">
      <c r="J517" s="140"/>
    </row>
    <row r="518" spans="10:10" x14ac:dyDescent="0.4">
      <c r="J518" s="140"/>
    </row>
    <row r="519" spans="10:10" x14ac:dyDescent="0.4">
      <c r="J519" s="140"/>
    </row>
    <row r="520" spans="10:10" x14ac:dyDescent="0.4">
      <c r="J520" s="140"/>
    </row>
    <row r="521" spans="10:10" x14ac:dyDescent="0.4">
      <c r="J521" s="140"/>
    </row>
    <row r="522" spans="10:10" x14ac:dyDescent="0.4">
      <c r="J522" s="140"/>
    </row>
    <row r="523" spans="10:10" x14ac:dyDescent="0.4">
      <c r="J523" s="140"/>
    </row>
    <row r="524" spans="10:10" x14ac:dyDescent="0.4">
      <c r="J524" s="140"/>
    </row>
    <row r="525" spans="10:10" x14ac:dyDescent="0.4">
      <c r="J525" s="140"/>
    </row>
    <row r="526" spans="10:10" x14ac:dyDescent="0.4">
      <c r="J526" s="140"/>
    </row>
    <row r="527" spans="10:10" x14ac:dyDescent="0.4">
      <c r="J527" s="140"/>
    </row>
    <row r="528" spans="10:10" x14ac:dyDescent="0.4">
      <c r="J528" s="140"/>
    </row>
    <row r="529" spans="10:10" x14ac:dyDescent="0.4">
      <c r="J529" s="140"/>
    </row>
    <row r="530" spans="10:10" x14ac:dyDescent="0.4">
      <c r="J530" s="140"/>
    </row>
    <row r="531" spans="10:10" x14ac:dyDescent="0.4">
      <c r="J531" s="140"/>
    </row>
    <row r="532" spans="10:10" x14ac:dyDescent="0.4">
      <c r="J532" s="140"/>
    </row>
    <row r="533" spans="10:10" x14ac:dyDescent="0.4">
      <c r="J533" s="140"/>
    </row>
    <row r="534" spans="10:10" x14ac:dyDescent="0.4">
      <c r="J534" s="140"/>
    </row>
    <row r="535" spans="10:10" x14ac:dyDescent="0.4">
      <c r="J535" s="140"/>
    </row>
    <row r="536" spans="10:10" x14ac:dyDescent="0.4">
      <c r="J536" s="140"/>
    </row>
    <row r="537" spans="10:10" x14ac:dyDescent="0.4">
      <c r="J537" s="140"/>
    </row>
    <row r="538" spans="10:10" x14ac:dyDescent="0.4">
      <c r="J538" s="140"/>
    </row>
    <row r="539" spans="10:10" x14ac:dyDescent="0.4">
      <c r="J539" s="140"/>
    </row>
    <row r="540" spans="10:10" x14ac:dyDescent="0.4">
      <c r="J540" s="140"/>
    </row>
    <row r="541" spans="10:10" x14ac:dyDescent="0.4">
      <c r="J541" s="140"/>
    </row>
    <row r="542" spans="10:10" x14ac:dyDescent="0.4">
      <c r="J542" s="140"/>
    </row>
    <row r="543" spans="10:10" x14ac:dyDescent="0.4">
      <c r="J543" s="140"/>
    </row>
    <row r="544" spans="10:10" x14ac:dyDescent="0.4">
      <c r="J544" s="140"/>
    </row>
    <row r="545" spans="10:10" x14ac:dyDescent="0.4">
      <c r="J545" s="140"/>
    </row>
    <row r="546" spans="10:10" x14ac:dyDescent="0.4">
      <c r="J546" s="140"/>
    </row>
    <row r="547" spans="10:10" x14ac:dyDescent="0.4">
      <c r="J547" s="140"/>
    </row>
    <row r="548" spans="10:10" x14ac:dyDescent="0.4">
      <c r="J548" s="140"/>
    </row>
    <row r="549" spans="10:10" x14ac:dyDescent="0.4">
      <c r="J549" s="140"/>
    </row>
    <row r="550" spans="10:10" x14ac:dyDescent="0.4">
      <c r="J550" s="140"/>
    </row>
    <row r="551" spans="10:10" x14ac:dyDescent="0.4">
      <c r="J551" s="140"/>
    </row>
    <row r="552" spans="10:10" x14ac:dyDescent="0.4">
      <c r="J552" s="140"/>
    </row>
    <row r="553" spans="10:10" x14ac:dyDescent="0.4">
      <c r="J553" s="140"/>
    </row>
    <row r="554" spans="10:10" x14ac:dyDescent="0.4">
      <c r="J554" s="140"/>
    </row>
    <row r="555" spans="10:10" x14ac:dyDescent="0.4">
      <c r="J555" s="140"/>
    </row>
    <row r="556" spans="10:10" x14ac:dyDescent="0.4">
      <c r="J556" s="140"/>
    </row>
    <row r="557" spans="10:10" x14ac:dyDescent="0.4">
      <c r="J557" s="140"/>
    </row>
    <row r="558" spans="10:10" x14ac:dyDescent="0.4">
      <c r="J558" s="140"/>
    </row>
    <row r="559" spans="10:10" x14ac:dyDescent="0.4">
      <c r="J559" s="140"/>
    </row>
    <row r="560" spans="10:10" x14ac:dyDescent="0.4">
      <c r="J560" s="140"/>
    </row>
    <row r="561" spans="10:10" x14ac:dyDescent="0.4">
      <c r="J561" s="140"/>
    </row>
    <row r="562" spans="10:10" x14ac:dyDescent="0.4">
      <c r="J562" s="140"/>
    </row>
    <row r="563" spans="10:10" x14ac:dyDescent="0.4">
      <c r="J563" s="140"/>
    </row>
    <row r="564" spans="10:10" x14ac:dyDescent="0.4">
      <c r="J564" s="140"/>
    </row>
    <row r="565" spans="10:10" x14ac:dyDescent="0.4">
      <c r="J565" s="140"/>
    </row>
    <row r="566" spans="10:10" x14ac:dyDescent="0.4">
      <c r="J566" s="140"/>
    </row>
    <row r="567" spans="10:10" x14ac:dyDescent="0.4">
      <c r="J567" s="140"/>
    </row>
    <row r="568" spans="10:10" x14ac:dyDescent="0.4">
      <c r="J568" s="140"/>
    </row>
    <row r="569" spans="10:10" x14ac:dyDescent="0.4">
      <c r="J569" s="140"/>
    </row>
    <row r="570" spans="10:10" x14ac:dyDescent="0.4">
      <c r="J570" s="140"/>
    </row>
    <row r="571" spans="10:10" x14ac:dyDescent="0.4">
      <c r="J571" s="140"/>
    </row>
    <row r="572" spans="10:10" x14ac:dyDescent="0.4">
      <c r="J572" s="140"/>
    </row>
    <row r="573" spans="10:10" x14ac:dyDescent="0.4">
      <c r="J573" s="140"/>
    </row>
    <row r="574" spans="10:10" x14ac:dyDescent="0.4">
      <c r="J574" s="140"/>
    </row>
    <row r="575" spans="10:10" x14ac:dyDescent="0.4">
      <c r="J575" s="140"/>
    </row>
    <row r="576" spans="10:10" x14ac:dyDescent="0.4">
      <c r="J576" s="140"/>
    </row>
    <row r="577" spans="10:10" x14ac:dyDescent="0.4">
      <c r="J577" s="140"/>
    </row>
    <row r="578" spans="10:10" x14ac:dyDescent="0.4">
      <c r="J578" s="140"/>
    </row>
    <row r="579" spans="10:10" x14ac:dyDescent="0.4">
      <c r="J579" s="140"/>
    </row>
    <row r="580" spans="10:10" x14ac:dyDescent="0.4">
      <c r="J580" s="140"/>
    </row>
    <row r="581" spans="10:10" x14ac:dyDescent="0.4">
      <c r="J581" s="140"/>
    </row>
    <row r="582" spans="10:10" x14ac:dyDescent="0.4">
      <c r="J582" s="140"/>
    </row>
    <row r="583" spans="10:10" x14ac:dyDescent="0.4">
      <c r="J583" s="140"/>
    </row>
    <row r="584" spans="10:10" x14ac:dyDescent="0.4">
      <c r="J584" s="140"/>
    </row>
    <row r="585" spans="10:10" x14ac:dyDescent="0.4">
      <c r="J585" s="140"/>
    </row>
    <row r="586" spans="10:10" x14ac:dyDescent="0.4">
      <c r="J586" s="140"/>
    </row>
    <row r="587" spans="10:10" x14ac:dyDescent="0.4">
      <c r="J587" s="140"/>
    </row>
    <row r="588" spans="10:10" x14ac:dyDescent="0.4">
      <c r="J588" s="140"/>
    </row>
    <row r="589" spans="10:10" x14ac:dyDescent="0.4">
      <c r="J589" s="140"/>
    </row>
    <row r="590" spans="10:10" x14ac:dyDescent="0.4">
      <c r="J590" s="140"/>
    </row>
    <row r="591" spans="10:10" x14ac:dyDescent="0.4">
      <c r="J591" s="140"/>
    </row>
    <row r="592" spans="10:10" x14ac:dyDescent="0.4">
      <c r="J592" s="140"/>
    </row>
    <row r="593" spans="10:10" x14ac:dyDescent="0.4">
      <c r="J593" s="140"/>
    </row>
    <row r="594" spans="10:10" x14ac:dyDescent="0.4">
      <c r="J594" s="140"/>
    </row>
    <row r="595" spans="10:10" x14ac:dyDescent="0.4">
      <c r="J595" s="140"/>
    </row>
    <row r="596" spans="10:10" x14ac:dyDescent="0.4">
      <c r="J596" s="140"/>
    </row>
    <row r="597" spans="10:10" x14ac:dyDescent="0.4">
      <c r="J597" s="140"/>
    </row>
    <row r="598" spans="10:10" x14ac:dyDescent="0.4">
      <c r="J598" s="140"/>
    </row>
    <row r="599" spans="10:10" x14ac:dyDescent="0.4">
      <c r="J599" s="140"/>
    </row>
    <row r="600" spans="10:10" x14ac:dyDescent="0.4">
      <c r="J600" s="140"/>
    </row>
    <row r="601" spans="10:10" x14ac:dyDescent="0.4">
      <c r="J601" s="140"/>
    </row>
    <row r="602" spans="10:10" x14ac:dyDescent="0.4">
      <c r="J602" s="140"/>
    </row>
    <row r="603" spans="10:10" x14ac:dyDescent="0.4">
      <c r="J603" s="140"/>
    </row>
    <row r="604" spans="10:10" x14ac:dyDescent="0.4">
      <c r="J604" s="140"/>
    </row>
    <row r="605" spans="10:10" x14ac:dyDescent="0.4">
      <c r="J605" s="140"/>
    </row>
    <row r="606" spans="10:10" x14ac:dyDescent="0.4">
      <c r="J606" s="140"/>
    </row>
    <row r="607" spans="10:10" x14ac:dyDescent="0.4">
      <c r="J607" s="140"/>
    </row>
    <row r="608" spans="10:10" x14ac:dyDescent="0.4">
      <c r="J608" s="140"/>
    </row>
    <row r="609" spans="10:10" x14ac:dyDescent="0.4">
      <c r="J609" s="140"/>
    </row>
    <row r="610" spans="10:10" x14ac:dyDescent="0.4">
      <c r="J610" s="140"/>
    </row>
    <row r="611" spans="10:10" x14ac:dyDescent="0.4">
      <c r="J611" s="140"/>
    </row>
    <row r="612" spans="10:10" x14ac:dyDescent="0.4">
      <c r="J612" s="140"/>
    </row>
    <row r="613" spans="10:10" x14ac:dyDescent="0.4">
      <c r="J613" s="140"/>
    </row>
    <row r="614" spans="10:10" x14ac:dyDescent="0.4">
      <c r="J614" s="140"/>
    </row>
    <row r="615" spans="10:10" x14ac:dyDescent="0.4">
      <c r="J615" s="140"/>
    </row>
    <row r="616" spans="10:10" x14ac:dyDescent="0.4">
      <c r="J616" s="140"/>
    </row>
    <row r="617" spans="10:10" x14ac:dyDescent="0.4">
      <c r="J617" s="140"/>
    </row>
    <row r="618" spans="10:10" x14ac:dyDescent="0.4">
      <c r="J618" s="140"/>
    </row>
    <row r="619" spans="10:10" x14ac:dyDescent="0.4">
      <c r="J619" s="140"/>
    </row>
    <row r="620" spans="10:10" x14ac:dyDescent="0.4">
      <c r="J620" s="140"/>
    </row>
    <row r="621" spans="10:10" x14ac:dyDescent="0.4">
      <c r="J621" s="140"/>
    </row>
    <row r="622" spans="10:10" x14ac:dyDescent="0.4">
      <c r="J622" s="140"/>
    </row>
    <row r="623" spans="10:10" x14ac:dyDescent="0.4">
      <c r="J623" s="140"/>
    </row>
    <row r="624" spans="10:10" x14ac:dyDescent="0.4">
      <c r="J624" s="140"/>
    </row>
    <row r="625" spans="10:10" x14ac:dyDescent="0.4">
      <c r="J625" s="140"/>
    </row>
    <row r="626" spans="10:10" x14ac:dyDescent="0.4">
      <c r="J626" s="140"/>
    </row>
    <row r="627" spans="10:10" x14ac:dyDescent="0.4">
      <c r="J627" s="140"/>
    </row>
    <row r="628" spans="10:10" x14ac:dyDescent="0.4">
      <c r="J628" s="140"/>
    </row>
    <row r="629" spans="10:10" x14ac:dyDescent="0.4">
      <c r="J629" s="140"/>
    </row>
    <row r="630" spans="10:10" x14ac:dyDescent="0.4">
      <c r="J630" s="140"/>
    </row>
    <row r="631" spans="10:10" x14ac:dyDescent="0.4">
      <c r="J631" s="140"/>
    </row>
    <row r="632" spans="10:10" x14ac:dyDescent="0.4">
      <c r="J632" s="140"/>
    </row>
    <row r="633" spans="10:10" x14ac:dyDescent="0.4">
      <c r="J633" s="140"/>
    </row>
    <row r="634" spans="10:10" x14ac:dyDescent="0.4">
      <c r="J634" s="140"/>
    </row>
    <row r="635" spans="10:10" x14ac:dyDescent="0.4">
      <c r="J635" s="140"/>
    </row>
    <row r="636" spans="10:10" x14ac:dyDescent="0.4">
      <c r="J636" s="140"/>
    </row>
    <row r="637" spans="10:10" x14ac:dyDescent="0.4">
      <c r="J637" s="140"/>
    </row>
    <row r="638" spans="10:10" x14ac:dyDescent="0.4">
      <c r="J638" s="140"/>
    </row>
    <row r="639" spans="10:10" x14ac:dyDescent="0.4">
      <c r="J639" s="140"/>
    </row>
    <row r="640" spans="10:10" x14ac:dyDescent="0.4">
      <c r="J640" s="140"/>
    </row>
    <row r="641" spans="10:10" x14ac:dyDescent="0.4">
      <c r="J641" s="140"/>
    </row>
    <row r="642" spans="10:10" x14ac:dyDescent="0.4">
      <c r="J642" s="140"/>
    </row>
    <row r="643" spans="10:10" x14ac:dyDescent="0.4">
      <c r="J643" s="140"/>
    </row>
    <row r="644" spans="10:10" x14ac:dyDescent="0.4">
      <c r="J644" s="140"/>
    </row>
    <row r="645" spans="10:10" x14ac:dyDescent="0.4">
      <c r="J645" s="140"/>
    </row>
    <row r="646" spans="10:10" x14ac:dyDescent="0.4">
      <c r="J646" s="140"/>
    </row>
    <row r="647" spans="10:10" x14ac:dyDescent="0.4">
      <c r="J647" s="140"/>
    </row>
    <row r="648" spans="10:10" x14ac:dyDescent="0.4">
      <c r="J648" s="140"/>
    </row>
    <row r="649" spans="10:10" x14ac:dyDescent="0.4">
      <c r="J649" s="140"/>
    </row>
    <row r="650" spans="10:10" x14ac:dyDescent="0.4">
      <c r="J650" s="140"/>
    </row>
    <row r="651" spans="10:10" x14ac:dyDescent="0.4">
      <c r="J651" s="140"/>
    </row>
    <row r="652" spans="10:10" x14ac:dyDescent="0.4">
      <c r="J652" s="140"/>
    </row>
    <row r="653" spans="10:10" x14ac:dyDescent="0.4">
      <c r="J653" s="140"/>
    </row>
    <row r="654" spans="10:10" x14ac:dyDescent="0.4">
      <c r="J654" s="140"/>
    </row>
    <row r="655" spans="10:10" x14ac:dyDescent="0.4">
      <c r="J655" s="140"/>
    </row>
    <row r="656" spans="10:10" x14ac:dyDescent="0.4">
      <c r="J656" s="140"/>
    </row>
    <row r="657" spans="10:10" x14ac:dyDescent="0.4">
      <c r="J657" s="140"/>
    </row>
    <row r="658" spans="10:10" x14ac:dyDescent="0.4">
      <c r="J658" s="140"/>
    </row>
    <row r="659" spans="10:10" x14ac:dyDescent="0.4">
      <c r="J659" s="140"/>
    </row>
    <row r="660" spans="10:10" x14ac:dyDescent="0.4">
      <c r="J660" s="140"/>
    </row>
    <row r="661" spans="10:10" x14ac:dyDescent="0.4">
      <c r="J661" s="140"/>
    </row>
    <row r="662" spans="10:10" x14ac:dyDescent="0.4">
      <c r="J662" s="140"/>
    </row>
    <row r="663" spans="10:10" x14ac:dyDescent="0.4">
      <c r="J663" s="140"/>
    </row>
    <row r="664" spans="10:10" x14ac:dyDescent="0.4">
      <c r="J664" s="140"/>
    </row>
    <row r="665" spans="10:10" x14ac:dyDescent="0.4">
      <c r="J665" s="140"/>
    </row>
    <row r="666" spans="10:10" x14ac:dyDescent="0.4">
      <c r="J666" s="140"/>
    </row>
    <row r="667" spans="10:10" x14ac:dyDescent="0.4">
      <c r="J667" s="140"/>
    </row>
    <row r="668" spans="10:10" x14ac:dyDescent="0.4">
      <c r="J668" s="140"/>
    </row>
    <row r="669" spans="10:10" x14ac:dyDescent="0.4">
      <c r="J669" s="140"/>
    </row>
    <row r="670" spans="10:10" x14ac:dyDescent="0.4">
      <c r="J670" s="140"/>
    </row>
    <row r="671" spans="10:10" x14ac:dyDescent="0.4">
      <c r="J671" s="140"/>
    </row>
    <row r="672" spans="10:10" x14ac:dyDescent="0.4">
      <c r="J672" s="140"/>
    </row>
    <row r="673" spans="10:10" x14ac:dyDescent="0.4">
      <c r="J673" s="140"/>
    </row>
    <row r="674" spans="10:10" x14ac:dyDescent="0.4">
      <c r="J674" s="140"/>
    </row>
    <row r="675" spans="10:10" x14ac:dyDescent="0.4">
      <c r="J675" s="140"/>
    </row>
    <row r="676" spans="10:10" x14ac:dyDescent="0.4">
      <c r="J676" s="140"/>
    </row>
    <row r="677" spans="10:10" x14ac:dyDescent="0.4">
      <c r="J677" s="140"/>
    </row>
    <row r="678" spans="10:10" x14ac:dyDescent="0.4">
      <c r="J678" s="140"/>
    </row>
    <row r="679" spans="10:10" x14ac:dyDescent="0.4">
      <c r="J679" s="140"/>
    </row>
    <row r="680" spans="10:10" x14ac:dyDescent="0.4">
      <c r="J680" s="140"/>
    </row>
    <row r="681" spans="10:10" x14ac:dyDescent="0.4">
      <c r="J681" s="140"/>
    </row>
    <row r="682" spans="10:10" x14ac:dyDescent="0.4">
      <c r="J682" s="140"/>
    </row>
    <row r="683" spans="10:10" x14ac:dyDescent="0.4">
      <c r="J683" s="140"/>
    </row>
    <row r="684" spans="10:10" x14ac:dyDescent="0.4">
      <c r="J684" s="140"/>
    </row>
    <row r="685" spans="10:10" x14ac:dyDescent="0.4">
      <c r="J685" s="140"/>
    </row>
    <row r="686" spans="10:10" x14ac:dyDescent="0.4">
      <c r="J686" s="140"/>
    </row>
    <row r="687" spans="10:10" x14ac:dyDescent="0.4">
      <c r="J687" s="140"/>
    </row>
    <row r="688" spans="10:10" x14ac:dyDescent="0.4">
      <c r="J688" s="140"/>
    </row>
    <row r="689" spans="10:10" x14ac:dyDescent="0.4">
      <c r="J689" s="140"/>
    </row>
    <row r="690" spans="10:10" x14ac:dyDescent="0.4">
      <c r="J690" s="140"/>
    </row>
    <row r="691" spans="10:10" x14ac:dyDescent="0.4">
      <c r="J691" s="140"/>
    </row>
    <row r="692" spans="10:10" x14ac:dyDescent="0.4">
      <c r="J692" s="140"/>
    </row>
    <row r="693" spans="10:10" x14ac:dyDescent="0.4">
      <c r="J693" s="140"/>
    </row>
    <row r="694" spans="10:10" x14ac:dyDescent="0.4">
      <c r="J694" s="140"/>
    </row>
    <row r="695" spans="10:10" x14ac:dyDescent="0.4">
      <c r="J695" s="140"/>
    </row>
    <row r="696" spans="10:10" x14ac:dyDescent="0.4">
      <c r="J696" s="140"/>
    </row>
    <row r="697" spans="10:10" x14ac:dyDescent="0.4">
      <c r="J697" s="140"/>
    </row>
    <row r="698" spans="10:10" x14ac:dyDescent="0.4">
      <c r="J698" s="140"/>
    </row>
    <row r="699" spans="10:10" x14ac:dyDescent="0.4">
      <c r="J699" s="140"/>
    </row>
    <row r="700" spans="10:10" x14ac:dyDescent="0.4">
      <c r="J700" s="140"/>
    </row>
    <row r="701" spans="10:10" x14ac:dyDescent="0.4">
      <c r="J701" s="140"/>
    </row>
    <row r="702" spans="10:10" x14ac:dyDescent="0.4">
      <c r="J702" s="140"/>
    </row>
    <row r="703" spans="10:10" x14ac:dyDescent="0.4">
      <c r="J703" s="140"/>
    </row>
    <row r="704" spans="10:10" x14ac:dyDescent="0.4">
      <c r="J704" s="140"/>
    </row>
    <row r="705" spans="10:10" x14ac:dyDescent="0.4">
      <c r="J705" s="140"/>
    </row>
    <row r="706" spans="10:10" x14ac:dyDescent="0.4">
      <c r="J706" s="140"/>
    </row>
    <row r="707" spans="10:10" x14ac:dyDescent="0.4">
      <c r="J707" s="140"/>
    </row>
    <row r="708" spans="10:10" x14ac:dyDescent="0.4">
      <c r="J708" s="140"/>
    </row>
    <row r="709" spans="10:10" x14ac:dyDescent="0.4">
      <c r="J709" s="140"/>
    </row>
    <row r="710" spans="10:10" x14ac:dyDescent="0.4">
      <c r="J710" s="140"/>
    </row>
    <row r="711" spans="10:10" x14ac:dyDescent="0.4">
      <c r="J711" s="140"/>
    </row>
    <row r="712" spans="10:10" x14ac:dyDescent="0.4">
      <c r="J712" s="140"/>
    </row>
    <row r="713" spans="10:10" x14ac:dyDescent="0.4">
      <c r="J713" s="140"/>
    </row>
    <row r="714" spans="10:10" x14ac:dyDescent="0.4">
      <c r="J714" s="140"/>
    </row>
    <row r="715" spans="10:10" x14ac:dyDescent="0.4">
      <c r="J715" s="140"/>
    </row>
    <row r="716" spans="10:10" x14ac:dyDescent="0.4">
      <c r="J716" s="140"/>
    </row>
    <row r="717" spans="10:10" x14ac:dyDescent="0.4">
      <c r="J717" s="140"/>
    </row>
    <row r="718" spans="10:10" x14ac:dyDescent="0.4">
      <c r="J718" s="140"/>
    </row>
    <row r="719" spans="10:10" x14ac:dyDescent="0.4">
      <c r="J719" s="140"/>
    </row>
    <row r="720" spans="10:10" x14ac:dyDescent="0.4">
      <c r="J720" s="140"/>
    </row>
    <row r="721" spans="10:10" x14ac:dyDescent="0.4">
      <c r="J721" s="140"/>
    </row>
    <row r="722" spans="10:10" x14ac:dyDescent="0.4">
      <c r="J722" s="140"/>
    </row>
    <row r="723" spans="10:10" x14ac:dyDescent="0.4">
      <c r="J723" s="140"/>
    </row>
    <row r="724" spans="10:10" x14ac:dyDescent="0.4">
      <c r="J724" s="140"/>
    </row>
    <row r="725" spans="10:10" x14ac:dyDescent="0.4">
      <c r="J725" s="140"/>
    </row>
    <row r="726" spans="10:10" x14ac:dyDescent="0.4">
      <c r="J726" s="140"/>
    </row>
    <row r="727" spans="10:10" x14ac:dyDescent="0.4">
      <c r="J727" s="140"/>
    </row>
    <row r="728" spans="10:10" x14ac:dyDescent="0.4">
      <c r="J728" s="140"/>
    </row>
    <row r="729" spans="10:10" x14ac:dyDescent="0.4">
      <c r="J729" s="140"/>
    </row>
    <row r="730" spans="10:10" x14ac:dyDescent="0.4">
      <c r="J730" s="140"/>
    </row>
    <row r="731" spans="10:10" x14ac:dyDescent="0.4">
      <c r="J731" s="140"/>
    </row>
    <row r="732" spans="10:10" x14ac:dyDescent="0.4">
      <c r="J732" s="140"/>
    </row>
    <row r="733" spans="10:10" x14ac:dyDescent="0.4">
      <c r="J733" s="140"/>
    </row>
    <row r="734" spans="10:10" x14ac:dyDescent="0.4">
      <c r="J734" s="140"/>
    </row>
    <row r="735" spans="10:10" x14ac:dyDescent="0.4">
      <c r="J735" s="140"/>
    </row>
    <row r="736" spans="10:10" x14ac:dyDescent="0.4">
      <c r="J736" s="140"/>
    </row>
    <row r="737" spans="10:10" x14ac:dyDescent="0.4">
      <c r="J737" s="140"/>
    </row>
    <row r="738" spans="10:10" x14ac:dyDescent="0.4">
      <c r="J738" s="140"/>
    </row>
    <row r="739" spans="10:10" x14ac:dyDescent="0.4">
      <c r="J739" s="140"/>
    </row>
    <row r="740" spans="10:10" x14ac:dyDescent="0.4">
      <c r="J740" s="140"/>
    </row>
    <row r="741" spans="10:10" x14ac:dyDescent="0.4">
      <c r="J741" s="140"/>
    </row>
    <row r="742" spans="10:10" x14ac:dyDescent="0.4">
      <c r="J742" s="140"/>
    </row>
    <row r="743" spans="10:10" x14ac:dyDescent="0.4">
      <c r="J743" s="140"/>
    </row>
    <row r="744" spans="10:10" x14ac:dyDescent="0.4">
      <c r="J744" s="140"/>
    </row>
    <row r="745" spans="10:10" x14ac:dyDescent="0.4">
      <c r="J745" s="140"/>
    </row>
    <row r="746" spans="10:10" x14ac:dyDescent="0.4">
      <c r="J746" s="140"/>
    </row>
    <row r="747" spans="10:10" x14ac:dyDescent="0.4">
      <c r="J747" s="140"/>
    </row>
    <row r="748" spans="10:10" x14ac:dyDescent="0.4">
      <c r="J748" s="140"/>
    </row>
    <row r="749" spans="10:10" x14ac:dyDescent="0.4">
      <c r="J749" s="140"/>
    </row>
    <row r="750" spans="10:10" x14ac:dyDescent="0.4">
      <c r="J750" s="140"/>
    </row>
    <row r="751" spans="10:10" x14ac:dyDescent="0.4">
      <c r="J751" s="140"/>
    </row>
    <row r="752" spans="10:10" x14ac:dyDescent="0.4">
      <c r="J752" s="140"/>
    </row>
    <row r="753" spans="10:10" x14ac:dyDescent="0.4">
      <c r="J753" s="140"/>
    </row>
    <row r="754" spans="10:10" x14ac:dyDescent="0.4">
      <c r="J754" s="140"/>
    </row>
    <row r="755" spans="10:10" x14ac:dyDescent="0.4">
      <c r="J755" s="140"/>
    </row>
    <row r="756" spans="10:10" x14ac:dyDescent="0.4">
      <c r="J756" s="140"/>
    </row>
    <row r="757" spans="10:10" x14ac:dyDescent="0.4">
      <c r="J757" s="140"/>
    </row>
    <row r="758" spans="10:10" x14ac:dyDescent="0.4">
      <c r="J758" s="140"/>
    </row>
    <row r="759" spans="10:10" x14ac:dyDescent="0.4">
      <c r="J759" s="140"/>
    </row>
    <row r="760" spans="10:10" x14ac:dyDescent="0.4">
      <c r="J760" s="140"/>
    </row>
    <row r="761" spans="10:10" x14ac:dyDescent="0.4">
      <c r="J761" s="140"/>
    </row>
    <row r="762" spans="10:10" x14ac:dyDescent="0.4">
      <c r="J762" s="140"/>
    </row>
    <row r="763" spans="10:10" x14ac:dyDescent="0.4">
      <c r="J763" s="140"/>
    </row>
    <row r="764" spans="10:10" x14ac:dyDescent="0.4">
      <c r="J764" s="140"/>
    </row>
    <row r="765" spans="10:10" x14ac:dyDescent="0.4">
      <c r="J765" s="140"/>
    </row>
    <row r="766" spans="10:10" x14ac:dyDescent="0.4">
      <c r="J766" s="140"/>
    </row>
    <row r="767" spans="10:10" x14ac:dyDescent="0.4">
      <c r="J767" s="140"/>
    </row>
    <row r="768" spans="10:10" x14ac:dyDescent="0.4">
      <c r="J768" s="140"/>
    </row>
    <row r="769" spans="10:10" x14ac:dyDescent="0.4">
      <c r="J769" s="140"/>
    </row>
    <row r="770" spans="10:10" x14ac:dyDescent="0.4">
      <c r="J770" s="140"/>
    </row>
    <row r="771" spans="10:10" x14ac:dyDescent="0.4">
      <c r="J771" s="140"/>
    </row>
    <row r="772" spans="10:10" x14ac:dyDescent="0.4">
      <c r="J772" s="140"/>
    </row>
    <row r="773" spans="10:10" x14ac:dyDescent="0.4">
      <c r="J773" s="140"/>
    </row>
    <row r="774" spans="10:10" x14ac:dyDescent="0.4">
      <c r="J774" s="140"/>
    </row>
    <row r="775" spans="10:10" x14ac:dyDescent="0.4">
      <c r="J775" s="140"/>
    </row>
    <row r="776" spans="10:10" x14ac:dyDescent="0.4">
      <c r="J776" s="140"/>
    </row>
    <row r="777" spans="10:10" x14ac:dyDescent="0.4">
      <c r="J777" s="140"/>
    </row>
    <row r="778" spans="10:10" x14ac:dyDescent="0.4">
      <c r="J778" s="140"/>
    </row>
    <row r="779" spans="10:10" x14ac:dyDescent="0.4">
      <c r="J779" s="140"/>
    </row>
    <row r="780" spans="10:10" x14ac:dyDescent="0.4">
      <c r="J780" s="140"/>
    </row>
    <row r="781" spans="10:10" x14ac:dyDescent="0.4">
      <c r="J781" s="140"/>
    </row>
    <row r="782" spans="10:10" x14ac:dyDescent="0.4">
      <c r="J782" s="140"/>
    </row>
    <row r="783" spans="10:10" x14ac:dyDescent="0.4">
      <c r="J783" s="140"/>
    </row>
    <row r="784" spans="10:10" x14ac:dyDescent="0.4">
      <c r="J784" s="140"/>
    </row>
    <row r="785" spans="10:10" x14ac:dyDescent="0.4">
      <c r="J785" s="140"/>
    </row>
    <row r="786" spans="10:10" x14ac:dyDescent="0.4">
      <c r="J786" s="140"/>
    </row>
    <row r="787" spans="10:10" x14ac:dyDescent="0.4">
      <c r="J787" s="140"/>
    </row>
    <row r="788" spans="10:10" x14ac:dyDescent="0.4">
      <c r="J788" s="140"/>
    </row>
    <row r="789" spans="10:10" x14ac:dyDescent="0.4">
      <c r="J789" s="140"/>
    </row>
    <row r="790" spans="10:10" x14ac:dyDescent="0.4">
      <c r="J790" s="140"/>
    </row>
    <row r="791" spans="10:10" x14ac:dyDescent="0.4">
      <c r="J791" s="140"/>
    </row>
    <row r="792" spans="10:10" x14ac:dyDescent="0.4">
      <c r="J792" s="140"/>
    </row>
    <row r="793" spans="10:10" x14ac:dyDescent="0.4">
      <c r="J793" s="140"/>
    </row>
    <row r="794" spans="10:10" x14ac:dyDescent="0.4">
      <c r="J794" s="140"/>
    </row>
    <row r="795" spans="10:10" x14ac:dyDescent="0.4">
      <c r="J795" s="140"/>
    </row>
    <row r="796" spans="10:10" x14ac:dyDescent="0.4">
      <c r="J796" s="140"/>
    </row>
    <row r="797" spans="10:10" x14ac:dyDescent="0.4">
      <c r="J797" s="140"/>
    </row>
    <row r="798" spans="10:10" x14ac:dyDescent="0.4">
      <c r="J798" s="140"/>
    </row>
    <row r="799" spans="10:10" x14ac:dyDescent="0.4">
      <c r="J799" s="140"/>
    </row>
    <row r="800" spans="10:10" x14ac:dyDescent="0.4">
      <c r="J800" s="140"/>
    </row>
    <row r="801" spans="10:10" x14ac:dyDescent="0.4">
      <c r="J801" s="140"/>
    </row>
    <row r="802" spans="10:10" x14ac:dyDescent="0.4">
      <c r="J802" s="140"/>
    </row>
    <row r="803" spans="10:10" x14ac:dyDescent="0.4">
      <c r="J803" s="140"/>
    </row>
    <row r="804" spans="10:10" x14ac:dyDescent="0.4">
      <c r="J804" s="140"/>
    </row>
    <row r="805" spans="10:10" x14ac:dyDescent="0.4">
      <c r="J805" s="140"/>
    </row>
    <row r="806" spans="10:10" x14ac:dyDescent="0.4">
      <c r="J806" s="140"/>
    </row>
    <row r="807" spans="10:10" x14ac:dyDescent="0.4">
      <c r="J807" s="140"/>
    </row>
    <row r="808" spans="10:10" x14ac:dyDescent="0.4">
      <c r="J808" s="140"/>
    </row>
    <row r="809" spans="10:10" x14ac:dyDescent="0.4">
      <c r="J809" s="140"/>
    </row>
    <row r="810" spans="10:10" x14ac:dyDescent="0.4">
      <c r="J810" s="140"/>
    </row>
    <row r="811" spans="10:10" x14ac:dyDescent="0.4">
      <c r="J811" s="140"/>
    </row>
    <row r="812" spans="10:10" x14ac:dyDescent="0.4">
      <c r="J812" s="140"/>
    </row>
    <row r="813" spans="10:10" x14ac:dyDescent="0.4">
      <c r="J813" s="140"/>
    </row>
    <row r="814" spans="10:10" x14ac:dyDescent="0.4">
      <c r="J814" s="140"/>
    </row>
    <row r="815" spans="10:10" x14ac:dyDescent="0.4">
      <c r="J815" s="140"/>
    </row>
    <row r="816" spans="10:10" x14ac:dyDescent="0.4">
      <c r="J816" s="140"/>
    </row>
    <row r="817" spans="10:10" x14ac:dyDescent="0.4">
      <c r="J817" s="140"/>
    </row>
    <row r="818" spans="10:10" x14ac:dyDescent="0.4">
      <c r="J818" s="140"/>
    </row>
    <row r="819" spans="10:10" x14ac:dyDescent="0.4">
      <c r="J819" s="140"/>
    </row>
    <row r="820" spans="10:10" x14ac:dyDescent="0.4">
      <c r="J820" s="140"/>
    </row>
    <row r="821" spans="10:10" x14ac:dyDescent="0.4">
      <c r="J821" s="140"/>
    </row>
    <row r="822" spans="10:10" x14ac:dyDescent="0.4">
      <c r="J822" s="140"/>
    </row>
    <row r="823" spans="10:10" x14ac:dyDescent="0.4">
      <c r="J823" s="140"/>
    </row>
    <row r="824" spans="10:10" x14ac:dyDescent="0.4">
      <c r="J824" s="140"/>
    </row>
    <row r="825" spans="10:10" x14ac:dyDescent="0.4">
      <c r="J825" s="140"/>
    </row>
    <row r="826" spans="10:10" x14ac:dyDescent="0.4">
      <c r="J826" s="140"/>
    </row>
    <row r="827" spans="10:10" x14ac:dyDescent="0.4">
      <c r="J827" s="140"/>
    </row>
    <row r="828" spans="10:10" x14ac:dyDescent="0.4">
      <c r="J828" s="140"/>
    </row>
    <row r="829" spans="10:10" x14ac:dyDescent="0.4">
      <c r="J829" s="140"/>
    </row>
    <row r="830" spans="10:10" x14ac:dyDescent="0.4">
      <c r="J830" s="140"/>
    </row>
    <row r="831" spans="10:10" x14ac:dyDescent="0.4">
      <c r="J831" s="140"/>
    </row>
    <row r="832" spans="10:10" x14ac:dyDescent="0.4">
      <c r="J832" s="140"/>
    </row>
    <row r="833" spans="10:10" x14ac:dyDescent="0.4">
      <c r="J833" s="140"/>
    </row>
    <row r="834" spans="10:10" x14ac:dyDescent="0.4">
      <c r="J834" s="140"/>
    </row>
    <row r="835" spans="10:10" x14ac:dyDescent="0.4">
      <c r="J835" s="140"/>
    </row>
    <row r="836" spans="10:10" x14ac:dyDescent="0.4">
      <c r="J836" s="140"/>
    </row>
    <row r="837" spans="10:10" x14ac:dyDescent="0.4">
      <c r="J837" s="140"/>
    </row>
    <row r="838" spans="10:10" x14ac:dyDescent="0.4">
      <c r="J838" s="140"/>
    </row>
    <row r="839" spans="10:10" x14ac:dyDescent="0.4">
      <c r="J839" s="140"/>
    </row>
    <row r="840" spans="10:10" x14ac:dyDescent="0.4">
      <c r="J840" s="140"/>
    </row>
    <row r="841" spans="10:10" x14ac:dyDescent="0.4">
      <c r="J841" s="140"/>
    </row>
    <row r="842" spans="10:10" x14ac:dyDescent="0.4">
      <c r="J842" s="140"/>
    </row>
    <row r="843" spans="10:10" x14ac:dyDescent="0.4">
      <c r="J843" s="140"/>
    </row>
    <row r="844" spans="10:10" x14ac:dyDescent="0.4">
      <c r="J844" s="140"/>
    </row>
    <row r="845" spans="10:10" x14ac:dyDescent="0.4">
      <c r="J845" s="140"/>
    </row>
    <row r="846" spans="10:10" x14ac:dyDescent="0.4">
      <c r="J846" s="140"/>
    </row>
    <row r="847" spans="10:10" x14ac:dyDescent="0.4">
      <c r="J847" s="140"/>
    </row>
    <row r="848" spans="10:10" x14ac:dyDescent="0.4">
      <c r="J848" s="140"/>
    </row>
    <row r="849" spans="10:10" x14ac:dyDescent="0.4">
      <c r="J849" s="140"/>
    </row>
    <row r="850" spans="10:10" x14ac:dyDescent="0.4">
      <c r="J850" s="140"/>
    </row>
    <row r="851" spans="10:10" x14ac:dyDescent="0.4">
      <c r="J851" s="140"/>
    </row>
    <row r="852" spans="10:10" x14ac:dyDescent="0.4">
      <c r="J852" s="140"/>
    </row>
    <row r="853" spans="10:10" x14ac:dyDescent="0.4">
      <c r="J853" s="140"/>
    </row>
    <row r="854" spans="10:10" x14ac:dyDescent="0.4">
      <c r="J854" s="140"/>
    </row>
    <row r="855" spans="10:10" x14ac:dyDescent="0.4">
      <c r="J855" s="140"/>
    </row>
    <row r="856" spans="10:10" x14ac:dyDescent="0.4">
      <c r="J856" s="140"/>
    </row>
    <row r="857" spans="10:10" x14ac:dyDescent="0.4">
      <c r="J857" s="140"/>
    </row>
    <row r="858" spans="10:10" x14ac:dyDescent="0.4">
      <c r="J858" s="140"/>
    </row>
    <row r="859" spans="10:10" x14ac:dyDescent="0.4">
      <c r="J859" s="140"/>
    </row>
    <row r="860" spans="10:10" x14ac:dyDescent="0.4">
      <c r="J860" s="140"/>
    </row>
    <row r="861" spans="10:10" x14ac:dyDescent="0.4">
      <c r="J861" s="140"/>
    </row>
    <row r="862" spans="10:10" x14ac:dyDescent="0.4">
      <c r="J862" s="140"/>
    </row>
    <row r="863" spans="10:10" x14ac:dyDescent="0.4">
      <c r="J863" s="140"/>
    </row>
    <row r="864" spans="10:10" x14ac:dyDescent="0.4">
      <c r="J864" s="140"/>
    </row>
    <row r="865" spans="10:10" x14ac:dyDescent="0.4">
      <c r="J865" s="140"/>
    </row>
    <row r="866" spans="10:10" x14ac:dyDescent="0.4">
      <c r="J866" s="140"/>
    </row>
    <row r="867" spans="10:10" x14ac:dyDescent="0.4">
      <c r="J867" s="140"/>
    </row>
    <row r="868" spans="10:10" x14ac:dyDescent="0.4">
      <c r="J868" s="140"/>
    </row>
    <row r="869" spans="10:10" x14ac:dyDescent="0.4">
      <c r="J869" s="140"/>
    </row>
    <row r="870" spans="10:10" x14ac:dyDescent="0.4">
      <c r="J870" s="140"/>
    </row>
    <row r="871" spans="10:10" x14ac:dyDescent="0.4">
      <c r="J871" s="140"/>
    </row>
    <row r="872" spans="10:10" x14ac:dyDescent="0.4">
      <c r="J872" s="140"/>
    </row>
    <row r="873" spans="10:10" x14ac:dyDescent="0.4">
      <c r="J873" s="140"/>
    </row>
    <row r="874" spans="10:10" x14ac:dyDescent="0.4">
      <c r="J874" s="140"/>
    </row>
    <row r="875" spans="10:10" x14ac:dyDescent="0.4">
      <c r="J875" s="140"/>
    </row>
    <row r="876" spans="10:10" x14ac:dyDescent="0.4">
      <c r="J876" s="140"/>
    </row>
    <row r="877" spans="10:10" x14ac:dyDescent="0.4">
      <c r="J877" s="140"/>
    </row>
    <row r="878" spans="10:10" x14ac:dyDescent="0.4">
      <c r="J878" s="140"/>
    </row>
    <row r="879" spans="10:10" x14ac:dyDescent="0.4">
      <c r="J879" s="140"/>
    </row>
    <row r="880" spans="10:10" x14ac:dyDescent="0.4">
      <c r="J880" s="140"/>
    </row>
    <row r="881" spans="10:10" x14ac:dyDescent="0.4">
      <c r="J881" s="140"/>
    </row>
    <row r="882" spans="10:10" x14ac:dyDescent="0.4">
      <c r="J882" s="140"/>
    </row>
    <row r="883" spans="10:10" x14ac:dyDescent="0.4">
      <c r="J883" s="140"/>
    </row>
    <row r="884" spans="10:10" x14ac:dyDescent="0.4">
      <c r="J884" s="140"/>
    </row>
    <row r="885" spans="10:10" x14ac:dyDescent="0.4">
      <c r="J885" s="140"/>
    </row>
    <row r="886" spans="10:10" x14ac:dyDescent="0.4">
      <c r="J886" s="140"/>
    </row>
    <row r="887" spans="10:10" x14ac:dyDescent="0.4">
      <c r="J887" s="140"/>
    </row>
    <row r="888" spans="10:10" x14ac:dyDescent="0.4">
      <c r="J888" s="140"/>
    </row>
    <row r="889" spans="10:10" x14ac:dyDescent="0.4">
      <c r="J889" s="140"/>
    </row>
    <row r="890" spans="10:10" x14ac:dyDescent="0.4">
      <c r="J890" s="140"/>
    </row>
    <row r="891" spans="10:10" x14ac:dyDescent="0.4">
      <c r="J891" s="140"/>
    </row>
    <row r="892" spans="10:10" x14ac:dyDescent="0.4">
      <c r="J892" s="140"/>
    </row>
    <row r="893" spans="10:10" x14ac:dyDescent="0.4">
      <c r="J893" s="140"/>
    </row>
    <row r="894" spans="10:10" x14ac:dyDescent="0.4">
      <c r="J894" s="140"/>
    </row>
    <row r="895" spans="10:10" x14ac:dyDescent="0.4">
      <c r="J895" s="140"/>
    </row>
    <row r="896" spans="10:10" x14ac:dyDescent="0.4">
      <c r="J896" s="140"/>
    </row>
    <row r="897" spans="10:10" x14ac:dyDescent="0.4">
      <c r="J897" s="140"/>
    </row>
    <row r="898" spans="10:10" x14ac:dyDescent="0.4">
      <c r="J898" s="140"/>
    </row>
    <row r="899" spans="10:10" x14ac:dyDescent="0.4">
      <c r="J899" s="140"/>
    </row>
    <row r="900" spans="10:10" x14ac:dyDescent="0.4">
      <c r="J900" s="140"/>
    </row>
    <row r="901" spans="10:10" x14ac:dyDescent="0.4">
      <c r="J901" s="140"/>
    </row>
    <row r="902" spans="10:10" x14ac:dyDescent="0.4">
      <c r="J902" s="140"/>
    </row>
    <row r="903" spans="10:10" x14ac:dyDescent="0.4">
      <c r="J903" s="140"/>
    </row>
    <row r="904" spans="10:10" x14ac:dyDescent="0.4">
      <c r="J904" s="140"/>
    </row>
    <row r="905" spans="10:10" x14ac:dyDescent="0.4">
      <c r="J905" s="140"/>
    </row>
    <row r="906" spans="10:10" x14ac:dyDescent="0.4">
      <c r="J906" s="140"/>
    </row>
    <row r="907" spans="10:10" x14ac:dyDescent="0.4">
      <c r="J907" s="140"/>
    </row>
    <row r="908" spans="10:10" x14ac:dyDescent="0.4">
      <c r="J908" s="140"/>
    </row>
    <row r="909" spans="10:10" x14ac:dyDescent="0.4">
      <c r="J909" s="140"/>
    </row>
    <row r="910" spans="10:10" x14ac:dyDescent="0.4">
      <c r="J910" s="140"/>
    </row>
    <row r="911" spans="10:10" x14ac:dyDescent="0.4">
      <c r="J911" s="140"/>
    </row>
    <row r="912" spans="10:10" x14ac:dyDescent="0.4">
      <c r="J912" s="140"/>
    </row>
    <row r="913" spans="10:10" x14ac:dyDescent="0.4">
      <c r="J913" s="140"/>
    </row>
    <row r="914" spans="10:10" x14ac:dyDescent="0.4">
      <c r="J914" s="140"/>
    </row>
    <row r="915" spans="10:10" x14ac:dyDescent="0.4">
      <c r="J915" s="140"/>
    </row>
    <row r="916" spans="10:10" x14ac:dyDescent="0.4">
      <c r="J916" s="140"/>
    </row>
    <row r="917" spans="10:10" x14ac:dyDescent="0.4">
      <c r="J917" s="140"/>
    </row>
    <row r="918" spans="10:10" x14ac:dyDescent="0.4">
      <c r="J918" s="140"/>
    </row>
    <row r="919" spans="10:10" x14ac:dyDescent="0.4">
      <c r="J919" s="140"/>
    </row>
    <row r="920" spans="10:10" x14ac:dyDescent="0.4">
      <c r="J920" s="140"/>
    </row>
    <row r="921" spans="10:10" x14ac:dyDescent="0.4">
      <c r="J921" s="140"/>
    </row>
    <row r="922" spans="10:10" x14ac:dyDescent="0.4">
      <c r="J922" s="140"/>
    </row>
    <row r="923" spans="10:10" x14ac:dyDescent="0.4">
      <c r="J923" s="140"/>
    </row>
    <row r="924" spans="10:10" x14ac:dyDescent="0.4">
      <c r="J924" s="140"/>
    </row>
    <row r="925" spans="10:10" x14ac:dyDescent="0.4">
      <c r="J925" s="140"/>
    </row>
    <row r="926" spans="10:10" x14ac:dyDescent="0.4">
      <c r="J926" s="140"/>
    </row>
    <row r="927" spans="10:10" x14ac:dyDescent="0.4">
      <c r="J927" s="140"/>
    </row>
    <row r="928" spans="10:10" x14ac:dyDescent="0.4">
      <c r="J928" s="140"/>
    </row>
    <row r="929" spans="10:10" x14ac:dyDescent="0.4">
      <c r="J929" s="140"/>
    </row>
    <row r="930" spans="10:10" x14ac:dyDescent="0.4">
      <c r="J930" s="140"/>
    </row>
    <row r="931" spans="10:10" x14ac:dyDescent="0.4">
      <c r="J931" s="140"/>
    </row>
    <row r="932" spans="10:10" x14ac:dyDescent="0.4">
      <c r="J932" s="140"/>
    </row>
    <row r="933" spans="10:10" x14ac:dyDescent="0.4">
      <c r="J933" s="140"/>
    </row>
    <row r="934" spans="10:10" x14ac:dyDescent="0.4">
      <c r="J934" s="140"/>
    </row>
    <row r="935" spans="10:10" x14ac:dyDescent="0.4">
      <c r="J935" s="140"/>
    </row>
    <row r="936" spans="10:10" x14ac:dyDescent="0.4">
      <c r="J936" s="140"/>
    </row>
    <row r="937" spans="10:10" x14ac:dyDescent="0.4">
      <c r="J937" s="140"/>
    </row>
    <row r="938" spans="10:10" x14ac:dyDescent="0.4">
      <c r="J938" s="140"/>
    </row>
    <row r="939" spans="10:10" x14ac:dyDescent="0.4">
      <c r="J939" s="140"/>
    </row>
    <row r="940" spans="10:10" x14ac:dyDescent="0.4">
      <c r="J940" s="140"/>
    </row>
    <row r="941" spans="10:10" x14ac:dyDescent="0.4">
      <c r="J941" s="140"/>
    </row>
    <row r="942" spans="10:10" x14ac:dyDescent="0.4">
      <c r="J942" s="140"/>
    </row>
    <row r="943" spans="10:10" x14ac:dyDescent="0.4">
      <c r="J943" s="140"/>
    </row>
    <row r="944" spans="10:10" x14ac:dyDescent="0.4">
      <c r="J944" s="140"/>
    </row>
    <row r="945" spans="10:10" x14ac:dyDescent="0.4">
      <c r="J945" s="140"/>
    </row>
    <row r="946" spans="10:10" x14ac:dyDescent="0.4">
      <c r="J946" s="140"/>
    </row>
    <row r="947" spans="10:10" x14ac:dyDescent="0.4">
      <c r="J947" s="140"/>
    </row>
    <row r="948" spans="10:10" x14ac:dyDescent="0.4">
      <c r="J948" s="140"/>
    </row>
    <row r="949" spans="10:10" x14ac:dyDescent="0.4">
      <c r="J949" s="140"/>
    </row>
    <row r="950" spans="10:10" x14ac:dyDescent="0.4">
      <c r="J950" s="140"/>
    </row>
    <row r="951" spans="10:10" x14ac:dyDescent="0.4">
      <c r="J951" s="140"/>
    </row>
    <row r="952" spans="10:10" x14ac:dyDescent="0.4">
      <c r="J952" s="140"/>
    </row>
    <row r="953" spans="10:10" x14ac:dyDescent="0.4">
      <c r="J953" s="140"/>
    </row>
    <row r="954" spans="10:10" x14ac:dyDescent="0.4">
      <c r="J954" s="140"/>
    </row>
    <row r="955" spans="10:10" x14ac:dyDescent="0.4">
      <c r="J955" s="140"/>
    </row>
    <row r="956" spans="10:10" x14ac:dyDescent="0.4">
      <c r="J956" s="140"/>
    </row>
    <row r="957" spans="10:10" x14ac:dyDescent="0.4">
      <c r="J957" s="140"/>
    </row>
    <row r="958" spans="10:10" x14ac:dyDescent="0.4">
      <c r="J958" s="140"/>
    </row>
    <row r="959" spans="10:10" x14ac:dyDescent="0.4">
      <c r="J959" s="140"/>
    </row>
    <row r="960" spans="10:10" x14ac:dyDescent="0.4">
      <c r="J960" s="140"/>
    </row>
    <row r="961" spans="10:10" x14ac:dyDescent="0.4">
      <c r="J961" s="140"/>
    </row>
    <row r="962" spans="10:10" x14ac:dyDescent="0.4">
      <c r="J962" s="140"/>
    </row>
    <row r="963" spans="10:10" x14ac:dyDescent="0.4">
      <c r="J963" s="140"/>
    </row>
    <row r="964" spans="10:10" x14ac:dyDescent="0.4">
      <c r="J964" s="140"/>
    </row>
    <row r="965" spans="10:10" x14ac:dyDescent="0.4">
      <c r="J965" s="140"/>
    </row>
    <row r="966" spans="10:10" x14ac:dyDescent="0.4">
      <c r="J966" s="140"/>
    </row>
    <row r="967" spans="10:10" x14ac:dyDescent="0.4">
      <c r="J967" s="140"/>
    </row>
    <row r="968" spans="10:10" x14ac:dyDescent="0.4">
      <c r="J968" s="140"/>
    </row>
    <row r="969" spans="10:10" x14ac:dyDescent="0.4">
      <c r="J969" s="140"/>
    </row>
    <row r="970" spans="10:10" x14ac:dyDescent="0.4">
      <c r="J970" s="140"/>
    </row>
    <row r="971" spans="10:10" x14ac:dyDescent="0.4">
      <c r="J971" s="140"/>
    </row>
    <row r="972" spans="10:10" x14ac:dyDescent="0.4">
      <c r="J972" s="140"/>
    </row>
    <row r="973" spans="10:10" x14ac:dyDescent="0.4">
      <c r="J973" s="140"/>
    </row>
    <row r="974" spans="10:10" x14ac:dyDescent="0.4">
      <c r="J974" s="140"/>
    </row>
    <row r="975" spans="10:10" x14ac:dyDescent="0.4">
      <c r="J975" s="140"/>
    </row>
    <row r="976" spans="10:10" x14ac:dyDescent="0.4">
      <c r="J976" s="140"/>
    </row>
    <row r="977" spans="10:10" x14ac:dyDescent="0.4">
      <c r="J977" s="140"/>
    </row>
    <row r="978" spans="10:10" x14ac:dyDescent="0.4">
      <c r="J978" s="140"/>
    </row>
    <row r="979" spans="10:10" x14ac:dyDescent="0.4">
      <c r="J979" s="140"/>
    </row>
    <row r="980" spans="10:10" x14ac:dyDescent="0.4">
      <c r="J980" s="140"/>
    </row>
    <row r="981" spans="10:10" x14ac:dyDescent="0.4">
      <c r="J981" s="140"/>
    </row>
    <row r="982" spans="10:10" x14ac:dyDescent="0.4">
      <c r="J982" s="140"/>
    </row>
    <row r="983" spans="10:10" x14ac:dyDescent="0.4">
      <c r="J983" s="140"/>
    </row>
    <row r="984" spans="10:10" x14ac:dyDescent="0.4">
      <c r="J984" s="140"/>
    </row>
    <row r="985" spans="10:10" x14ac:dyDescent="0.4">
      <c r="J985" s="140"/>
    </row>
    <row r="986" spans="10:10" x14ac:dyDescent="0.4">
      <c r="J986" s="140"/>
    </row>
    <row r="987" spans="10:10" x14ac:dyDescent="0.4">
      <c r="J987" s="140"/>
    </row>
    <row r="988" spans="10:10" x14ac:dyDescent="0.4">
      <c r="J988" s="140"/>
    </row>
    <row r="989" spans="10:10" x14ac:dyDescent="0.4">
      <c r="J989" s="140"/>
    </row>
    <row r="990" spans="10:10" x14ac:dyDescent="0.4">
      <c r="J990" s="140"/>
    </row>
    <row r="991" spans="10:10" x14ac:dyDescent="0.4">
      <c r="J991" s="140"/>
    </row>
    <row r="992" spans="10:10" x14ac:dyDescent="0.4">
      <c r="J992" s="140"/>
    </row>
    <row r="993" spans="10:10" x14ac:dyDescent="0.4">
      <c r="J993" s="140"/>
    </row>
    <row r="994" spans="10:10" x14ac:dyDescent="0.4">
      <c r="J994" s="140"/>
    </row>
    <row r="995" spans="10:10" x14ac:dyDescent="0.4">
      <c r="J995" s="140"/>
    </row>
    <row r="996" spans="10:10" x14ac:dyDescent="0.4">
      <c r="J996" s="140"/>
    </row>
    <row r="997" spans="10:10" x14ac:dyDescent="0.4">
      <c r="J997" s="140"/>
    </row>
    <row r="998" spans="10:10" x14ac:dyDescent="0.4">
      <c r="J998" s="140"/>
    </row>
    <row r="999" spans="10:10" x14ac:dyDescent="0.4">
      <c r="J999" s="140"/>
    </row>
    <row r="1000" spans="10:10" x14ac:dyDescent="0.4">
      <c r="J1000" s="140"/>
    </row>
    <row r="1001" spans="10:10" x14ac:dyDescent="0.4">
      <c r="J1001" s="140"/>
    </row>
    <row r="1002" spans="10:10" x14ac:dyDescent="0.4">
      <c r="J1002" s="140"/>
    </row>
    <row r="1003" spans="10:10" x14ac:dyDescent="0.4">
      <c r="J1003" s="140"/>
    </row>
    <row r="1004" spans="10:10" x14ac:dyDescent="0.4">
      <c r="J1004" s="140"/>
    </row>
    <row r="1005" spans="10:10" x14ac:dyDescent="0.4">
      <c r="J1005" s="140"/>
    </row>
    <row r="1006" spans="10:10" x14ac:dyDescent="0.4">
      <c r="J1006" s="140"/>
    </row>
    <row r="1007" spans="10:10" x14ac:dyDescent="0.4">
      <c r="J1007" s="140"/>
    </row>
    <row r="1008" spans="10:10" x14ac:dyDescent="0.4">
      <c r="J1008" s="140"/>
    </row>
    <row r="1009" spans="10:10" x14ac:dyDescent="0.4">
      <c r="J1009" s="140"/>
    </row>
    <row r="1010" spans="10:10" x14ac:dyDescent="0.4">
      <c r="J1010" s="140"/>
    </row>
    <row r="1011" spans="10:10" x14ac:dyDescent="0.4">
      <c r="J1011" s="140"/>
    </row>
    <row r="1012" spans="10:10" x14ac:dyDescent="0.4">
      <c r="J1012" s="140"/>
    </row>
    <row r="1013" spans="10:10" x14ac:dyDescent="0.4">
      <c r="J1013" s="140"/>
    </row>
    <row r="1014" spans="10:10" x14ac:dyDescent="0.4">
      <c r="J1014" s="140"/>
    </row>
    <row r="1015" spans="10:10" x14ac:dyDescent="0.4">
      <c r="J1015" s="140"/>
    </row>
    <row r="1016" spans="10:10" x14ac:dyDescent="0.4">
      <c r="J1016" s="140"/>
    </row>
    <row r="1017" spans="10:10" x14ac:dyDescent="0.4">
      <c r="J1017" s="140"/>
    </row>
    <row r="1018" spans="10:10" x14ac:dyDescent="0.4">
      <c r="J1018" s="140"/>
    </row>
    <row r="1019" spans="10:10" x14ac:dyDescent="0.4">
      <c r="J1019" s="140"/>
    </row>
    <row r="1020" spans="10:10" x14ac:dyDescent="0.4">
      <c r="J1020" s="140"/>
    </row>
    <row r="1021" spans="10:10" x14ac:dyDescent="0.4">
      <c r="J1021" s="140"/>
    </row>
    <row r="1022" spans="10:10" x14ac:dyDescent="0.4">
      <c r="J1022" s="140"/>
    </row>
    <row r="1023" spans="10:10" x14ac:dyDescent="0.4">
      <c r="J1023" s="140"/>
    </row>
    <row r="1024" spans="10:10" x14ac:dyDescent="0.4">
      <c r="J1024" s="140"/>
    </row>
    <row r="1025" spans="10:10" x14ac:dyDescent="0.4">
      <c r="J1025" s="140"/>
    </row>
    <row r="1026" spans="10:10" x14ac:dyDescent="0.4">
      <c r="J1026" s="140"/>
    </row>
    <row r="1027" spans="10:10" x14ac:dyDescent="0.4">
      <c r="J1027" s="140"/>
    </row>
    <row r="1028" spans="10:10" x14ac:dyDescent="0.4">
      <c r="J1028" s="140"/>
    </row>
    <row r="1029" spans="10:10" x14ac:dyDescent="0.4">
      <c r="J1029" s="140"/>
    </row>
    <row r="1030" spans="10:10" x14ac:dyDescent="0.4">
      <c r="J1030" s="140"/>
    </row>
    <row r="1031" spans="10:10" x14ac:dyDescent="0.4">
      <c r="J1031" s="140"/>
    </row>
    <row r="1032" spans="10:10" x14ac:dyDescent="0.4">
      <c r="J1032" s="140"/>
    </row>
    <row r="1033" spans="10:10" x14ac:dyDescent="0.4">
      <c r="J1033" s="140"/>
    </row>
    <row r="1034" spans="10:10" x14ac:dyDescent="0.4">
      <c r="J1034" s="140"/>
    </row>
    <row r="1035" spans="10:10" x14ac:dyDescent="0.4">
      <c r="J1035" s="140"/>
    </row>
    <row r="1036" spans="10:10" x14ac:dyDescent="0.4">
      <c r="J1036" s="140"/>
    </row>
    <row r="1037" spans="10:10" x14ac:dyDescent="0.4">
      <c r="J1037" s="140"/>
    </row>
    <row r="1038" spans="10:10" x14ac:dyDescent="0.4">
      <c r="J1038" s="140"/>
    </row>
    <row r="1039" spans="10:10" x14ac:dyDescent="0.4">
      <c r="J1039" s="140"/>
    </row>
    <row r="1040" spans="10:10" x14ac:dyDescent="0.4">
      <c r="J1040" s="140"/>
    </row>
    <row r="1041" spans="10:10" x14ac:dyDescent="0.4">
      <c r="J1041" s="140"/>
    </row>
    <row r="1042" spans="10:10" x14ac:dyDescent="0.4">
      <c r="J1042" s="140"/>
    </row>
    <row r="1043" spans="10:10" x14ac:dyDescent="0.4">
      <c r="J1043" s="140"/>
    </row>
    <row r="1044" spans="10:10" x14ac:dyDescent="0.4">
      <c r="J1044" s="140"/>
    </row>
    <row r="1045" spans="10:10" x14ac:dyDescent="0.4">
      <c r="J1045" s="140"/>
    </row>
    <row r="1046" spans="10:10" x14ac:dyDescent="0.4">
      <c r="J1046" s="140"/>
    </row>
    <row r="1047" spans="10:10" x14ac:dyDescent="0.4">
      <c r="J1047" s="140"/>
    </row>
    <row r="1048" spans="10:10" x14ac:dyDescent="0.4">
      <c r="J1048" s="140"/>
    </row>
    <row r="1049" spans="10:10" x14ac:dyDescent="0.4">
      <c r="J1049" s="140"/>
    </row>
    <row r="1050" spans="10:10" x14ac:dyDescent="0.4">
      <c r="J1050" s="140"/>
    </row>
    <row r="1051" spans="10:10" x14ac:dyDescent="0.4">
      <c r="J1051" s="140"/>
    </row>
    <row r="1052" spans="10:10" x14ac:dyDescent="0.4">
      <c r="J1052" s="140"/>
    </row>
    <row r="1053" spans="10:10" x14ac:dyDescent="0.4">
      <c r="J1053" s="140"/>
    </row>
    <row r="1054" spans="10:10" x14ac:dyDescent="0.4">
      <c r="J1054" s="140"/>
    </row>
    <row r="1055" spans="10:10" x14ac:dyDescent="0.4">
      <c r="J1055" s="140"/>
    </row>
    <row r="1056" spans="10:10" x14ac:dyDescent="0.4">
      <c r="J1056" s="140"/>
    </row>
    <row r="1057" spans="10:10" x14ac:dyDescent="0.4">
      <c r="J1057" s="140"/>
    </row>
    <row r="1058" spans="10:10" x14ac:dyDescent="0.4">
      <c r="J1058" s="140"/>
    </row>
    <row r="1059" spans="10:10" x14ac:dyDescent="0.4">
      <c r="J1059" s="140"/>
    </row>
    <row r="1060" spans="10:10" x14ac:dyDescent="0.4">
      <c r="J1060" s="140"/>
    </row>
    <row r="1061" spans="10:10" x14ac:dyDescent="0.4">
      <c r="J1061" s="140"/>
    </row>
    <row r="1062" spans="10:10" x14ac:dyDescent="0.4">
      <c r="J1062" s="140"/>
    </row>
    <row r="1063" spans="10:10" x14ac:dyDescent="0.4">
      <c r="J1063" s="140"/>
    </row>
    <row r="1064" spans="10:10" x14ac:dyDescent="0.4">
      <c r="J1064" s="140"/>
    </row>
    <row r="1065" spans="10:10" x14ac:dyDescent="0.4">
      <c r="J1065" s="140"/>
    </row>
    <row r="1066" spans="10:10" x14ac:dyDescent="0.4">
      <c r="J1066" s="140"/>
    </row>
    <row r="1067" spans="10:10" x14ac:dyDescent="0.4">
      <c r="J1067" s="140"/>
    </row>
    <row r="1068" spans="10:10" x14ac:dyDescent="0.4">
      <c r="J1068" s="140"/>
    </row>
    <row r="1069" spans="10:10" x14ac:dyDescent="0.4">
      <c r="J1069" s="140"/>
    </row>
    <row r="1070" spans="10:10" x14ac:dyDescent="0.4">
      <c r="J1070" s="140"/>
    </row>
    <row r="1071" spans="10:10" x14ac:dyDescent="0.4">
      <c r="J1071" s="140"/>
    </row>
    <row r="1072" spans="10:10" x14ac:dyDescent="0.4">
      <c r="J1072" s="140"/>
    </row>
    <row r="1073" spans="10:10" x14ac:dyDescent="0.4">
      <c r="J1073" s="140"/>
    </row>
    <row r="1074" spans="10:10" x14ac:dyDescent="0.4">
      <c r="J1074" s="140"/>
    </row>
    <row r="1075" spans="10:10" x14ac:dyDescent="0.4">
      <c r="J1075" s="140"/>
    </row>
    <row r="1076" spans="10:10" x14ac:dyDescent="0.4">
      <c r="J1076" s="140"/>
    </row>
    <row r="1077" spans="10:10" x14ac:dyDescent="0.4">
      <c r="J1077" s="140"/>
    </row>
    <row r="1078" spans="10:10" x14ac:dyDescent="0.4">
      <c r="J1078" s="140"/>
    </row>
    <row r="1079" spans="10:10" x14ac:dyDescent="0.4">
      <c r="J1079" s="140"/>
    </row>
    <row r="1080" spans="10:10" x14ac:dyDescent="0.4">
      <c r="J1080" s="140"/>
    </row>
    <row r="1081" spans="10:10" x14ac:dyDescent="0.4">
      <c r="J1081" s="140"/>
    </row>
    <row r="1082" spans="10:10" x14ac:dyDescent="0.4">
      <c r="J1082" s="140"/>
    </row>
    <row r="1083" spans="10:10" x14ac:dyDescent="0.4">
      <c r="J1083" s="140"/>
    </row>
    <row r="1084" spans="10:10" x14ac:dyDescent="0.4">
      <c r="J1084" s="140"/>
    </row>
    <row r="1085" spans="10:10" x14ac:dyDescent="0.4">
      <c r="J1085" s="140"/>
    </row>
    <row r="1086" spans="10:10" x14ac:dyDescent="0.4">
      <c r="J1086" s="140"/>
    </row>
    <row r="1087" spans="10:10" x14ac:dyDescent="0.4">
      <c r="J1087" s="140"/>
    </row>
    <row r="1088" spans="10:10" x14ac:dyDescent="0.4">
      <c r="J1088" s="140"/>
    </row>
    <row r="1089" spans="10:10" x14ac:dyDescent="0.4">
      <c r="J1089" s="140"/>
    </row>
    <row r="1090" spans="10:10" x14ac:dyDescent="0.4">
      <c r="J1090" s="140"/>
    </row>
    <row r="1091" spans="10:10" x14ac:dyDescent="0.4">
      <c r="J1091" s="140"/>
    </row>
    <row r="1092" spans="10:10" x14ac:dyDescent="0.4">
      <c r="J1092" s="140"/>
    </row>
    <row r="1093" spans="10:10" x14ac:dyDescent="0.4">
      <c r="J1093" s="140"/>
    </row>
    <row r="1094" spans="10:10" x14ac:dyDescent="0.4">
      <c r="J1094" s="140"/>
    </row>
    <row r="1095" spans="10:10" x14ac:dyDescent="0.4">
      <c r="J1095" s="140"/>
    </row>
    <row r="1096" spans="10:10" x14ac:dyDescent="0.4">
      <c r="J1096" s="140"/>
    </row>
    <row r="1097" spans="10:10" x14ac:dyDescent="0.4">
      <c r="J1097" s="140"/>
    </row>
    <row r="1098" spans="10:10" x14ac:dyDescent="0.4">
      <c r="J1098" s="140"/>
    </row>
    <row r="1099" spans="10:10" x14ac:dyDescent="0.4">
      <c r="J1099" s="140"/>
    </row>
    <row r="1100" spans="10:10" x14ac:dyDescent="0.4">
      <c r="J1100" s="140"/>
    </row>
    <row r="1101" spans="10:10" x14ac:dyDescent="0.4">
      <c r="J1101" s="140"/>
    </row>
    <row r="1102" spans="10:10" x14ac:dyDescent="0.4">
      <c r="J1102" s="140"/>
    </row>
    <row r="1103" spans="10:10" x14ac:dyDescent="0.4">
      <c r="J1103" s="140"/>
    </row>
    <row r="1104" spans="10:10" x14ac:dyDescent="0.4">
      <c r="J1104" s="140"/>
    </row>
    <row r="1105" spans="10:10" x14ac:dyDescent="0.4">
      <c r="J1105" s="140"/>
    </row>
    <row r="1106" spans="10:10" x14ac:dyDescent="0.4">
      <c r="J1106" s="140"/>
    </row>
    <row r="1107" spans="10:10" x14ac:dyDescent="0.4">
      <c r="J1107" s="140"/>
    </row>
    <row r="1108" spans="10:10" x14ac:dyDescent="0.4">
      <c r="J1108" s="140"/>
    </row>
    <row r="1109" spans="10:10" x14ac:dyDescent="0.4">
      <c r="J1109" s="140"/>
    </row>
    <row r="1110" spans="10:10" x14ac:dyDescent="0.4">
      <c r="J1110" s="140"/>
    </row>
    <row r="1111" spans="10:10" x14ac:dyDescent="0.4">
      <c r="J1111" s="140"/>
    </row>
    <row r="1112" spans="10:10" x14ac:dyDescent="0.4">
      <c r="J1112" s="140"/>
    </row>
    <row r="1113" spans="10:10" x14ac:dyDescent="0.4">
      <c r="J1113" s="140"/>
    </row>
    <row r="1114" spans="10:10" x14ac:dyDescent="0.4">
      <c r="J1114" s="140"/>
    </row>
    <row r="1115" spans="10:10" x14ac:dyDescent="0.4">
      <c r="J1115" s="140"/>
    </row>
    <row r="1116" spans="10:10" x14ac:dyDescent="0.4">
      <c r="J1116" s="140"/>
    </row>
    <row r="1117" spans="10:10" x14ac:dyDescent="0.4">
      <c r="J1117" s="140"/>
    </row>
    <row r="1118" spans="10:10" x14ac:dyDescent="0.4">
      <c r="J1118" s="140"/>
    </row>
    <row r="1119" spans="10:10" x14ac:dyDescent="0.4">
      <c r="J1119" s="140"/>
    </row>
    <row r="1120" spans="10:10" x14ac:dyDescent="0.4">
      <c r="J1120" s="140"/>
    </row>
    <row r="1121" spans="10:10" x14ac:dyDescent="0.4">
      <c r="J1121" s="140"/>
    </row>
    <row r="1122" spans="10:10" x14ac:dyDescent="0.4">
      <c r="J1122" s="140"/>
    </row>
    <row r="1123" spans="10:10" x14ac:dyDescent="0.4">
      <c r="J1123" s="140"/>
    </row>
    <row r="1124" spans="10:10" x14ac:dyDescent="0.4">
      <c r="J1124" s="140"/>
    </row>
    <row r="1125" spans="10:10" x14ac:dyDescent="0.4">
      <c r="J1125" s="140"/>
    </row>
    <row r="1126" spans="10:10" x14ac:dyDescent="0.4">
      <c r="J1126" s="140"/>
    </row>
    <row r="1127" spans="10:10" x14ac:dyDescent="0.4">
      <c r="J1127" s="140"/>
    </row>
    <row r="1128" spans="10:10" x14ac:dyDescent="0.4">
      <c r="J1128" s="140"/>
    </row>
    <row r="1129" spans="10:10" x14ac:dyDescent="0.4">
      <c r="J1129" s="140"/>
    </row>
    <row r="1130" spans="10:10" x14ac:dyDescent="0.4">
      <c r="J1130" s="140"/>
    </row>
    <row r="1131" spans="10:10" x14ac:dyDescent="0.4">
      <c r="J1131" s="140"/>
    </row>
    <row r="1132" spans="10:10" x14ac:dyDescent="0.4">
      <c r="J1132" s="140"/>
    </row>
    <row r="1133" spans="10:10" x14ac:dyDescent="0.4">
      <c r="J1133" s="140"/>
    </row>
    <row r="1134" spans="10:10" x14ac:dyDescent="0.4">
      <c r="J1134" s="140"/>
    </row>
    <row r="1135" spans="10:10" x14ac:dyDescent="0.4">
      <c r="J1135" s="140"/>
    </row>
    <row r="1136" spans="10:10" x14ac:dyDescent="0.4">
      <c r="J1136" s="140"/>
    </row>
    <row r="1137" spans="10:10" x14ac:dyDescent="0.4">
      <c r="J1137" s="140"/>
    </row>
    <row r="1138" spans="10:10" x14ac:dyDescent="0.4">
      <c r="J1138" s="140"/>
    </row>
    <row r="1139" spans="10:10" x14ac:dyDescent="0.4">
      <c r="J1139" s="140"/>
    </row>
    <row r="1140" spans="10:10" x14ac:dyDescent="0.4">
      <c r="J1140" s="140"/>
    </row>
    <row r="1141" spans="10:10" x14ac:dyDescent="0.4">
      <c r="J1141" s="140"/>
    </row>
    <row r="1142" spans="10:10" x14ac:dyDescent="0.4">
      <c r="J1142" s="140"/>
    </row>
    <row r="1143" spans="10:10" x14ac:dyDescent="0.4">
      <c r="J1143" s="140"/>
    </row>
    <row r="1144" spans="10:10" x14ac:dyDescent="0.4">
      <c r="J1144" s="140"/>
    </row>
    <row r="1145" spans="10:10" x14ac:dyDescent="0.4">
      <c r="J1145" s="140"/>
    </row>
    <row r="1146" spans="10:10" x14ac:dyDescent="0.4">
      <c r="J1146" s="140"/>
    </row>
    <row r="1147" spans="10:10" x14ac:dyDescent="0.4">
      <c r="J1147" s="140"/>
    </row>
    <row r="1148" spans="10:10" x14ac:dyDescent="0.4">
      <c r="J1148" s="140"/>
    </row>
    <row r="1149" spans="10:10" x14ac:dyDescent="0.4">
      <c r="J1149" s="140"/>
    </row>
    <row r="1150" spans="10:10" x14ac:dyDescent="0.4">
      <c r="J1150" s="140"/>
    </row>
    <row r="1151" spans="10:10" x14ac:dyDescent="0.4">
      <c r="J1151" s="140"/>
    </row>
    <row r="1152" spans="10:10" x14ac:dyDescent="0.4">
      <c r="J1152" s="140"/>
    </row>
    <row r="1153" spans="10:10" x14ac:dyDescent="0.4">
      <c r="J1153" s="140"/>
    </row>
    <row r="1154" spans="10:10" x14ac:dyDescent="0.4">
      <c r="J1154" s="140"/>
    </row>
    <row r="1155" spans="10:10" x14ac:dyDescent="0.4">
      <c r="J1155" s="140"/>
    </row>
    <row r="1156" spans="10:10" x14ac:dyDescent="0.4">
      <c r="J1156" s="140"/>
    </row>
    <row r="1157" spans="10:10" x14ac:dyDescent="0.4">
      <c r="J1157" s="140"/>
    </row>
    <row r="1158" spans="10:10" x14ac:dyDescent="0.4">
      <c r="J1158" s="140"/>
    </row>
    <row r="1159" spans="10:10" x14ac:dyDescent="0.4">
      <c r="J1159" s="140"/>
    </row>
    <row r="1160" spans="10:10" x14ac:dyDescent="0.4">
      <c r="J1160" s="140"/>
    </row>
    <row r="1161" spans="10:10" x14ac:dyDescent="0.4">
      <c r="J1161" s="140"/>
    </row>
    <row r="1162" spans="10:10" x14ac:dyDescent="0.4">
      <c r="J1162" s="140"/>
    </row>
    <row r="1163" spans="10:10" x14ac:dyDescent="0.4">
      <c r="J1163" s="140"/>
    </row>
    <row r="1164" spans="10:10" x14ac:dyDescent="0.4">
      <c r="J1164" s="140"/>
    </row>
    <row r="1165" spans="10:10" x14ac:dyDescent="0.4">
      <c r="J1165" s="140"/>
    </row>
    <row r="1166" spans="10:10" x14ac:dyDescent="0.4">
      <c r="J1166" s="140"/>
    </row>
    <row r="1167" spans="10:10" x14ac:dyDescent="0.4">
      <c r="J1167" s="140"/>
    </row>
    <row r="1168" spans="10:10" x14ac:dyDescent="0.4">
      <c r="J1168" s="140"/>
    </row>
    <row r="1169" spans="10:10" x14ac:dyDescent="0.4">
      <c r="J1169" s="140"/>
    </row>
    <row r="1170" spans="10:10" x14ac:dyDescent="0.4">
      <c r="J1170" s="140"/>
    </row>
    <row r="1171" spans="10:10" x14ac:dyDescent="0.4">
      <c r="J1171" s="140"/>
    </row>
    <row r="1172" spans="10:10" x14ac:dyDescent="0.4">
      <c r="J1172" s="140"/>
    </row>
    <row r="1173" spans="10:10" x14ac:dyDescent="0.4">
      <c r="J1173" s="140"/>
    </row>
    <row r="1174" spans="10:10" x14ac:dyDescent="0.4">
      <c r="J1174" s="140"/>
    </row>
    <row r="1175" spans="10:10" x14ac:dyDescent="0.4">
      <c r="J1175" s="140"/>
    </row>
    <row r="1176" spans="10:10" x14ac:dyDescent="0.4">
      <c r="J1176" s="140"/>
    </row>
    <row r="1177" spans="10:10" x14ac:dyDescent="0.4">
      <c r="J1177" s="140"/>
    </row>
    <row r="1178" spans="10:10" x14ac:dyDescent="0.4">
      <c r="J1178" s="140"/>
    </row>
    <row r="1179" spans="10:10" x14ac:dyDescent="0.4">
      <c r="J1179" s="140"/>
    </row>
    <row r="1180" spans="10:10" x14ac:dyDescent="0.4">
      <c r="J1180" s="140"/>
    </row>
    <row r="1181" spans="10:10" x14ac:dyDescent="0.4">
      <c r="J1181" s="140"/>
    </row>
    <row r="1182" spans="10:10" x14ac:dyDescent="0.4">
      <c r="J1182" s="140"/>
    </row>
    <row r="1183" spans="10:10" x14ac:dyDescent="0.4">
      <c r="J1183" s="140"/>
    </row>
    <row r="1184" spans="10:10" x14ac:dyDescent="0.4">
      <c r="J1184" s="140"/>
    </row>
    <row r="1185" spans="10:10" x14ac:dyDescent="0.4">
      <c r="J1185" s="140"/>
    </row>
    <row r="1186" spans="10:10" x14ac:dyDescent="0.4">
      <c r="J1186" s="140"/>
    </row>
    <row r="1187" spans="10:10" x14ac:dyDescent="0.4">
      <c r="J1187" s="140"/>
    </row>
    <row r="1188" spans="10:10" x14ac:dyDescent="0.4">
      <c r="J1188" s="140"/>
    </row>
    <row r="1189" spans="10:10" x14ac:dyDescent="0.4">
      <c r="J1189" s="140"/>
    </row>
    <row r="1190" spans="10:10" x14ac:dyDescent="0.4">
      <c r="J1190" s="140"/>
    </row>
    <row r="1191" spans="10:10" x14ac:dyDescent="0.4">
      <c r="J1191" s="140"/>
    </row>
    <row r="1192" spans="10:10" x14ac:dyDescent="0.4">
      <c r="J1192" s="140"/>
    </row>
    <row r="1193" spans="10:10" x14ac:dyDescent="0.4">
      <c r="J1193" s="140"/>
    </row>
    <row r="1194" spans="10:10" x14ac:dyDescent="0.4">
      <c r="J1194" s="140"/>
    </row>
    <row r="1195" spans="10:10" x14ac:dyDescent="0.4">
      <c r="J1195" s="140"/>
    </row>
    <row r="1196" spans="10:10" x14ac:dyDescent="0.4">
      <c r="J1196" s="140"/>
    </row>
    <row r="1197" spans="10:10" x14ac:dyDescent="0.4">
      <c r="J1197" s="140"/>
    </row>
    <row r="1198" spans="10:10" x14ac:dyDescent="0.4">
      <c r="J1198" s="140"/>
    </row>
    <row r="1199" spans="10:10" x14ac:dyDescent="0.4">
      <c r="J1199" s="140"/>
    </row>
    <row r="1200" spans="10:10" x14ac:dyDescent="0.4">
      <c r="J1200" s="140"/>
    </row>
    <row r="1201" spans="10:10" x14ac:dyDescent="0.4">
      <c r="J1201" s="140"/>
    </row>
    <row r="1202" spans="10:10" x14ac:dyDescent="0.4">
      <c r="J1202" s="140"/>
    </row>
    <row r="1203" spans="10:10" x14ac:dyDescent="0.4">
      <c r="J1203" s="140"/>
    </row>
    <row r="1204" spans="10:10" x14ac:dyDescent="0.4">
      <c r="J1204" s="140"/>
    </row>
    <row r="1205" spans="10:10" x14ac:dyDescent="0.4">
      <c r="J1205" s="140"/>
    </row>
    <row r="1206" spans="10:10" x14ac:dyDescent="0.4">
      <c r="J1206" s="140"/>
    </row>
    <row r="1207" spans="10:10" x14ac:dyDescent="0.4">
      <c r="J1207" s="140"/>
    </row>
    <row r="1208" spans="10:10" x14ac:dyDescent="0.4">
      <c r="J1208" s="140"/>
    </row>
    <row r="1209" spans="10:10" x14ac:dyDescent="0.4">
      <c r="J1209" s="140"/>
    </row>
    <row r="1210" spans="10:10" x14ac:dyDescent="0.4">
      <c r="J1210" s="140"/>
    </row>
    <row r="1211" spans="10:10" x14ac:dyDescent="0.4">
      <c r="J1211" s="140"/>
    </row>
    <row r="1212" spans="10:10" x14ac:dyDescent="0.4">
      <c r="J1212" s="140"/>
    </row>
    <row r="1213" spans="10:10" x14ac:dyDescent="0.4">
      <c r="J1213" s="140"/>
    </row>
    <row r="1214" spans="10:10" x14ac:dyDescent="0.4">
      <c r="J1214" s="140"/>
    </row>
    <row r="1215" spans="10:10" x14ac:dyDescent="0.4">
      <c r="J1215" s="140"/>
    </row>
    <row r="1216" spans="10:10" x14ac:dyDescent="0.4">
      <c r="J1216" s="140"/>
    </row>
    <row r="1217" spans="10:10" x14ac:dyDescent="0.4">
      <c r="J1217" s="140"/>
    </row>
    <row r="1218" spans="10:10" x14ac:dyDescent="0.4">
      <c r="J1218" s="140"/>
    </row>
    <row r="1219" spans="10:10" x14ac:dyDescent="0.4">
      <c r="J1219" s="140"/>
    </row>
    <row r="1220" spans="10:10" x14ac:dyDescent="0.4">
      <c r="J1220" s="140"/>
    </row>
    <row r="1221" spans="10:10" x14ac:dyDescent="0.4">
      <c r="J1221" s="140"/>
    </row>
    <row r="1222" spans="10:10" x14ac:dyDescent="0.4">
      <c r="J1222" s="140"/>
    </row>
    <row r="1223" spans="10:10" x14ac:dyDescent="0.4">
      <c r="J1223" s="140"/>
    </row>
    <row r="1224" spans="10:10" x14ac:dyDescent="0.4">
      <c r="J1224" s="140"/>
    </row>
    <row r="1225" spans="10:10" x14ac:dyDescent="0.4">
      <c r="J1225" s="140"/>
    </row>
    <row r="1226" spans="10:10" x14ac:dyDescent="0.4">
      <c r="J1226" s="140"/>
    </row>
    <row r="1227" spans="10:10" x14ac:dyDescent="0.4">
      <c r="J1227" s="140"/>
    </row>
    <row r="1228" spans="10:10" x14ac:dyDescent="0.4">
      <c r="J1228" s="140"/>
    </row>
    <row r="1229" spans="10:10" x14ac:dyDescent="0.4">
      <c r="J1229" s="140"/>
    </row>
    <row r="1230" spans="10:10" x14ac:dyDescent="0.4">
      <c r="J1230" s="140"/>
    </row>
    <row r="1231" spans="10:10" x14ac:dyDescent="0.4">
      <c r="J1231" s="140"/>
    </row>
    <row r="1232" spans="10:10" x14ac:dyDescent="0.4">
      <c r="J1232" s="140"/>
    </row>
    <row r="1233" spans="10:10" x14ac:dyDescent="0.4">
      <c r="J1233" s="140"/>
    </row>
    <row r="1234" spans="10:10" x14ac:dyDescent="0.4">
      <c r="J1234" s="140"/>
    </row>
    <row r="1235" spans="10:10" x14ac:dyDescent="0.4">
      <c r="J1235" s="140"/>
    </row>
    <row r="1236" spans="10:10" x14ac:dyDescent="0.4">
      <c r="J1236" s="140"/>
    </row>
    <row r="1237" spans="10:10" x14ac:dyDescent="0.4">
      <c r="J1237" s="140"/>
    </row>
    <row r="1238" spans="10:10" x14ac:dyDescent="0.4">
      <c r="J1238" s="140"/>
    </row>
    <row r="1239" spans="10:10" x14ac:dyDescent="0.4">
      <c r="J1239" s="140"/>
    </row>
    <row r="1240" spans="10:10" x14ac:dyDescent="0.4">
      <c r="J1240" s="140"/>
    </row>
    <row r="1241" spans="10:10" x14ac:dyDescent="0.4">
      <c r="J1241" s="140"/>
    </row>
    <row r="1242" spans="10:10" x14ac:dyDescent="0.4">
      <c r="J1242" s="140"/>
    </row>
    <row r="1243" spans="10:10" x14ac:dyDescent="0.4">
      <c r="J1243" s="140"/>
    </row>
    <row r="1244" spans="10:10" x14ac:dyDescent="0.4">
      <c r="J1244" s="140"/>
    </row>
    <row r="1245" spans="10:10" x14ac:dyDescent="0.4">
      <c r="J1245" s="140"/>
    </row>
    <row r="1246" spans="10:10" x14ac:dyDescent="0.4">
      <c r="J1246" s="140"/>
    </row>
    <row r="1247" spans="10:10" x14ac:dyDescent="0.4">
      <c r="J1247" s="140"/>
    </row>
    <row r="1248" spans="10:10" x14ac:dyDescent="0.4">
      <c r="J1248" s="140"/>
    </row>
    <row r="1249" spans="10:10" x14ac:dyDescent="0.4">
      <c r="J1249" s="140"/>
    </row>
    <row r="1250" spans="10:10" x14ac:dyDescent="0.4">
      <c r="J1250" s="140"/>
    </row>
    <row r="1251" spans="10:10" x14ac:dyDescent="0.4">
      <c r="J1251" s="140"/>
    </row>
    <row r="1252" spans="10:10" x14ac:dyDescent="0.4">
      <c r="J1252" s="140"/>
    </row>
    <row r="1253" spans="10:10" x14ac:dyDescent="0.4">
      <c r="J1253" s="140"/>
    </row>
    <row r="1254" spans="10:10" x14ac:dyDescent="0.4">
      <c r="J1254" s="140"/>
    </row>
    <row r="1255" spans="10:10" x14ac:dyDescent="0.4">
      <c r="J1255" s="140"/>
    </row>
    <row r="1256" spans="10:10" x14ac:dyDescent="0.4">
      <c r="J1256" s="140"/>
    </row>
    <row r="1257" spans="10:10" x14ac:dyDescent="0.4">
      <c r="J1257" s="140"/>
    </row>
    <row r="1258" spans="10:10" x14ac:dyDescent="0.4">
      <c r="J1258" s="140"/>
    </row>
    <row r="1259" spans="10:10" x14ac:dyDescent="0.4">
      <c r="J1259" s="140"/>
    </row>
    <row r="1260" spans="10:10" x14ac:dyDescent="0.4">
      <c r="J1260" s="140"/>
    </row>
    <row r="1261" spans="10:10" x14ac:dyDescent="0.4">
      <c r="J1261" s="140"/>
    </row>
    <row r="1262" spans="10:10" x14ac:dyDescent="0.4">
      <c r="J1262" s="140"/>
    </row>
    <row r="1263" spans="10:10" x14ac:dyDescent="0.4">
      <c r="J1263" s="140"/>
    </row>
    <row r="1264" spans="10:10" x14ac:dyDescent="0.4">
      <c r="J1264" s="140"/>
    </row>
    <row r="1265" spans="10:10" x14ac:dyDescent="0.4">
      <c r="J1265" s="140"/>
    </row>
    <row r="1266" spans="10:10" x14ac:dyDescent="0.4">
      <c r="J1266" s="140"/>
    </row>
    <row r="1267" spans="10:10" x14ac:dyDescent="0.4">
      <c r="J1267" s="140"/>
    </row>
    <row r="1268" spans="10:10" x14ac:dyDescent="0.4">
      <c r="J1268" s="140"/>
    </row>
    <row r="1269" spans="10:10" x14ac:dyDescent="0.4">
      <c r="J1269" s="140"/>
    </row>
    <row r="1270" spans="10:10" x14ac:dyDescent="0.4">
      <c r="J1270" s="140"/>
    </row>
    <row r="1271" spans="10:10" x14ac:dyDescent="0.4">
      <c r="J1271" s="140"/>
    </row>
    <row r="1272" spans="10:10" x14ac:dyDescent="0.4">
      <c r="J1272" s="140"/>
    </row>
    <row r="1273" spans="10:10" x14ac:dyDescent="0.4">
      <c r="J1273" s="140"/>
    </row>
    <row r="1274" spans="10:10" x14ac:dyDescent="0.4">
      <c r="J1274" s="140"/>
    </row>
    <row r="1275" spans="10:10" x14ac:dyDescent="0.4">
      <c r="J1275" s="140"/>
    </row>
    <row r="1276" spans="10:10" x14ac:dyDescent="0.4">
      <c r="J1276" s="140"/>
    </row>
    <row r="1277" spans="10:10" x14ac:dyDescent="0.4">
      <c r="J1277" s="140"/>
    </row>
    <row r="1278" spans="10:10" x14ac:dyDescent="0.4">
      <c r="J1278" s="140"/>
    </row>
    <row r="1279" spans="10:10" x14ac:dyDescent="0.4">
      <c r="J1279" s="140"/>
    </row>
    <row r="1280" spans="10:10" x14ac:dyDescent="0.4">
      <c r="J1280" s="140"/>
    </row>
    <row r="1281" spans="10:10" x14ac:dyDescent="0.4">
      <c r="J1281" s="140"/>
    </row>
    <row r="1282" spans="10:10" x14ac:dyDescent="0.4">
      <c r="J1282" s="140"/>
    </row>
    <row r="1283" spans="10:10" x14ac:dyDescent="0.4">
      <c r="J1283" s="140"/>
    </row>
    <row r="1284" spans="10:10" x14ac:dyDescent="0.4">
      <c r="J1284" s="140"/>
    </row>
    <row r="1285" spans="10:10" x14ac:dyDescent="0.4">
      <c r="J1285" s="140"/>
    </row>
    <row r="1286" spans="10:10" x14ac:dyDescent="0.4">
      <c r="J1286" s="140"/>
    </row>
    <row r="1287" spans="10:10" x14ac:dyDescent="0.4">
      <c r="J1287" s="140"/>
    </row>
    <row r="1288" spans="10:10" x14ac:dyDescent="0.4">
      <c r="J1288" s="140"/>
    </row>
    <row r="1289" spans="10:10" x14ac:dyDescent="0.4">
      <c r="J1289" s="140"/>
    </row>
    <row r="1290" spans="10:10" x14ac:dyDescent="0.4">
      <c r="J1290" s="140"/>
    </row>
    <row r="1291" spans="10:10" x14ac:dyDescent="0.4">
      <c r="J1291" s="140"/>
    </row>
    <row r="1292" spans="10:10" x14ac:dyDescent="0.4">
      <c r="J1292" s="140"/>
    </row>
    <row r="1293" spans="10:10" x14ac:dyDescent="0.4">
      <c r="J1293" s="140"/>
    </row>
    <row r="1294" spans="10:10" x14ac:dyDescent="0.4">
      <c r="J1294" s="140"/>
    </row>
    <row r="1295" spans="10:10" x14ac:dyDescent="0.4">
      <c r="J1295" s="140"/>
    </row>
    <row r="1296" spans="10:10" x14ac:dyDescent="0.4">
      <c r="J1296" s="140"/>
    </row>
    <row r="1297" spans="10:10" x14ac:dyDescent="0.4">
      <c r="J1297" s="140"/>
    </row>
    <row r="1298" spans="10:10" x14ac:dyDescent="0.4">
      <c r="J1298" s="140"/>
    </row>
    <row r="1299" spans="10:10" x14ac:dyDescent="0.4">
      <c r="J1299" s="140"/>
    </row>
    <row r="1300" spans="10:10" x14ac:dyDescent="0.4">
      <c r="J1300" s="140"/>
    </row>
    <row r="1301" spans="10:10" x14ac:dyDescent="0.4">
      <c r="J1301" s="140"/>
    </row>
    <row r="1302" spans="10:10" x14ac:dyDescent="0.4">
      <c r="J1302" s="140"/>
    </row>
    <row r="1303" spans="10:10" x14ac:dyDescent="0.4">
      <c r="J1303" s="140"/>
    </row>
    <row r="1304" spans="10:10" x14ac:dyDescent="0.4">
      <c r="J1304" s="140"/>
    </row>
    <row r="1305" spans="10:10" x14ac:dyDescent="0.4">
      <c r="J1305" s="140"/>
    </row>
    <row r="1306" spans="10:10" x14ac:dyDescent="0.4">
      <c r="J1306" s="140"/>
    </row>
    <row r="1307" spans="10:10" x14ac:dyDescent="0.4">
      <c r="J1307" s="140"/>
    </row>
    <row r="1308" spans="10:10" x14ac:dyDescent="0.4">
      <c r="J1308" s="140"/>
    </row>
    <row r="1309" spans="10:10" x14ac:dyDescent="0.4">
      <c r="J1309" s="140"/>
    </row>
    <row r="1310" spans="10:10" x14ac:dyDescent="0.4">
      <c r="J1310" s="140"/>
    </row>
    <row r="1311" spans="10:10" x14ac:dyDescent="0.4">
      <c r="J1311" s="140"/>
    </row>
    <row r="1312" spans="10:10" x14ac:dyDescent="0.4">
      <c r="J1312" s="140"/>
    </row>
    <row r="1313" spans="10:10" x14ac:dyDescent="0.4">
      <c r="J1313" s="140"/>
    </row>
    <row r="1314" spans="10:10" x14ac:dyDescent="0.4">
      <c r="J1314" s="140"/>
    </row>
    <row r="1315" spans="10:10" x14ac:dyDescent="0.4">
      <c r="J1315" s="140"/>
    </row>
    <row r="1316" spans="10:10" x14ac:dyDescent="0.4">
      <c r="J1316" s="140"/>
    </row>
    <row r="1317" spans="10:10" x14ac:dyDescent="0.4">
      <c r="J1317" s="140"/>
    </row>
    <row r="1318" spans="10:10" x14ac:dyDescent="0.4">
      <c r="J1318" s="140"/>
    </row>
    <row r="1319" spans="10:10" x14ac:dyDescent="0.4">
      <c r="J1319" s="140"/>
    </row>
    <row r="1320" spans="10:10" x14ac:dyDescent="0.4">
      <c r="J1320" s="140"/>
    </row>
    <row r="1321" spans="10:10" x14ac:dyDescent="0.4">
      <c r="J1321" s="140"/>
    </row>
    <row r="1322" spans="10:10" x14ac:dyDescent="0.4">
      <c r="J1322" s="140"/>
    </row>
    <row r="1323" spans="10:10" x14ac:dyDescent="0.4">
      <c r="J1323" s="140"/>
    </row>
    <row r="1324" spans="10:10" x14ac:dyDescent="0.4">
      <c r="J1324" s="140"/>
    </row>
    <row r="1325" spans="10:10" x14ac:dyDescent="0.4">
      <c r="J1325" s="140"/>
    </row>
    <row r="1326" spans="10:10" x14ac:dyDescent="0.4">
      <c r="J1326" s="140"/>
    </row>
    <row r="1327" spans="10:10" x14ac:dyDescent="0.4">
      <c r="J1327" s="140"/>
    </row>
    <row r="1328" spans="10:10" x14ac:dyDescent="0.4">
      <c r="J1328" s="140"/>
    </row>
    <row r="1329" spans="10:10" x14ac:dyDescent="0.4">
      <c r="J1329" s="140"/>
    </row>
    <row r="1330" spans="10:10" x14ac:dyDescent="0.4">
      <c r="J1330" s="140"/>
    </row>
    <row r="1331" spans="10:10" x14ac:dyDescent="0.4">
      <c r="J1331" s="140"/>
    </row>
    <row r="1332" spans="10:10" x14ac:dyDescent="0.4">
      <c r="J1332" s="140"/>
    </row>
    <row r="1333" spans="10:10" x14ac:dyDescent="0.4">
      <c r="J1333" s="140"/>
    </row>
    <row r="1334" spans="10:10" x14ac:dyDescent="0.4">
      <c r="J1334" s="140"/>
    </row>
    <row r="1335" spans="10:10" x14ac:dyDescent="0.4">
      <c r="J1335" s="140"/>
    </row>
    <row r="1336" spans="10:10" x14ac:dyDescent="0.4">
      <c r="J1336" s="140"/>
    </row>
    <row r="1337" spans="10:10" x14ac:dyDescent="0.4">
      <c r="J1337" s="140"/>
    </row>
    <row r="1338" spans="10:10" x14ac:dyDescent="0.4">
      <c r="J1338" s="140"/>
    </row>
    <row r="1339" spans="10:10" x14ac:dyDescent="0.4">
      <c r="J1339" s="140"/>
    </row>
    <row r="1340" spans="10:10" x14ac:dyDescent="0.4">
      <c r="J1340" s="140"/>
    </row>
    <row r="1341" spans="10:10" x14ac:dyDescent="0.4">
      <c r="J1341" s="140"/>
    </row>
    <row r="1342" spans="10:10" x14ac:dyDescent="0.4">
      <c r="J1342" s="140"/>
    </row>
    <row r="1343" spans="10:10" x14ac:dyDescent="0.4">
      <c r="J1343" s="140"/>
    </row>
    <row r="1344" spans="10:10" x14ac:dyDescent="0.4">
      <c r="J1344" s="140"/>
    </row>
    <row r="1345" spans="10:10" x14ac:dyDescent="0.4">
      <c r="J1345" s="140"/>
    </row>
    <row r="1346" spans="10:10" x14ac:dyDescent="0.4">
      <c r="J1346" s="140"/>
    </row>
    <row r="1347" spans="10:10" x14ac:dyDescent="0.4">
      <c r="J1347" s="140"/>
    </row>
    <row r="1348" spans="10:10" x14ac:dyDescent="0.4">
      <c r="J1348" s="140"/>
    </row>
    <row r="1349" spans="10:10" x14ac:dyDescent="0.4">
      <c r="J1349" s="140"/>
    </row>
    <row r="1350" spans="10:10" x14ac:dyDescent="0.4">
      <c r="J1350" s="140"/>
    </row>
    <row r="1351" spans="10:10" x14ac:dyDescent="0.4">
      <c r="J1351" s="140"/>
    </row>
    <row r="1352" spans="10:10" x14ac:dyDescent="0.4">
      <c r="J1352" s="140"/>
    </row>
    <row r="1353" spans="10:10" x14ac:dyDescent="0.4">
      <c r="J1353" s="140"/>
    </row>
    <row r="1354" spans="10:10" x14ac:dyDescent="0.4">
      <c r="J1354" s="140"/>
    </row>
    <row r="1355" spans="10:10" x14ac:dyDescent="0.4">
      <c r="J1355" s="140"/>
    </row>
    <row r="1356" spans="10:10" x14ac:dyDescent="0.4">
      <c r="J1356" s="140"/>
    </row>
    <row r="1357" spans="10:10" x14ac:dyDescent="0.4">
      <c r="J1357" s="140"/>
    </row>
    <row r="1358" spans="10:10" x14ac:dyDescent="0.4">
      <c r="J1358" s="140"/>
    </row>
    <row r="1359" spans="10:10" x14ac:dyDescent="0.4">
      <c r="J1359" s="140"/>
    </row>
    <row r="1360" spans="10:10" x14ac:dyDescent="0.4">
      <c r="J1360" s="140"/>
    </row>
    <row r="1361" spans="10:10" x14ac:dyDescent="0.4">
      <c r="J1361" s="140"/>
    </row>
    <row r="1362" spans="10:10" x14ac:dyDescent="0.4">
      <c r="J1362" s="140"/>
    </row>
    <row r="1363" spans="10:10" x14ac:dyDescent="0.4">
      <c r="J1363" s="140"/>
    </row>
    <row r="1364" spans="10:10" x14ac:dyDescent="0.4">
      <c r="J1364" s="140"/>
    </row>
    <row r="1365" spans="10:10" x14ac:dyDescent="0.4">
      <c r="J1365" s="140"/>
    </row>
    <row r="1366" spans="10:10" x14ac:dyDescent="0.4">
      <c r="J1366" s="140"/>
    </row>
    <row r="1367" spans="10:10" x14ac:dyDescent="0.4">
      <c r="J1367" s="140"/>
    </row>
    <row r="1368" spans="10:10" x14ac:dyDescent="0.4">
      <c r="J1368" s="140"/>
    </row>
    <row r="1369" spans="10:10" x14ac:dyDescent="0.4">
      <c r="J1369" s="140"/>
    </row>
    <row r="1370" spans="10:10" x14ac:dyDescent="0.4">
      <c r="J1370" s="140"/>
    </row>
    <row r="1371" spans="10:10" x14ac:dyDescent="0.4">
      <c r="J1371" s="140"/>
    </row>
    <row r="1372" spans="10:10" x14ac:dyDescent="0.4">
      <c r="J1372" s="140"/>
    </row>
    <row r="1373" spans="10:10" x14ac:dyDescent="0.4">
      <c r="J1373" s="140"/>
    </row>
    <row r="1374" spans="10:10" x14ac:dyDescent="0.4">
      <c r="J1374" s="140"/>
    </row>
    <row r="1375" spans="10:10" x14ac:dyDescent="0.4">
      <c r="J1375" s="140"/>
    </row>
    <row r="1376" spans="10:10" x14ac:dyDescent="0.4">
      <c r="J1376" s="140"/>
    </row>
    <row r="1377" spans="10:10" x14ac:dyDescent="0.4">
      <c r="J1377" s="140"/>
    </row>
    <row r="1378" spans="10:10" x14ac:dyDescent="0.4">
      <c r="J1378" s="140"/>
    </row>
    <row r="1379" spans="10:10" x14ac:dyDescent="0.4">
      <c r="J1379" s="140"/>
    </row>
    <row r="1380" spans="10:10" x14ac:dyDescent="0.4">
      <c r="J1380" s="140"/>
    </row>
    <row r="1381" spans="10:10" x14ac:dyDescent="0.4">
      <c r="J1381" s="140"/>
    </row>
    <row r="1382" spans="10:10" x14ac:dyDescent="0.4">
      <c r="J1382" s="140"/>
    </row>
    <row r="1383" spans="10:10" x14ac:dyDescent="0.4">
      <c r="J1383" s="140"/>
    </row>
    <row r="1384" spans="10:10" x14ac:dyDescent="0.4">
      <c r="J1384" s="140"/>
    </row>
    <row r="1385" spans="10:10" x14ac:dyDescent="0.4">
      <c r="J1385" s="140"/>
    </row>
    <row r="1386" spans="10:10" x14ac:dyDescent="0.4">
      <c r="J1386" s="140"/>
    </row>
    <row r="1387" spans="10:10" x14ac:dyDescent="0.4">
      <c r="J1387" s="140"/>
    </row>
    <row r="1388" spans="10:10" x14ac:dyDescent="0.4">
      <c r="J1388" s="140"/>
    </row>
    <row r="1389" spans="10:10" x14ac:dyDescent="0.4">
      <c r="J1389" s="140"/>
    </row>
    <row r="1390" spans="10:10" x14ac:dyDescent="0.4">
      <c r="J1390" s="140"/>
    </row>
    <row r="1391" spans="10:10" x14ac:dyDescent="0.4">
      <c r="J1391" s="140"/>
    </row>
    <row r="1392" spans="10:10" x14ac:dyDescent="0.4">
      <c r="J1392" s="140"/>
    </row>
    <row r="1393" spans="10:10" x14ac:dyDescent="0.4">
      <c r="J1393" s="140"/>
    </row>
    <row r="1394" spans="10:10" x14ac:dyDescent="0.4">
      <c r="J1394" s="140"/>
    </row>
    <row r="1395" spans="10:10" x14ac:dyDescent="0.4">
      <c r="J1395" s="140"/>
    </row>
    <row r="1396" spans="10:10" x14ac:dyDescent="0.4">
      <c r="J1396" s="140"/>
    </row>
    <row r="1397" spans="10:10" x14ac:dyDescent="0.4">
      <c r="J1397" s="140"/>
    </row>
    <row r="1398" spans="10:10" x14ac:dyDescent="0.4">
      <c r="J1398" s="140"/>
    </row>
    <row r="1399" spans="10:10" x14ac:dyDescent="0.4">
      <c r="J1399" s="140"/>
    </row>
    <row r="1400" spans="10:10" x14ac:dyDescent="0.4">
      <c r="J1400" s="140"/>
    </row>
    <row r="1401" spans="10:10" x14ac:dyDescent="0.4">
      <c r="J1401" s="140"/>
    </row>
    <row r="1402" spans="10:10" x14ac:dyDescent="0.4">
      <c r="J1402" s="140"/>
    </row>
    <row r="1403" spans="10:10" x14ac:dyDescent="0.4">
      <c r="J1403" s="140"/>
    </row>
    <row r="1404" spans="10:10" x14ac:dyDescent="0.4">
      <c r="J1404" s="140"/>
    </row>
    <row r="1405" spans="10:10" x14ac:dyDescent="0.4">
      <c r="J1405" s="140"/>
    </row>
    <row r="1406" spans="10:10" x14ac:dyDescent="0.4">
      <c r="J1406" s="140"/>
    </row>
    <row r="1407" spans="10:10" x14ac:dyDescent="0.4">
      <c r="J1407" s="140"/>
    </row>
    <row r="1408" spans="10:10" x14ac:dyDescent="0.4">
      <c r="J1408" s="140"/>
    </row>
    <row r="1409" spans="10:10" x14ac:dyDescent="0.4">
      <c r="J1409" s="140"/>
    </row>
    <row r="1410" spans="10:10" x14ac:dyDescent="0.4">
      <c r="J1410" s="140"/>
    </row>
    <row r="1411" spans="10:10" x14ac:dyDescent="0.4">
      <c r="J1411" s="140"/>
    </row>
    <row r="1412" spans="10:10" x14ac:dyDescent="0.4">
      <c r="J1412" s="140"/>
    </row>
    <row r="1413" spans="10:10" x14ac:dyDescent="0.4">
      <c r="J1413" s="140"/>
    </row>
    <row r="1414" spans="10:10" x14ac:dyDescent="0.4">
      <c r="J1414" s="140"/>
    </row>
    <row r="1415" spans="10:10" x14ac:dyDescent="0.4">
      <c r="J1415" s="140"/>
    </row>
    <row r="1416" spans="10:10" x14ac:dyDescent="0.4">
      <c r="J1416" s="140"/>
    </row>
    <row r="1417" spans="10:10" x14ac:dyDescent="0.4">
      <c r="J1417" s="140"/>
    </row>
    <row r="1418" spans="10:10" x14ac:dyDescent="0.4">
      <c r="J1418" s="140"/>
    </row>
    <row r="1419" spans="10:10" x14ac:dyDescent="0.4">
      <c r="J1419" s="140"/>
    </row>
    <row r="1420" spans="10:10" x14ac:dyDescent="0.4">
      <c r="J1420" s="140"/>
    </row>
    <row r="1421" spans="10:10" x14ac:dyDescent="0.4">
      <c r="J1421" s="140"/>
    </row>
    <row r="1422" spans="10:10" x14ac:dyDescent="0.4">
      <c r="J1422" s="140"/>
    </row>
    <row r="1423" spans="10:10" x14ac:dyDescent="0.4">
      <c r="J1423" s="140"/>
    </row>
    <row r="1424" spans="10:10" x14ac:dyDescent="0.4">
      <c r="J1424" s="140"/>
    </row>
    <row r="1425" spans="10:10" x14ac:dyDescent="0.4">
      <c r="J1425" s="140"/>
    </row>
    <row r="1426" spans="10:10" x14ac:dyDescent="0.4">
      <c r="J1426" s="140"/>
    </row>
    <row r="1427" spans="10:10" x14ac:dyDescent="0.4">
      <c r="J1427" s="140"/>
    </row>
    <row r="1428" spans="10:10" x14ac:dyDescent="0.4">
      <c r="J1428" s="140"/>
    </row>
    <row r="1429" spans="10:10" x14ac:dyDescent="0.4">
      <c r="J1429" s="140"/>
    </row>
    <row r="1430" spans="10:10" x14ac:dyDescent="0.4">
      <c r="J1430" s="140"/>
    </row>
    <row r="1431" spans="10:10" x14ac:dyDescent="0.4">
      <c r="J1431" s="140"/>
    </row>
    <row r="1432" spans="10:10" x14ac:dyDescent="0.4">
      <c r="J1432" s="140"/>
    </row>
    <row r="1433" spans="10:10" x14ac:dyDescent="0.4">
      <c r="J1433" s="140"/>
    </row>
    <row r="1434" spans="10:10" x14ac:dyDescent="0.4">
      <c r="J1434" s="140"/>
    </row>
    <row r="1435" spans="10:10" x14ac:dyDescent="0.4">
      <c r="J1435" s="140"/>
    </row>
    <row r="1436" spans="10:10" x14ac:dyDescent="0.4">
      <c r="J1436" s="140"/>
    </row>
    <row r="1437" spans="10:10" x14ac:dyDescent="0.4">
      <c r="J1437" s="140"/>
    </row>
    <row r="1438" spans="10:10" x14ac:dyDescent="0.4">
      <c r="J1438" s="140"/>
    </row>
    <row r="1439" spans="10:10" x14ac:dyDescent="0.4">
      <c r="J1439" s="140"/>
    </row>
    <row r="1440" spans="10:10" x14ac:dyDescent="0.4">
      <c r="J1440" s="140"/>
    </row>
    <row r="1441" spans="10:10" x14ac:dyDescent="0.4">
      <c r="J1441" s="140"/>
    </row>
    <row r="1442" spans="10:10" x14ac:dyDescent="0.4">
      <c r="J1442" s="140"/>
    </row>
    <row r="1443" spans="10:10" x14ac:dyDescent="0.4">
      <c r="J1443" s="140"/>
    </row>
    <row r="1444" spans="10:10" x14ac:dyDescent="0.4">
      <c r="J1444" s="140"/>
    </row>
    <row r="1445" spans="10:10" x14ac:dyDescent="0.4">
      <c r="J1445" s="140"/>
    </row>
    <row r="1446" spans="10:10" x14ac:dyDescent="0.4">
      <c r="J1446" s="140"/>
    </row>
    <row r="1447" spans="10:10" x14ac:dyDescent="0.4">
      <c r="J1447" s="140"/>
    </row>
    <row r="1448" spans="10:10" x14ac:dyDescent="0.4">
      <c r="J1448" s="140"/>
    </row>
    <row r="1449" spans="10:10" x14ac:dyDescent="0.4">
      <c r="J1449" s="140"/>
    </row>
    <row r="1450" spans="10:10" x14ac:dyDescent="0.4">
      <c r="J1450" s="140"/>
    </row>
    <row r="1451" spans="10:10" x14ac:dyDescent="0.4">
      <c r="J1451" s="140"/>
    </row>
    <row r="1452" spans="10:10" x14ac:dyDescent="0.4">
      <c r="J1452" s="140"/>
    </row>
    <row r="1453" spans="10:10" x14ac:dyDescent="0.4">
      <c r="J1453" s="140"/>
    </row>
    <row r="1454" spans="10:10" x14ac:dyDescent="0.4">
      <c r="J1454" s="140"/>
    </row>
    <row r="1455" spans="10:10" x14ac:dyDescent="0.4">
      <c r="J1455" s="140"/>
    </row>
    <row r="1456" spans="10:10" x14ac:dyDescent="0.4">
      <c r="J1456" s="140"/>
    </row>
    <row r="1457" spans="10:10" x14ac:dyDescent="0.4">
      <c r="J1457" s="140"/>
    </row>
    <row r="1458" spans="10:10" x14ac:dyDescent="0.4">
      <c r="J1458" s="140"/>
    </row>
    <row r="1459" spans="10:10" x14ac:dyDescent="0.4">
      <c r="J1459" s="140"/>
    </row>
    <row r="1460" spans="10:10" x14ac:dyDescent="0.4">
      <c r="J1460" s="140"/>
    </row>
    <row r="1461" spans="10:10" x14ac:dyDescent="0.4">
      <c r="J1461" s="140"/>
    </row>
    <row r="1462" spans="10:10" x14ac:dyDescent="0.4">
      <c r="J1462" s="140"/>
    </row>
    <row r="1463" spans="10:10" x14ac:dyDescent="0.4">
      <c r="J1463" s="140"/>
    </row>
    <row r="1464" spans="10:10" x14ac:dyDescent="0.4">
      <c r="J1464" s="140"/>
    </row>
    <row r="1465" spans="10:10" x14ac:dyDescent="0.4">
      <c r="J1465" s="140"/>
    </row>
    <row r="1466" spans="10:10" x14ac:dyDescent="0.4">
      <c r="J1466" s="140"/>
    </row>
    <row r="1467" spans="10:10" x14ac:dyDescent="0.4">
      <c r="J1467" s="140"/>
    </row>
    <row r="1468" spans="10:10" x14ac:dyDescent="0.4">
      <c r="J1468" s="140"/>
    </row>
    <row r="1469" spans="10:10" x14ac:dyDescent="0.4">
      <c r="J1469" s="140"/>
    </row>
    <row r="1470" spans="10:10" x14ac:dyDescent="0.4">
      <c r="J1470" s="140"/>
    </row>
    <row r="1471" spans="10:10" x14ac:dyDescent="0.4">
      <c r="J1471" s="140"/>
    </row>
    <row r="1472" spans="10:10" x14ac:dyDescent="0.4">
      <c r="J1472" s="140"/>
    </row>
    <row r="1473" spans="10:10" x14ac:dyDescent="0.4">
      <c r="J1473" s="140"/>
    </row>
    <row r="1474" spans="10:10" x14ac:dyDescent="0.4">
      <c r="J1474" s="140"/>
    </row>
    <row r="1475" spans="10:10" x14ac:dyDescent="0.4">
      <c r="J1475" s="140"/>
    </row>
    <row r="1476" spans="10:10" x14ac:dyDescent="0.4">
      <c r="J1476" s="140"/>
    </row>
    <row r="1477" spans="10:10" x14ac:dyDescent="0.4">
      <c r="J1477" s="140"/>
    </row>
    <row r="1478" spans="10:10" x14ac:dyDescent="0.4">
      <c r="J1478" s="140"/>
    </row>
    <row r="1479" spans="10:10" x14ac:dyDescent="0.4">
      <c r="J1479" s="140"/>
    </row>
    <row r="1480" spans="10:10" x14ac:dyDescent="0.4">
      <c r="J1480" s="140"/>
    </row>
    <row r="1481" spans="10:10" x14ac:dyDescent="0.4">
      <c r="J1481" s="140"/>
    </row>
    <row r="1482" spans="10:10" x14ac:dyDescent="0.4">
      <c r="J1482" s="140"/>
    </row>
    <row r="1483" spans="10:10" x14ac:dyDescent="0.4">
      <c r="J1483" s="140"/>
    </row>
    <row r="1484" spans="10:10" x14ac:dyDescent="0.4">
      <c r="J1484" s="140"/>
    </row>
    <row r="1485" spans="10:10" x14ac:dyDescent="0.4">
      <c r="J1485" s="140"/>
    </row>
    <row r="1486" spans="10:10" x14ac:dyDescent="0.4">
      <c r="J1486" s="140"/>
    </row>
    <row r="1487" spans="10:10" x14ac:dyDescent="0.4">
      <c r="J1487" s="140"/>
    </row>
    <row r="1488" spans="10:10" x14ac:dyDescent="0.4">
      <c r="J1488" s="140"/>
    </row>
    <row r="1489" spans="10:10" x14ac:dyDescent="0.4">
      <c r="J1489" s="140"/>
    </row>
    <row r="1490" spans="10:10" x14ac:dyDescent="0.4">
      <c r="J1490" s="140"/>
    </row>
    <row r="1491" spans="10:10" x14ac:dyDescent="0.4">
      <c r="J1491" s="140"/>
    </row>
    <row r="1492" spans="10:10" x14ac:dyDescent="0.4">
      <c r="J1492" s="140"/>
    </row>
    <row r="1493" spans="10:10" x14ac:dyDescent="0.4">
      <c r="J1493" s="140"/>
    </row>
    <row r="1494" spans="10:10" x14ac:dyDescent="0.4">
      <c r="J1494" s="140"/>
    </row>
    <row r="1495" spans="10:10" x14ac:dyDescent="0.4">
      <c r="J1495" s="140"/>
    </row>
    <row r="1496" spans="10:10" x14ac:dyDescent="0.4">
      <c r="J1496" s="140"/>
    </row>
    <row r="1497" spans="10:10" x14ac:dyDescent="0.4">
      <c r="J1497" s="140"/>
    </row>
    <row r="1498" spans="10:10" x14ac:dyDescent="0.4">
      <c r="J1498" s="140"/>
    </row>
    <row r="1499" spans="10:10" x14ac:dyDescent="0.4">
      <c r="J1499" s="140"/>
    </row>
    <row r="1500" spans="10:10" x14ac:dyDescent="0.4">
      <c r="J1500" s="140"/>
    </row>
    <row r="1501" spans="10:10" x14ac:dyDescent="0.4">
      <c r="J1501" s="140"/>
    </row>
    <row r="1502" spans="10:10" x14ac:dyDescent="0.4">
      <c r="J1502" s="140"/>
    </row>
    <row r="1503" spans="10:10" x14ac:dyDescent="0.4">
      <c r="J1503" s="140"/>
    </row>
    <row r="1504" spans="10:10" x14ac:dyDescent="0.4">
      <c r="J1504" s="140"/>
    </row>
    <row r="1505" spans="10:10" x14ac:dyDescent="0.4">
      <c r="J1505" s="140"/>
    </row>
    <row r="1506" spans="10:10" x14ac:dyDescent="0.4">
      <c r="J1506" s="140"/>
    </row>
    <row r="1507" spans="10:10" x14ac:dyDescent="0.4">
      <c r="J1507" s="140"/>
    </row>
    <row r="1508" spans="10:10" x14ac:dyDescent="0.4">
      <c r="J1508" s="140"/>
    </row>
    <row r="1509" spans="10:10" x14ac:dyDescent="0.4">
      <c r="J1509" s="140"/>
    </row>
    <row r="1510" spans="10:10" x14ac:dyDescent="0.4">
      <c r="J1510" s="140"/>
    </row>
    <row r="1511" spans="10:10" x14ac:dyDescent="0.4">
      <c r="J1511" s="140"/>
    </row>
    <row r="1512" spans="10:10" x14ac:dyDescent="0.4">
      <c r="J1512" s="140"/>
    </row>
    <row r="1513" spans="10:10" x14ac:dyDescent="0.4">
      <c r="J1513" s="140"/>
    </row>
    <row r="1514" spans="10:10" x14ac:dyDescent="0.4">
      <c r="J1514" s="140"/>
    </row>
    <row r="1515" spans="10:10" x14ac:dyDescent="0.4">
      <c r="J1515" s="140"/>
    </row>
    <row r="1516" spans="10:10" x14ac:dyDescent="0.4">
      <c r="J1516" s="140"/>
    </row>
    <row r="1517" spans="10:10" x14ac:dyDescent="0.4">
      <c r="J1517" s="140"/>
    </row>
    <row r="1518" spans="10:10" x14ac:dyDescent="0.4">
      <c r="J1518" s="140"/>
    </row>
    <row r="1519" spans="10:10" x14ac:dyDescent="0.4">
      <c r="J1519" s="140"/>
    </row>
    <row r="1520" spans="10:10" x14ac:dyDescent="0.4">
      <c r="J1520" s="140"/>
    </row>
    <row r="1521" spans="10:10" x14ac:dyDescent="0.4">
      <c r="J1521" s="140"/>
    </row>
    <row r="1522" spans="10:10" x14ac:dyDescent="0.4">
      <c r="J1522" s="140"/>
    </row>
    <row r="1523" spans="10:10" x14ac:dyDescent="0.4">
      <c r="J1523" s="140"/>
    </row>
    <row r="1524" spans="10:10" x14ac:dyDescent="0.4">
      <c r="J1524" s="140"/>
    </row>
    <row r="1525" spans="10:10" x14ac:dyDescent="0.4">
      <c r="J1525" s="140"/>
    </row>
    <row r="1526" spans="10:10" x14ac:dyDescent="0.4">
      <c r="J1526" s="140"/>
    </row>
    <row r="1527" spans="10:10" x14ac:dyDescent="0.4">
      <c r="J1527" s="140"/>
    </row>
    <row r="1528" spans="10:10" x14ac:dyDescent="0.4">
      <c r="J1528" s="140"/>
    </row>
    <row r="1529" spans="10:10" x14ac:dyDescent="0.4">
      <c r="J1529" s="140"/>
    </row>
    <row r="1530" spans="10:10" x14ac:dyDescent="0.4">
      <c r="J1530" s="140"/>
    </row>
    <row r="1531" spans="10:10" x14ac:dyDescent="0.4">
      <c r="J1531" s="140"/>
    </row>
    <row r="1532" spans="10:10" x14ac:dyDescent="0.4">
      <c r="J1532" s="140"/>
    </row>
    <row r="1533" spans="10:10" x14ac:dyDescent="0.4">
      <c r="J1533" s="140"/>
    </row>
    <row r="1534" spans="10:10" x14ac:dyDescent="0.4">
      <c r="J1534" s="140"/>
    </row>
    <row r="1535" spans="10:10" x14ac:dyDescent="0.4">
      <c r="J1535" s="140"/>
    </row>
    <row r="1536" spans="10:10" x14ac:dyDescent="0.4">
      <c r="J1536" s="140"/>
    </row>
    <row r="1537" spans="10:10" x14ac:dyDescent="0.4">
      <c r="J1537" s="140"/>
    </row>
    <row r="1538" spans="10:10" x14ac:dyDescent="0.4">
      <c r="J1538" s="140"/>
    </row>
    <row r="1539" spans="10:10" x14ac:dyDescent="0.4">
      <c r="J1539" s="140"/>
    </row>
    <row r="1540" spans="10:10" x14ac:dyDescent="0.4">
      <c r="J1540" s="140"/>
    </row>
    <row r="1541" spans="10:10" x14ac:dyDescent="0.4">
      <c r="J1541" s="140"/>
    </row>
    <row r="1542" spans="10:10" x14ac:dyDescent="0.4">
      <c r="J1542" s="140"/>
    </row>
    <row r="1543" spans="10:10" x14ac:dyDescent="0.4">
      <c r="J1543" s="140"/>
    </row>
    <row r="1544" spans="10:10" x14ac:dyDescent="0.4">
      <c r="J1544" s="140"/>
    </row>
    <row r="1545" spans="10:10" x14ac:dyDescent="0.4">
      <c r="J1545" s="140"/>
    </row>
    <row r="1546" spans="10:10" x14ac:dyDescent="0.4">
      <c r="J1546" s="140"/>
    </row>
    <row r="1547" spans="10:10" x14ac:dyDescent="0.4">
      <c r="J1547" s="140"/>
    </row>
    <row r="1548" spans="10:10" x14ac:dyDescent="0.4">
      <c r="J1548" s="140"/>
    </row>
    <row r="1549" spans="10:10" x14ac:dyDescent="0.4">
      <c r="J1549" s="140"/>
    </row>
    <row r="1550" spans="10:10" x14ac:dyDescent="0.4">
      <c r="J1550" s="140"/>
    </row>
    <row r="1551" spans="10:10" x14ac:dyDescent="0.4">
      <c r="J1551" s="140"/>
    </row>
    <row r="1552" spans="10:10" x14ac:dyDescent="0.4">
      <c r="J1552" s="140"/>
    </row>
    <row r="1553" spans="10:10" x14ac:dyDescent="0.4">
      <c r="J1553" s="140"/>
    </row>
    <row r="1554" spans="10:10" x14ac:dyDescent="0.4">
      <c r="J1554" s="140"/>
    </row>
    <row r="1555" spans="10:10" x14ac:dyDescent="0.4">
      <c r="J1555" s="140"/>
    </row>
    <row r="1556" spans="10:10" x14ac:dyDescent="0.4">
      <c r="J1556" s="140"/>
    </row>
    <row r="1557" spans="10:10" x14ac:dyDescent="0.4">
      <c r="J1557" s="140"/>
    </row>
    <row r="1558" spans="10:10" x14ac:dyDescent="0.4">
      <c r="J1558" s="140"/>
    </row>
    <row r="1559" spans="10:10" x14ac:dyDescent="0.4">
      <c r="J1559" s="140"/>
    </row>
    <row r="1560" spans="10:10" x14ac:dyDescent="0.4">
      <c r="J1560" s="140"/>
    </row>
    <row r="1561" spans="10:10" x14ac:dyDescent="0.4">
      <c r="J1561" s="140"/>
    </row>
    <row r="1562" spans="10:10" x14ac:dyDescent="0.4">
      <c r="J1562" s="140"/>
    </row>
    <row r="1563" spans="10:10" x14ac:dyDescent="0.4">
      <c r="J1563" s="140"/>
    </row>
    <row r="1564" spans="10:10" x14ac:dyDescent="0.4">
      <c r="J1564" s="140"/>
    </row>
    <row r="1565" spans="10:10" x14ac:dyDescent="0.4">
      <c r="J1565" s="140"/>
    </row>
    <row r="1566" spans="10:10" x14ac:dyDescent="0.4">
      <c r="J1566" s="140"/>
    </row>
    <row r="1567" spans="10:10" x14ac:dyDescent="0.4">
      <c r="J1567" s="140"/>
    </row>
    <row r="1568" spans="10:10" x14ac:dyDescent="0.4">
      <c r="J1568" s="140"/>
    </row>
    <row r="1569" spans="10:10" x14ac:dyDescent="0.4">
      <c r="J1569" s="140"/>
    </row>
    <row r="1570" spans="10:10" x14ac:dyDescent="0.4">
      <c r="J1570" s="140"/>
    </row>
    <row r="1571" spans="10:10" x14ac:dyDescent="0.4">
      <c r="J1571" s="140"/>
    </row>
    <row r="1572" spans="10:10" x14ac:dyDescent="0.4">
      <c r="J1572" s="140"/>
    </row>
    <row r="1573" spans="10:10" x14ac:dyDescent="0.4">
      <c r="J1573" s="140"/>
    </row>
    <row r="1574" spans="10:10" x14ac:dyDescent="0.4">
      <c r="J1574" s="140"/>
    </row>
    <row r="1575" spans="10:10" x14ac:dyDescent="0.4">
      <c r="J1575" s="140"/>
    </row>
    <row r="1576" spans="10:10" x14ac:dyDescent="0.4">
      <c r="J1576" s="140"/>
    </row>
    <row r="1577" spans="10:10" x14ac:dyDescent="0.4">
      <c r="J1577" s="140"/>
    </row>
    <row r="1578" spans="10:10" x14ac:dyDescent="0.4">
      <c r="J1578" s="140"/>
    </row>
    <row r="1579" spans="10:10" x14ac:dyDescent="0.4">
      <c r="J1579" s="140"/>
    </row>
    <row r="1580" spans="10:10" x14ac:dyDescent="0.4">
      <c r="J1580" s="140"/>
    </row>
    <row r="1581" spans="10:10" x14ac:dyDescent="0.4">
      <c r="J1581" s="140"/>
    </row>
    <row r="1582" spans="10:10" x14ac:dyDescent="0.4">
      <c r="J1582" s="140"/>
    </row>
    <row r="1583" spans="10:10" x14ac:dyDescent="0.4">
      <c r="J1583" s="140"/>
    </row>
    <row r="1584" spans="10:10" x14ac:dyDescent="0.4">
      <c r="J1584" s="140"/>
    </row>
    <row r="1585" spans="10:10" x14ac:dyDescent="0.4">
      <c r="J1585" s="140"/>
    </row>
    <row r="1586" spans="10:10" x14ac:dyDescent="0.4">
      <c r="J1586" s="140"/>
    </row>
    <row r="1587" spans="10:10" x14ac:dyDescent="0.4">
      <c r="J1587" s="140"/>
    </row>
    <row r="1588" spans="10:10" x14ac:dyDescent="0.4">
      <c r="J1588" s="140"/>
    </row>
    <row r="1589" spans="10:10" x14ac:dyDescent="0.4">
      <c r="J1589" s="140"/>
    </row>
    <row r="1590" spans="10:10" x14ac:dyDescent="0.4">
      <c r="J1590" s="140"/>
    </row>
    <row r="1591" spans="10:10" x14ac:dyDescent="0.4">
      <c r="J1591" s="140"/>
    </row>
    <row r="1592" spans="10:10" x14ac:dyDescent="0.4">
      <c r="J1592" s="140"/>
    </row>
    <row r="1593" spans="10:10" x14ac:dyDescent="0.4">
      <c r="J1593" s="140"/>
    </row>
    <row r="1594" spans="10:10" x14ac:dyDescent="0.4">
      <c r="J1594" s="140"/>
    </row>
    <row r="1595" spans="10:10" x14ac:dyDescent="0.4">
      <c r="J1595" s="140"/>
    </row>
    <row r="1596" spans="10:10" x14ac:dyDescent="0.4">
      <c r="J1596" s="140"/>
    </row>
    <row r="1597" spans="10:10" x14ac:dyDescent="0.4">
      <c r="J1597" s="140"/>
    </row>
    <row r="1598" spans="10:10" x14ac:dyDescent="0.4">
      <c r="J1598" s="140"/>
    </row>
    <row r="1599" spans="10:10" x14ac:dyDescent="0.4">
      <c r="J1599" s="140"/>
    </row>
    <row r="1600" spans="10:10" x14ac:dyDescent="0.4">
      <c r="J1600" s="140"/>
    </row>
    <row r="1601" spans="10:10" x14ac:dyDescent="0.4">
      <c r="J1601" s="140"/>
    </row>
    <row r="1602" spans="10:10" x14ac:dyDescent="0.4">
      <c r="J1602" s="140"/>
    </row>
    <row r="1603" spans="10:10" x14ac:dyDescent="0.4">
      <c r="J1603" s="140"/>
    </row>
    <row r="1604" spans="10:10" x14ac:dyDescent="0.4">
      <c r="J1604" s="140"/>
    </row>
    <row r="1605" spans="10:10" x14ac:dyDescent="0.4">
      <c r="J1605" s="140"/>
    </row>
    <row r="1606" spans="10:10" x14ac:dyDescent="0.4">
      <c r="J1606" s="140"/>
    </row>
    <row r="1607" spans="10:10" x14ac:dyDescent="0.4">
      <c r="J1607" s="140"/>
    </row>
    <row r="1608" spans="10:10" x14ac:dyDescent="0.4">
      <c r="J1608" s="140"/>
    </row>
    <row r="1609" spans="10:10" x14ac:dyDescent="0.4">
      <c r="J1609" s="140"/>
    </row>
    <row r="1610" spans="10:10" x14ac:dyDescent="0.4">
      <c r="J1610" s="140"/>
    </row>
    <row r="1611" spans="10:10" x14ac:dyDescent="0.4">
      <c r="J1611" s="140"/>
    </row>
    <row r="1612" spans="10:10" x14ac:dyDescent="0.4">
      <c r="J1612" s="140"/>
    </row>
    <row r="1613" spans="10:10" x14ac:dyDescent="0.4">
      <c r="J1613" s="140"/>
    </row>
    <row r="1614" spans="10:10" x14ac:dyDescent="0.4">
      <c r="J1614" s="140"/>
    </row>
    <row r="1615" spans="10:10" x14ac:dyDescent="0.4">
      <c r="J1615" s="140"/>
    </row>
    <row r="1616" spans="10:10" x14ac:dyDescent="0.4">
      <c r="J1616" s="140"/>
    </row>
    <row r="1617" spans="10:10" x14ac:dyDescent="0.4">
      <c r="J1617" s="140"/>
    </row>
    <row r="1618" spans="10:10" x14ac:dyDescent="0.4">
      <c r="J1618" s="140"/>
    </row>
    <row r="1619" spans="10:10" x14ac:dyDescent="0.4">
      <c r="J1619" s="140"/>
    </row>
    <row r="1620" spans="10:10" x14ac:dyDescent="0.4">
      <c r="J1620" s="140"/>
    </row>
    <row r="1621" spans="10:10" x14ac:dyDescent="0.4">
      <c r="J1621" s="140"/>
    </row>
    <row r="1622" spans="10:10" x14ac:dyDescent="0.4">
      <c r="J1622" s="140"/>
    </row>
    <row r="1623" spans="10:10" x14ac:dyDescent="0.4">
      <c r="J1623" s="140"/>
    </row>
    <row r="1624" spans="10:10" x14ac:dyDescent="0.4">
      <c r="J1624" s="140"/>
    </row>
    <row r="1625" spans="10:10" x14ac:dyDescent="0.4">
      <c r="J1625" s="140"/>
    </row>
    <row r="1626" spans="10:10" x14ac:dyDescent="0.4">
      <c r="J1626" s="140"/>
    </row>
    <row r="1627" spans="10:10" x14ac:dyDescent="0.4">
      <c r="J1627" s="140"/>
    </row>
    <row r="1628" spans="10:10" x14ac:dyDescent="0.4">
      <c r="J1628" s="140"/>
    </row>
    <row r="1629" spans="10:10" x14ac:dyDescent="0.4">
      <c r="J1629" s="140"/>
    </row>
    <row r="1630" spans="10:10" x14ac:dyDescent="0.4">
      <c r="J1630" s="140"/>
    </row>
    <row r="1631" spans="10:10" x14ac:dyDescent="0.4">
      <c r="J1631" s="140"/>
    </row>
    <row r="1632" spans="10:10" x14ac:dyDescent="0.4">
      <c r="J1632" s="140"/>
    </row>
    <row r="1633" spans="10:10" x14ac:dyDescent="0.4">
      <c r="J1633" s="140"/>
    </row>
    <row r="1634" spans="10:10" x14ac:dyDescent="0.4">
      <c r="J1634" s="140"/>
    </row>
    <row r="1635" spans="10:10" x14ac:dyDescent="0.4">
      <c r="J1635" s="140"/>
    </row>
    <row r="1636" spans="10:10" x14ac:dyDescent="0.4">
      <c r="J1636" s="140"/>
    </row>
    <row r="1637" spans="10:10" x14ac:dyDescent="0.4">
      <c r="J1637" s="140"/>
    </row>
    <row r="1638" spans="10:10" x14ac:dyDescent="0.4">
      <c r="J1638" s="140"/>
    </row>
    <row r="1639" spans="10:10" x14ac:dyDescent="0.4">
      <c r="J1639" s="140"/>
    </row>
    <row r="1640" spans="10:10" x14ac:dyDescent="0.4">
      <c r="J1640" s="140"/>
    </row>
    <row r="1641" spans="10:10" x14ac:dyDescent="0.4">
      <c r="J1641" s="140"/>
    </row>
    <row r="1642" spans="10:10" x14ac:dyDescent="0.4">
      <c r="J1642" s="140"/>
    </row>
    <row r="1643" spans="10:10" x14ac:dyDescent="0.4">
      <c r="J1643" s="140"/>
    </row>
    <row r="1644" spans="10:10" x14ac:dyDescent="0.4">
      <c r="J1644" s="140"/>
    </row>
    <row r="1645" spans="10:10" x14ac:dyDescent="0.4">
      <c r="J1645" s="140"/>
    </row>
    <row r="1646" spans="10:10" x14ac:dyDescent="0.4">
      <c r="J1646" s="140"/>
    </row>
    <row r="1647" spans="10:10" x14ac:dyDescent="0.4">
      <c r="J1647" s="140"/>
    </row>
    <row r="1648" spans="10:10" x14ac:dyDescent="0.4">
      <c r="J1648" s="140"/>
    </row>
    <row r="1649" spans="10:10" x14ac:dyDescent="0.4">
      <c r="J1649" s="140"/>
    </row>
    <row r="1650" spans="10:10" x14ac:dyDescent="0.4">
      <c r="J1650" s="140"/>
    </row>
    <row r="1651" spans="10:10" x14ac:dyDescent="0.4">
      <c r="J1651" s="140"/>
    </row>
    <row r="1652" spans="10:10" x14ac:dyDescent="0.4">
      <c r="J1652" s="140"/>
    </row>
    <row r="1653" spans="10:10" x14ac:dyDescent="0.4">
      <c r="J1653" s="140"/>
    </row>
    <row r="1654" spans="10:10" x14ac:dyDescent="0.4">
      <c r="J1654" s="140"/>
    </row>
    <row r="1655" spans="10:10" x14ac:dyDescent="0.4">
      <c r="J1655" s="140"/>
    </row>
    <row r="1656" spans="10:10" x14ac:dyDescent="0.4">
      <c r="J1656" s="140"/>
    </row>
    <row r="1657" spans="10:10" x14ac:dyDescent="0.4">
      <c r="J1657" s="140"/>
    </row>
    <row r="1658" spans="10:10" x14ac:dyDescent="0.4">
      <c r="J1658" s="140"/>
    </row>
    <row r="1659" spans="10:10" x14ac:dyDescent="0.4">
      <c r="J1659" s="140"/>
    </row>
    <row r="1660" spans="10:10" x14ac:dyDescent="0.4">
      <c r="J1660" s="140"/>
    </row>
    <row r="1661" spans="10:10" x14ac:dyDescent="0.4">
      <c r="J1661" s="140"/>
    </row>
    <row r="1662" spans="10:10" x14ac:dyDescent="0.4">
      <c r="J1662" s="140"/>
    </row>
    <row r="1663" spans="10:10" x14ac:dyDescent="0.4">
      <c r="J1663" s="140"/>
    </row>
    <row r="1664" spans="10:10" x14ac:dyDescent="0.4">
      <c r="J1664" s="140"/>
    </row>
    <row r="1665" spans="10:10" x14ac:dyDescent="0.4">
      <c r="J1665" s="140"/>
    </row>
    <row r="1666" spans="10:10" x14ac:dyDescent="0.4">
      <c r="J1666" s="140"/>
    </row>
    <row r="1667" spans="10:10" x14ac:dyDescent="0.4">
      <c r="J1667" s="140"/>
    </row>
    <row r="1668" spans="10:10" x14ac:dyDescent="0.4">
      <c r="J1668" s="140"/>
    </row>
    <row r="1669" spans="10:10" x14ac:dyDescent="0.4">
      <c r="J1669" s="140"/>
    </row>
    <row r="1670" spans="10:10" x14ac:dyDescent="0.4">
      <c r="J1670" s="140"/>
    </row>
    <row r="1671" spans="10:10" x14ac:dyDescent="0.4">
      <c r="J1671" s="140"/>
    </row>
    <row r="1672" spans="10:10" x14ac:dyDescent="0.4">
      <c r="J1672" s="140"/>
    </row>
    <row r="1673" spans="10:10" x14ac:dyDescent="0.4">
      <c r="J1673" s="140"/>
    </row>
    <row r="1674" spans="10:10" x14ac:dyDescent="0.4">
      <c r="J1674" s="140"/>
    </row>
    <row r="1675" spans="10:10" x14ac:dyDescent="0.4">
      <c r="J1675" s="140"/>
    </row>
    <row r="1676" spans="10:10" x14ac:dyDescent="0.4">
      <c r="J1676" s="140"/>
    </row>
    <row r="1677" spans="10:10" x14ac:dyDescent="0.4">
      <c r="J1677" s="140"/>
    </row>
    <row r="1678" spans="10:10" x14ac:dyDescent="0.4">
      <c r="J1678" s="140"/>
    </row>
    <row r="1679" spans="10:10" x14ac:dyDescent="0.4">
      <c r="J1679" s="140"/>
    </row>
    <row r="1680" spans="10:10" x14ac:dyDescent="0.4">
      <c r="J1680" s="140"/>
    </row>
    <row r="1681" spans="10:10" x14ac:dyDescent="0.4">
      <c r="J1681" s="140"/>
    </row>
    <row r="1682" spans="10:10" x14ac:dyDescent="0.4">
      <c r="J1682" s="140"/>
    </row>
    <row r="1683" spans="10:10" x14ac:dyDescent="0.4">
      <c r="J1683" s="140"/>
    </row>
    <row r="1684" spans="10:10" x14ac:dyDescent="0.4">
      <c r="J1684" s="140"/>
    </row>
    <row r="1685" spans="10:10" x14ac:dyDescent="0.4">
      <c r="J1685" s="140"/>
    </row>
    <row r="1686" spans="10:10" x14ac:dyDescent="0.4">
      <c r="J1686" s="140"/>
    </row>
    <row r="1687" spans="10:10" x14ac:dyDescent="0.4">
      <c r="J1687" s="140"/>
    </row>
    <row r="1688" spans="10:10" x14ac:dyDescent="0.4">
      <c r="J1688" s="140"/>
    </row>
    <row r="1689" spans="10:10" x14ac:dyDescent="0.4">
      <c r="J1689" s="140"/>
    </row>
    <row r="1690" spans="10:10" x14ac:dyDescent="0.4">
      <c r="J1690" s="140"/>
    </row>
    <row r="1691" spans="10:10" x14ac:dyDescent="0.4">
      <c r="J1691" s="140"/>
    </row>
    <row r="1692" spans="10:10" x14ac:dyDescent="0.4">
      <c r="J1692" s="140"/>
    </row>
    <row r="1693" spans="10:10" x14ac:dyDescent="0.4">
      <c r="J1693" s="140"/>
    </row>
    <row r="1694" spans="10:10" x14ac:dyDescent="0.4">
      <c r="J1694" s="140"/>
    </row>
    <row r="1695" spans="10:10" x14ac:dyDescent="0.4">
      <c r="J1695" s="140"/>
    </row>
    <row r="1696" spans="10:10" x14ac:dyDescent="0.4">
      <c r="J1696" s="140"/>
    </row>
    <row r="1697" spans="10:10" x14ac:dyDescent="0.4">
      <c r="J1697" s="140"/>
    </row>
    <row r="1698" spans="10:10" x14ac:dyDescent="0.4">
      <c r="J1698" s="140"/>
    </row>
    <row r="1699" spans="10:10" x14ac:dyDescent="0.4">
      <c r="J1699" s="140"/>
    </row>
    <row r="1700" spans="10:10" x14ac:dyDescent="0.4">
      <c r="J1700" s="140"/>
    </row>
    <row r="1701" spans="10:10" x14ac:dyDescent="0.4">
      <c r="J1701" s="140"/>
    </row>
    <row r="1702" spans="10:10" x14ac:dyDescent="0.4">
      <c r="J1702" s="140"/>
    </row>
    <row r="1703" spans="10:10" x14ac:dyDescent="0.4">
      <c r="J1703" s="140"/>
    </row>
    <row r="1704" spans="10:10" x14ac:dyDescent="0.4">
      <c r="J1704" s="140"/>
    </row>
    <row r="1705" spans="10:10" x14ac:dyDescent="0.4">
      <c r="J1705" s="140"/>
    </row>
    <row r="1706" spans="10:10" x14ac:dyDescent="0.4">
      <c r="J1706" s="140"/>
    </row>
    <row r="1707" spans="10:10" x14ac:dyDescent="0.4">
      <c r="J1707" s="140"/>
    </row>
    <row r="1708" spans="10:10" x14ac:dyDescent="0.4">
      <c r="J1708" s="140"/>
    </row>
    <row r="1709" spans="10:10" x14ac:dyDescent="0.4">
      <c r="J1709" s="140"/>
    </row>
    <row r="1710" spans="10:10" x14ac:dyDescent="0.4">
      <c r="J1710" s="140"/>
    </row>
    <row r="1711" spans="10:10" x14ac:dyDescent="0.4">
      <c r="J1711" s="140"/>
    </row>
    <row r="1712" spans="10:10" x14ac:dyDescent="0.4">
      <c r="J1712" s="140"/>
    </row>
    <row r="1713" spans="10:10" x14ac:dyDescent="0.4">
      <c r="J1713" s="140"/>
    </row>
    <row r="1714" spans="10:10" x14ac:dyDescent="0.4">
      <c r="J1714" s="140"/>
    </row>
    <row r="1715" spans="10:10" x14ac:dyDescent="0.4">
      <c r="J1715" s="140"/>
    </row>
    <row r="1716" spans="10:10" x14ac:dyDescent="0.4">
      <c r="J1716" s="140"/>
    </row>
    <row r="1717" spans="10:10" x14ac:dyDescent="0.4">
      <c r="J1717" s="140"/>
    </row>
    <row r="1718" spans="10:10" x14ac:dyDescent="0.4">
      <c r="J1718" s="140"/>
    </row>
    <row r="1719" spans="10:10" x14ac:dyDescent="0.4">
      <c r="J1719" s="140"/>
    </row>
    <row r="1720" spans="10:10" x14ac:dyDescent="0.4">
      <c r="J1720" s="140"/>
    </row>
    <row r="1721" spans="10:10" x14ac:dyDescent="0.4">
      <c r="J1721" s="140"/>
    </row>
    <row r="1722" spans="10:10" x14ac:dyDescent="0.4">
      <c r="J1722" s="140"/>
    </row>
    <row r="1723" spans="10:10" x14ac:dyDescent="0.4">
      <c r="J1723" s="140"/>
    </row>
    <row r="1724" spans="10:10" x14ac:dyDescent="0.4">
      <c r="J1724" s="140"/>
    </row>
    <row r="1725" spans="10:10" x14ac:dyDescent="0.4">
      <c r="J1725" s="140"/>
    </row>
    <row r="1726" spans="10:10" x14ac:dyDescent="0.4">
      <c r="J1726" s="140"/>
    </row>
    <row r="1727" spans="10:10" x14ac:dyDescent="0.4">
      <c r="J1727" s="140"/>
    </row>
    <row r="1728" spans="10:10" x14ac:dyDescent="0.4">
      <c r="J1728" s="140"/>
    </row>
    <row r="1729" spans="10:10" x14ac:dyDescent="0.4">
      <c r="J1729" s="140"/>
    </row>
    <row r="1730" spans="10:10" x14ac:dyDescent="0.4">
      <c r="J1730" s="140"/>
    </row>
    <row r="1731" spans="10:10" x14ac:dyDescent="0.4">
      <c r="J1731" s="140"/>
    </row>
    <row r="1732" spans="10:10" x14ac:dyDescent="0.4">
      <c r="J1732" s="140"/>
    </row>
    <row r="1733" spans="10:10" x14ac:dyDescent="0.4">
      <c r="J1733" s="140"/>
    </row>
    <row r="1734" spans="10:10" x14ac:dyDescent="0.4">
      <c r="J1734" s="140"/>
    </row>
    <row r="1735" spans="10:10" x14ac:dyDescent="0.4">
      <c r="J1735" s="140"/>
    </row>
    <row r="1736" spans="10:10" x14ac:dyDescent="0.4">
      <c r="J1736" s="140"/>
    </row>
    <row r="1737" spans="10:10" x14ac:dyDescent="0.4">
      <c r="J1737" s="140"/>
    </row>
    <row r="1738" spans="10:10" x14ac:dyDescent="0.4">
      <c r="J1738" s="140"/>
    </row>
    <row r="1739" spans="10:10" x14ac:dyDescent="0.4">
      <c r="J1739" s="140"/>
    </row>
    <row r="1740" spans="10:10" x14ac:dyDescent="0.4">
      <c r="J1740" s="140"/>
    </row>
    <row r="1741" spans="10:10" x14ac:dyDescent="0.4">
      <c r="J1741" s="140"/>
    </row>
    <row r="1742" spans="10:10" x14ac:dyDescent="0.4">
      <c r="J1742" s="140"/>
    </row>
    <row r="1743" spans="10:10" x14ac:dyDescent="0.4">
      <c r="J1743" s="140"/>
    </row>
    <row r="1744" spans="10:10" x14ac:dyDescent="0.4">
      <c r="J1744" s="140"/>
    </row>
    <row r="1745" spans="10:10" x14ac:dyDescent="0.4">
      <c r="J1745" s="140"/>
    </row>
    <row r="1746" spans="10:10" x14ac:dyDescent="0.4">
      <c r="J1746" s="140"/>
    </row>
    <row r="1747" spans="10:10" x14ac:dyDescent="0.4">
      <c r="J1747" s="140"/>
    </row>
    <row r="1748" spans="10:10" x14ac:dyDescent="0.4">
      <c r="J1748" s="140"/>
    </row>
    <row r="1749" spans="10:10" x14ac:dyDescent="0.4">
      <c r="J1749" s="140"/>
    </row>
    <row r="1750" spans="10:10" x14ac:dyDescent="0.4">
      <c r="J1750" s="140"/>
    </row>
    <row r="1751" spans="10:10" x14ac:dyDescent="0.4">
      <c r="J1751" s="140"/>
    </row>
    <row r="1752" spans="10:10" x14ac:dyDescent="0.4">
      <c r="J1752" s="140"/>
    </row>
    <row r="1753" spans="10:10" x14ac:dyDescent="0.4">
      <c r="J1753" s="140"/>
    </row>
    <row r="1754" spans="10:10" x14ac:dyDescent="0.4">
      <c r="J1754" s="140"/>
    </row>
    <row r="1755" spans="10:10" x14ac:dyDescent="0.4">
      <c r="J1755" s="140"/>
    </row>
    <row r="1756" spans="10:10" x14ac:dyDescent="0.4">
      <c r="J1756" s="140"/>
    </row>
    <row r="1757" spans="10:10" x14ac:dyDescent="0.4">
      <c r="J1757" s="140"/>
    </row>
    <row r="1758" spans="10:10" x14ac:dyDescent="0.4">
      <c r="J1758" s="140"/>
    </row>
    <row r="1759" spans="10:10" x14ac:dyDescent="0.4">
      <c r="J1759" s="140"/>
    </row>
    <row r="1760" spans="10:10" x14ac:dyDescent="0.4">
      <c r="J1760" s="140"/>
    </row>
    <row r="1761" spans="10:10" x14ac:dyDescent="0.4">
      <c r="J1761" s="140"/>
    </row>
    <row r="1762" spans="10:10" x14ac:dyDescent="0.4">
      <c r="J1762" s="140"/>
    </row>
    <row r="1763" spans="10:10" x14ac:dyDescent="0.4">
      <c r="J1763" s="140"/>
    </row>
    <row r="1764" spans="10:10" x14ac:dyDescent="0.4">
      <c r="J1764" s="140"/>
    </row>
    <row r="1765" spans="10:10" x14ac:dyDescent="0.4">
      <c r="J1765" s="140"/>
    </row>
    <row r="1766" spans="10:10" x14ac:dyDescent="0.4">
      <c r="J1766" s="140"/>
    </row>
    <row r="1767" spans="10:10" x14ac:dyDescent="0.4">
      <c r="J1767" s="140"/>
    </row>
    <row r="1768" spans="10:10" x14ac:dyDescent="0.4">
      <c r="J1768" s="140"/>
    </row>
    <row r="1769" spans="10:10" x14ac:dyDescent="0.4">
      <c r="J1769" s="140"/>
    </row>
    <row r="1770" spans="10:10" x14ac:dyDescent="0.4">
      <c r="J1770" s="140"/>
    </row>
    <row r="1771" spans="10:10" x14ac:dyDescent="0.4">
      <c r="J1771" s="140"/>
    </row>
    <row r="1772" spans="10:10" x14ac:dyDescent="0.4">
      <c r="J1772" s="140"/>
    </row>
    <row r="1773" spans="10:10" x14ac:dyDescent="0.4">
      <c r="J1773" s="140"/>
    </row>
    <row r="1774" spans="10:10" x14ac:dyDescent="0.4">
      <c r="J1774" s="140"/>
    </row>
    <row r="1775" spans="10:10" x14ac:dyDescent="0.4">
      <c r="J1775" s="140"/>
    </row>
    <row r="1776" spans="10:10" x14ac:dyDescent="0.4">
      <c r="J1776" s="140"/>
    </row>
    <row r="1777" spans="10:10" x14ac:dyDescent="0.4">
      <c r="J1777" s="140"/>
    </row>
    <row r="1778" spans="10:10" x14ac:dyDescent="0.4">
      <c r="J1778" s="140"/>
    </row>
    <row r="1779" spans="10:10" x14ac:dyDescent="0.4">
      <c r="J1779" s="140"/>
    </row>
    <row r="1780" spans="10:10" x14ac:dyDescent="0.4">
      <c r="J1780" s="140"/>
    </row>
    <row r="1781" spans="10:10" x14ac:dyDescent="0.4">
      <c r="J1781" s="140"/>
    </row>
    <row r="1782" spans="10:10" x14ac:dyDescent="0.4">
      <c r="J1782" s="140"/>
    </row>
    <row r="1783" spans="10:10" x14ac:dyDescent="0.4">
      <c r="J1783" s="140"/>
    </row>
    <row r="1784" spans="10:10" x14ac:dyDescent="0.4">
      <c r="J1784" s="140"/>
    </row>
    <row r="1785" spans="10:10" x14ac:dyDescent="0.4">
      <c r="J1785" s="140"/>
    </row>
    <row r="1786" spans="10:10" x14ac:dyDescent="0.4">
      <c r="J1786" s="140"/>
    </row>
    <row r="1787" spans="10:10" x14ac:dyDescent="0.4">
      <c r="J1787" s="140"/>
    </row>
    <row r="1788" spans="10:10" x14ac:dyDescent="0.4">
      <c r="J1788" s="140"/>
    </row>
    <row r="1789" spans="10:10" x14ac:dyDescent="0.4">
      <c r="J1789" s="140"/>
    </row>
    <row r="1790" spans="10:10" x14ac:dyDescent="0.4">
      <c r="J1790" s="140"/>
    </row>
    <row r="1791" spans="10:10" x14ac:dyDescent="0.4">
      <c r="J1791" s="140"/>
    </row>
    <row r="1792" spans="10:10" x14ac:dyDescent="0.4">
      <c r="J1792" s="140"/>
    </row>
    <row r="1793" spans="10:10" x14ac:dyDescent="0.4">
      <c r="J1793" s="140"/>
    </row>
    <row r="1794" spans="10:10" x14ac:dyDescent="0.4">
      <c r="J1794" s="140"/>
    </row>
    <row r="1795" spans="10:10" x14ac:dyDescent="0.4">
      <c r="J1795" s="140"/>
    </row>
    <row r="1796" spans="10:10" x14ac:dyDescent="0.4">
      <c r="J1796" s="140"/>
    </row>
    <row r="1797" spans="10:10" x14ac:dyDescent="0.4">
      <c r="J1797" s="140"/>
    </row>
    <row r="1798" spans="10:10" x14ac:dyDescent="0.4">
      <c r="J1798" s="140"/>
    </row>
    <row r="1799" spans="10:10" x14ac:dyDescent="0.4">
      <c r="J1799" s="140"/>
    </row>
    <row r="1800" spans="10:10" x14ac:dyDescent="0.4">
      <c r="J1800" s="140"/>
    </row>
    <row r="1801" spans="10:10" x14ac:dyDescent="0.4">
      <c r="J1801" s="140"/>
    </row>
    <row r="1802" spans="10:10" x14ac:dyDescent="0.4">
      <c r="J1802" s="140"/>
    </row>
    <row r="1803" spans="10:10" x14ac:dyDescent="0.4">
      <c r="J1803" s="140"/>
    </row>
    <row r="1804" spans="10:10" x14ac:dyDescent="0.4">
      <c r="J1804" s="140"/>
    </row>
    <row r="1805" spans="10:10" x14ac:dyDescent="0.4">
      <c r="J1805" s="140"/>
    </row>
    <row r="1806" spans="10:10" x14ac:dyDescent="0.4">
      <c r="J1806" s="140"/>
    </row>
    <row r="1807" spans="10:10" x14ac:dyDescent="0.4">
      <c r="J1807" s="140"/>
    </row>
    <row r="1808" spans="10:10" x14ac:dyDescent="0.4">
      <c r="J1808" s="140"/>
    </row>
    <row r="1809" spans="10:10" x14ac:dyDescent="0.4">
      <c r="J1809" s="140"/>
    </row>
    <row r="1810" spans="10:10" x14ac:dyDescent="0.4">
      <c r="J1810" s="140"/>
    </row>
    <row r="1811" spans="10:10" x14ac:dyDescent="0.4">
      <c r="J1811" s="140"/>
    </row>
    <row r="1812" spans="10:10" x14ac:dyDescent="0.4">
      <c r="J1812" s="140"/>
    </row>
    <row r="1813" spans="10:10" x14ac:dyDescent="0.4">
      <c r="J1813" s="140"/>
    </row>
    <row r="1814" spans="10:10" x14ac:dyDescent="0.4">
      <c r="J1814" s="140"/>
    </row>
    <row r="1815" spans="10:10" x14ac:dyDescent="0.4">
      <c r="J1815" s="140"/>
    </row>
    <row r="1816" spans="10:10" x14ac:dyDescent="0.4">
      <c r="J1816" s="140"/>
    </row>
    <row r="1817" spans="10:10" x14ac:dyDescent="0.4">
      <c r="J1817" s="140"/>
    </row>
    <row r="1818" spans="10:10" x14ac:dyDescent="0.4">
      <c r="J1818" s="140"/>
    </row>
    <row r="1819" spans="10:10" x14ac:dyDescent="0.4">
      <c r="J1819" s="140"/>
    </row>
    <row r="1820" spans="10:10" x14ac:dyDescent="0.4">
      <c r="J1820" s="140"/>
    </row>
    <row r="1821" spans="10:10" x14ac:dyDescent="0.4">
      <c r="J1821" s="140"/>
    </row>
    <row r="1822" spans="10:10" x14ac:dyDescent="0.4">
      <c r="J1822" s="140"/>
    </row>
    <row r="1823" spans="10:10" x14ac:dyDescent="0.4">
      <c r="J1823" s="140"/>
    </row>
    <row r="1824" spans="10:10" x14ac:dyDescent="0.4">
      <c r="J1824" s="140"/>
    </row>
    <row r="1825" spans="10:10" x14ac:dyDescent="0.4">
      <c r="J1825" s="140"/>
    </row>
    <row r="1826" spans="10:10" x14ac:dyDescent="0.4">
      <c r="J1826" s="140"/>
    </row>
    <row r="1827" spans="10:10" x14ac:dyDescent="0.4">
      <c r="J1827" s="140"/>
    </row>
    <row r="1828" spans="10:10" x14ac:dyDescent="0.4">
      <c r="J1828" s="140"/>
    </row>
    <row r="1829" spans="10:10" x14ac:dyDescent="0.4">
      <c r="J1829" s="140"/>
    </row>
    <row r="1830" spans="10:10" x14ac:dyDescent="0.4">
      <c r="J1830" s="140"/>
    </row>
    <row r="1831" spans="10:10" x14ac:dyDescent="0.4">
      <c r="J1831" s="140"/>
    </row>
    <row r="1832" spans="10:10" x14ac:dyDescent="0.4">
      <c r="J1832" s="140"/>
    </row>
    <row r="1833" spans="10:10" x14ac:dyDescent="0.4">
      <c r="J1833" s="140"/>
    </row>
    <row r="1834" spans="10:10" x14ac:dyDescent="0.4">
      <c r="J1834" s="140"/>
    </row>
    <row r="1835" spans="10:10" x14ac:dyDescent="0.4">
      <c r="J1835" s="140"/>
    </row>
    <row r="1836" spans="10:10" x14ac:dyDescent="0.4">
      <c r="J1836" s="140"/>
    </row>
    <row r="1837" spans="10:10" x14ac:dyDescent="0.4">
      <c r="J1837" s="140"/>
    </row>
    <row r="1838" spans="10:10" x14ac:dyDescent="0.4">
      <c r="J1838" s="140"/>
    </row>
    <row r="1839" spans="10:10" x14ac:dyDescent="0.4">
      <c r="J1839" s="140"/>
    </row>
    <row r="1840" spans="10:10" x14ac:dyDescent="0.4">
      <c r="J1840" s="140"/>
    </row>
    <row r="1841" spans="10:10" x14ac:dyDescent="0.4">
      <c r="J1841" s="140"/>
    </row>
    <row r="1842" spans="10:10" x14ac:dyDescent="0.4">
      <c r="J1842" s="140"/>
    </row>
    <row r="1843" spans="10:10" x14ac:dyDescent="0.4">
      <c r="J1843" s="140"/>
    </row>
    <row r="1844" spans="10:10" x14ac:dyDescent="0.4">
      <c r="J1844" s="140"/>
    </row>
    <row r="1845" spans="10:10" x14ac:dyDescent="0.4">
      <c r="J1845" s="140"/>
    </row>
    <row r="1846" spans="10:10" x14ac:dyDescent="0.4">
      <c r="J1846" s="140"/>
    </row>
    <row r="1847" spans="10:10" x14ac:dyDescent="0.4">
      <c r="J1847" s="140"/>
    </row>
    <row r="1848" spans="10:10" x14ac:dyDescent="0.4">
      <c r="J1848" s="140"/>
    </row>
    <row r="1849" spans="10:10" x14ac:dyDescent="0.4">
      <c r="J1849" s="140"/>
    </row>
    <row r="1850" spans="10:10" x14ac:dyDescent="0.4">
      <c r="J1850" s="140"/>
    </row>
    <row r="1851" spans="10:10" x14ac:dyDescent="0.4">
      <c r="J1851" s="140"/>
    </row>
    <row r="1852" spans="10:10" x14ac:dyDescent="0.4">
      <c r="J1852" s="140"/>
    </row>
    <row r="1853" spans="10:10" x14ac:dyDescent="0.4">
      <c r="J1853" s="140"/>
    </row>
    <row r="1854" spans="10:10" x14ac:dyDescent="0.4">
      <c r="J1854" s="140"/>
    </row>
    <row r="1855" spans="10:10" x14ac:dyDescent="0.4">
      <c r="J1855" s="140"/>
    </row>
    <row r="1856" spans="10:10" x14ac:dyDescent="0.4">
      <c r="J1856" s="140"/>
    </row>
    <row r="1857" spans="10:10" x14ac:dyDescent="0.4">
      <c r="J1857" s="140"/>
    </row>
    <row r="1858" spans="10:10" x14ac:dyDescent="0.4">
      <c r="J1858" s="140"/>
    </row>
    <row r="1859" spans="10:10" x14ac:dyDescent="0.4">
      <c r="J1859" s="140"/>
    </row>
    <row r="1860" spans="10:10" x14ac:dyDescent="0.4">
      <c r="J1860" s="140"/>
    </row>
    <row r="1861" spans="10:10" x14ac:dyDescent="0.4">
      <c r="J1861" s="140"/>
    </row>
    <row r="1862" spans="10:10" x14ac:dyDescent="0.4">
      <c r="J1862" s="140"/>
    </row>
    <row r="1863" spans="10:10" x14ac:dyDescent="0.4">
      <c r="J1863" s="140"/>
    </row>
    <row r="1864" spans="10:10" x14ac:dyDescent="0.4">
      <c r="J1864" s="140"/>
    </row>
    <row r="1865" spans="10:10" x14ac:dyDescent="0.4">
      <c r="J1865" s="140"/>
    </row>
    <row r="1866" spans="10:10" x14ac:dyDescent="0.4">
      <c r="J1866" s="140"/>
    </row>
    <row r="1867" spans="10:10" x14ac:dyDescent="0.4">
      <c r="J1867" s="140"/>
    </row>
    <row r="1868" spans="10:10" x14ac:dyDescent="0.4">
      <c r="J1868" s="140"/>
    </row>
    <row r="1869" spans="10:10" x14ac:dyDescent="0.4">
      <c r="J1869" s="140"/>
    </row>
    <row r="1870" spans="10:10" x14ac:dyDescent="0.4">
      <c r="J1870" s="140"/>
    </row>
    <row r="1871" spans="10:10" x14ac:dyDescent="0.4">
      <c r="J1871" s="140"/>
    </row>
    <row r="1872" spans="10:10" x14ac:dyDescent="0.4">
      <c r="J1872" s="140"/>
    </row>
    <row r="1873" spans="10:10" x14ac:dyDescent="0.4">
      <c r="J1873" s="140"/>
    </row>
    <row r="1874" spans="10:10" x14ac:dyDescent="0.4">
      <c r="J1874" s="140"/>
    </row>
    <row r="1875" spans="10:10" x14ac:dyDescent="0.4">
      <c r="J1875" s="140"/>
    </row>
    <row r="1876" spans="10:10" x14ac:dyDescent="0.4">
      <c r="J1876" s="140"/>
    </row>
    <row r="1877" spans="10:10" x14ac:dyDescent="0.4">
      <c r="J1877" s="140"/>
    </row>
    <row r="1878" spans="10:10" x14ac:dyDescent="0.4">
      <c r="J1878" s="140"/>
    </row>
    <row r="1879" spans="10:10" x14ac:dyDescent="0.4">
      <c r="J1879" s="140"/>
    </row>
    <row r="1880" spans="10:10" x14ac:dyDescent="0.4">
      <c r="J1880" s="140"/>
    </row>
    <row r="1881" spans="10:10" x14ac:dyDescent="0.4">
      <c r="J1881" s="140"/>
    </row>
    <row r="1882" spans="10:10" x14ac:dyDescent="0.4">
      <c r="J1882" s="140"/>
    </row>
    <row r="1883" spans="10:10" x14ac:dyDescent="0.4">
      <c r="J1883" s="140"/>
    </row>
    <row r="1884" spans="10:10" x14ac:dyDescent="0.4">
      <c r="J1884" s="140"/>
    </row>
    <row r="1885" spans="10:10" x14ac:dyDescent="0.4">
      <c r="J1885" s="140"/>
    </row>
    <row r="1886" spans="10:10" x14ac:dyDescent="0.4">
      <c r="J1886" s="140"/>
    </row>
    <row r="1887" spans="10:10" x14ac:dyDescent="0.4">
      <c r="J1887" s="140"/>
    </row>
    <row r="1888" spans="10:10" x14ac:dyDescent="0.4">
      <c r="J1888" s="140"/>
    </row>
    <row r="1889" spans="10:10" x14ac:dyDescent="0.4">
      <c r="J1889" s="140"/>
    </row>
    <row r="1890" spans="10:10" x14ac:dyDescent="0.4">
      <c r="J1890" s="140"/>
    </row>
    <row r="1891" spans="10:10" x14ac:dyDescent="0.4">
      <c r="J1891" s="140"/>
    </row>
    <row r="1892" spans="10:10" x14ac:dyDescent="0.4">
      <c r="J1892" s="140"/>
    </row>
    <row r="1893" spans="10:10" x14ac:dyDescent="0.4">
      <c r="J1893" s="140"/>
    </row>
    <row r="1894" spans="10:10" x14ac:dyDescent="0.4">
      <c r="J1894" s="140"/>
    </row>
    <row r="1895" spans="10:10" x14ac:dyDescent="0.4">
      <c r="J1895" s="140"/>
    </row>
    <row r="1896" spans="10:10" x14ac:dyDescent="0.4">
      <c r="J1896" s="140"/>
    </row>
    <row r="1897" spans="10:10" x14ac:dyDescent="0.4">
      <c r="J1897" s="140"/>
    </row>
    <row r="1898" spans="10:10" x14ac:dyDescent="0.4">
      <c r="J1898" s="140"/>
    </row>
    <row r="1899" spans="10:10" x14ac:dyDescent="0.4">
      <c r="J1899" s="140"/>
    </row>
    <row r="1900" spans="10:10" x14ac:dyDescent="0.4">
      <c r="J1900" s="140"/>
    </row>
    <row r="1901" spans="10:10" x14ac:dyDescent="0.4">
      <c r="J1901" s="140"/>
    </row>
    <row r="1902" spans="10:10" x14ac:dyDescent="0.4">
      <c r="J1902" s="140"/>
    </row>
    <row r="1903" spans="10:10" x14ac:dyDescent="0.4">
      <c r="J1903" s="140"/>
    </row>
    <row r="1904" spans="10:10" x14ac:dyDescent="0.4">
      <c r="J1904" s="140"/>
    </row>
    <row r="1905" spans="10:10" x14ac:dyDescent="0.4">
      <c r="J1905" s="140"/>
    </row>
    <row r="1906" spans="10:10" x14ac:dyDescent="0.4">
      <c r="J1906" s="140"/>
    </row>
    <row r="1907" spans="10:10" x14ac:dyDescent="0.4">
      <c r="J1907" s="140"/>
    </row>
    <row r="1908" spans="10:10" x14ac:dyDescent="0.4">
      <c r="J1908" s="140"/>
    </row>
    <row r="1909" spans="10:10" x14ac:dyDescent="0.4">
      <c r="J1909" s="140"/>
    </row>
    <row r="1910" spans="10:10" x14ac:dyDescent="0.4">
      <c r="J1910" s="140"/>
    </row>
    <row r="1911" spans="10:10" x14ac:dyDescent="0.4">
      <c r="J1911" s="140"/>
    </row>
    <row r="1912" spans="10:10" x14ac:dyDescent="0.4">
      <c r="J1912" s="140"/>
    </row>
    <row r="1913" spans="10:10" x14ac:dyDescent="0.4">
      <c r="J1913" s="140"/>
    </row>
    <row r="1914" spans="10:10" x14ac:dyDescent="0.4">
      <c r="J1914" s="140"/>
    </row>
    <row r="1915" spans="10:10" x14ac:dyDescent="0.4">
      <c r="J1915" s="140"/>
    </row>
    <row r="1916" spans="10:10" x14ac:dyDescent="0.4">
      <c r="J1916" s="140"/>
    </row>
    <row r="1917" spans="10:10" x14ac:dyDescent="0.4">
      <c r="J1917" s="140"/>
    </row>
    <row r="1918" spans="10:10" x14ac:dyDescent="0.4">
      <c r="J1918" s="140"/>
    </row>
    <row r="1919" spans="10:10" x14ac:dyDescent="0.4">
      <c r="J1919" s="140"/>
    </row>
    <row r="1920" spans="10:10" x14ac:dyDescent="0.4">
      <c r="J1920" s="140"/>
    </row>
    <row r="1921" spans="10:10" x14ac:dyDescent="0.4">
      <c r="J1921" s="140"/>
    </row>
    <row r="1922" spans="10:10" x14ac:dyDescent="0.4">
      <c r="J1922" s="140"/>
    </row>
    <row r="1923" spans="10:10" x14ac:dyDescent="0.4">
      <c r="J1923" s="140"/>
    </row>
    <row r="1924" spans="10:10" x14ac:dyDescent="0.4">
      <c r="J1924" s="140"/>
    </row>
    <row r="1925" spans="10:10" x14ac:dyDescent="0.4">
      <c r="J1925" s="140"/>
    </row>
    <row r="1926" spans="10:10" x14ac:dyDescent="0.4">
      <c r="J1926" s="140"/>
    </row>
    <row r="1927" spans="10:10" x14ac:dyDescent="0.4">
      <c r="J1927" s="140"/>
    </row>
    <row r="1928" spans="10:10" x14ac:dyDescent="0.4">
      <c r="J1928" s="140"/>
    </row>
    <row r="1929" spans="10:10" x14ac:dyDescent="0.4">
      <c r="J1929" s="140"/>
    </row>
    <row r="1930" spans="10:10" x14ac:dyDescent="0.4">
      <c r="J1930" s="140"/>
    </row>
    <row r="1931" spans="10:10" x14ac:dyDescent="0.4">
      <c r="J1931" s="140"/>
    </row>
    <row r="1932" spans="10:10" x14ac:dyDescent="0.4">
      <c r="J1932" s="140"/>
    </row>
    <row r="1933" spans="10:10" x14ac:dyDescent="0.4">
      <c r="J1933" s="140"/>
    </row>
    <row r="1934" spans="10:10" x14ac:dyDescent="0.4">
      <c r="J1934" s="140"/>
    </row>
    <row r="1935" spans="10:10" x14ac:dyDescent="0.4">
      <c r="J1935" s="140"/>
    </row>
    <row r="1936" spans="10:10" x14ac:dyDescent="0.4">
      <c r="J1936" s="140"/>
    </row>
    <row r="1937" spans="10:10" x14ac:dyDescent="0.4">
      <c r="J1937" s="140"/>
    </row>
    <row r="1938" spans="10:10" x14ac:dyDescent="0.4">
      <c r="J1938" s="140"/>
    </row>
    <row r="1939" spans="10:10" x14ac:dyDescent="0.4">
      <c r="J1939" s="140"/>
    </row>
    <row r="1940" spans="10:10" x14ac:dyDescent="0.4">
      <c r="J1940" s="140"/>
    </row>
    <row r="1941" spans="10:10" x14ac:dyDescent="0.4">
      <c r="J1941" s="140"/>
    </row>
    <row r="1942" spans="10:10" x14ac:dyDescent="0.4">
      <c r="J1942" s="140"/>
    </row>
    <row r="1943" spans="10:10" x14ac:dyDescent="0.4">
      <c r="J1943" s="140"/>
    </row>
    <row r="1944" spans="10:10" x14ac:dyDescent="0.4">
      <c r="J1944" s="140"/>
    </row>
    <row r="1945" spans="10:10" x14ac:dyDescent="0.4">
      <c r="J1945" s="140"/>
    </row>
    <row r="1946" spans="10:10" x14ac:dyDescent="0.4">
      <c r="J1946" s="140"/>
    </row>
    <row r="1947" spans="10:10" x14ac:dyDescent="0.4">
      <c r="J1947" s="140"/>
    </row>
    <row r="1948" spans="10:10" x14ac:dyDescent="0.4">
      <c r="J1948" s="140"/>
    </row>
    <row r="1949" spans="10:10" x14ac:dyDescent="0.4">
      <c r="J1949" s="140"/>
    </row>
    <row r="1950" spans="10:10" x14ac:dyDescent="0.4">
      <c r="J1950" s="140"/>
    </row>
    <row r="1951" spans="10:10" x14ac:dyDescent="0.4">
      <c r="J1951" s="140"/>
    </row>
    <row r="1952" spans="10:10" x14ac:dyDescent="0.4">
      <c r="J1952" s="140"/>
    </row>
    <row r="1953" spans="10:10" x14ac:dyDescent="0.4">
      <c r="J1953" s="140"/>
    </row>
    <row r="1954" spans="10:10" x14ac:dyDescent="0.4">
      <c r="J1954" s="140"/>
    </row>
    <row r="1955" spans="10:10" x14ac:dyDescent="0.4">
      <c r="J1955" s="140"/>
    </row>
    <row r="1956" spans="10:10" x14ac:dyDescent="0.4">
      <c r="J1956" s="140"/>
    </row>
    <row r="1957" spans="10:10" x14ac:dyDescent="0.4">
      <c r="J1957" s="140"/>
    </row>
    <row r="1958" spans="10:10" x14ac:dyDescent="0.4">
      <c r="J1958" s="140"/>
    </row>
    <row r="1959" spans="10:10" x14ac:dyDescent="0.4">
      <c r="J1959" s="140"/>
    </row>
    <row r="1960" spans="10:10" x14ac:dyDescent="0.4">
      <c r="J1960" s="140"/>
    </row>
    <row r="1961" spans="10:10" x14ac:dyDescent="0.4">
      <c r="J1961" s="140"/>
    </row>
    <row r="1962" spans="10:10" x14ac:dyDescent="0.4">
      <c r="J1962" s="140"/>
    </row>
    <row r="1963" spans="10:10" x14ac:dyDescent="0.4">
      <c r="J1963" s="140"/>
    </row>
    <row r="1964" spans="10:10" x14ac:dyDescent="0.4">
      <c r="J1964" s="140"/>
    </row>
    <row r="1965" spans="10:10" x14ac:dyDescent="0.4">
      <c r="J1965" s="140"/>
    </row>
    <row r="1966" spans="10:10" x14ac:dyDescent="0.4">
      <c r="J1966" s="140"/>
    </row>
    <row r="1967" spans="10:10" x14ac:dyDescent="0.4">
      <c r="J1967" s="140"/>
    </row>
    <row r="1968" spans="10:10" x14ac:dyDescent="0.4">
      <c r="J1968" s="140"/>
    </row>
    <row r="1969" spans="10:10" x14ac:dyDescent="0.4">
      <c r="J1969" s="140"/>
    </row>
    <row r="1970" spans="10:10" x14ac:dyDescent="0.4">
      <c r="J1970" s="140"/>
    </row>
    <row r="1971" spans="10:10" x14ac:dyDescent="0.4">
      <c r="J1971" s="140"/>
    </row>
    <row r="1972" spans="10:10" x14ac:dyDescent="0.4">
      <c r="J1972" s="140"/>
    </row>
    <row r="1973" spans="10:10" x14ac:dyDescent="0.4">
      <c r="J1973" s="140"/>
    </row>
    <row r="1974" spans="10:10" x14ac:dyDescent="0.4">
      <c r="J1974" s="140"/>
    </row>
    <row r="1975" spans="10:10" x14ac:dyDescent="0.4">
      <c r="J1975" s="140"/>
    </row>
    <row r="1976" spans="10:10" x14ac:dyDescent="0.4">
      <c r="J1976" s="140"/>
    </row>
    <row r="1977" spans="10:10" x14ac:dyDescent="0.4">
      <c r="J1977" s="140"/>
    </row>
    <row r="1978" spans="10:10" x14ac:dyDescent="0.4">
      <c r="J1978" s="140"/>
    </row>
    <row r="1979" spans="10:10" x14ac:dyDescent="0.4">
      <c r="J1979" s="140"/>
    </row>
    <row r="1980" spans="10:10" x14ac:dyDescent="0.4">
      <c r="J1980" s="140"/>
    </row>
    <row r="1981" spans="10:10" x14ac:dyDescent="0.4">
      <c r="J1981" s="140"/>
    </row>
    <row r="1982" spans="10:10" x14ac:dyDescent="0.4">
      <c r="J1982" s="140"/>
    </row>
    <row r="1983" spans="10:10" x14ac:dyDescent="0.4">
      <c r="J1983" s="140"/>
    </row>
    <row r="1984" spans="10:10" x14ac:dyDescent="0.4">
      <c r="J1984" s="140"/>
    </row>
    <row r="1985" spans="10:10" x14ac:dyDescent="0.4">
      <c r="J1985" s="140"/>
    </row>
    <row r="1986" spans="10:10" x14ac:dyDescent="0.4">
      <c r="J1986" s="140"/>
    </row>
    <row r="1987" spans="10:10" x14ac:dyDescent="0.4">
      <c r="J1987" s="140"/>
    </row>
    <row r="1988" spans="10:10" x14ac:dyDescent="0.4">
      <c r="J1988" s="140"/>
    </row>
    <row r="1989" spans="10:10" x14ac:dyDescent="0.4">
      <c r="J1989" s="140"/>
    </row>
    <row r="1990" spans="10:10" x14ac:dyDescent="0.4">
      <c r="J1990" s="140"/>
    </row>
    <row r="1991" spans="10:10" x14ac:dyDescent="0.4">
      <c r="J1991" s="140"/>
    </row>
    <row r="1992" spans="10:10" x14ac:dyDescent="0.4">
      <c r="J1992" s="140"/>
    </row>
    <row r="1993" spans="10:10" x14ac:dyDescent="0.4">
      <c r="J1993" s="140"/>
    </row>
    <row r="1994" spans="10:10" x14ac:dyDescent="0.4">
      <c r="J1994" s="140"/>
    </row>
    <row r="1995" spans="10:10" x14ac:dyDescent="0.4">
      <c r="J1995" s="140"/>
    </row>
    <row r="1996" spans="10:10" x14ac:dyDescent="0.4">
      <c r="J1996" s="140"/>
    </row>
    <row r="1997" spans="10:10" x14ac:dyDescent="0.4">
      <c r="J1997" s="140"/>
    </row>
    <row r="1998" spans="10:10" x14ac:dyDescent="0.4">
      <c r="J1998" s="140"/>
    </row>
    <row r="1999" spans="10:10" x14ac:dyDescent="0.4">
      <c r="J1999" s="140"/>
    </row>
    <row r="2000" spans="10:10" x14ac:dyDescent="0.4">
      <c r="J2000" s="140"/>
    </row>
    <row r="2001" spans="10:10" x14ac:dyDescent="0.4">
      <c r="J2001" s="140"/>
    </row>
    <row r="2002" spans="10:10" x14ac:dyDescent="0.4">
      <c r="J2002" s="140"/>
    </row>
    <row r="2003" spans="10:10" x14ac:dyDescent="0.4">
      <c r="J2003" s="140"/>
    </row>
    <row r="2004" spans="10:10" x14ac:dyDescent="0.4">
      <c r="J2004" s="140"/>
    </row>
    <row r="2005" spans="10:10" x14ac:dyDescent="0.4">
      <c r="J2005" s="140"/>
    </row>
    <row r="2006" spans="10:10" x14ac:dyDescent="0.4">
      <c r="J2006" s="140"/>
    </row>
    <row r="2007" spans="10:10" x14ac:dyDescent="0.4">
      <c r="J2007" s="140"/>
    </row>
    <row r="2008" spans="10:10" x14ac:dyDescent="0.4">
      <c r="J2008" s="140"/>
    </row>
    <row r="2009" spans="10:10" x14ac:dyDescent="0.4">
      <c r="J2009" s="140"/>
    </row>
    <row r="2010" spans="10:10" x14ac:dyDescent="0.4">
      <c r="J2010" s="140"/>
    </row>
    <row r="2011" spans="10:10" x14ac:dyDescent="0.4">
      <c r="J2011" s="140"/>
    </row>
    <row r="2012" spans="10:10" x14ac:dyDescent="0.4">
      <c r="J2012" s="140"/>
    </row>
    <row r="2013" spans="10:10" x14ac:dyDescent="0.4">
      <c r="J2013" s="140"/>
    </row>
    <row r="2014" spans="10:10" x14ac:dyDescent="0.4">
      <c r="J2014" s="140"/>
    </row>
    <row r="2015" spans="10:10" x14ac:dyDescent="0.4">
      <c r="J2015" s="140"/>
    </row>
    <row r="2016" spans="10:10" x14ac:dyDescent="0.4">
      <c r="J2016" s="140"/>
    </row>
    <row r="2017" spans="10:10" x14ac:dyDescent="0.4">
      <c r="J2017" s="140"/>
    </row>
    <row r="2018" spans="10:10" x14ac:dyDescent="0.4">
      <c r="J2018" s="140"/>
    </row>
    <row r="2019" spans="10:10" x14ac:dyDescent="0.4">
      <c r="J2019" s="140"/>
    </row>
    <row r="2020" spans="10:10" x14ac:dyDescent="0.4">
      <c r="J2020" s="140"/>
    </row>
    <row r="2021" spans="10:10" x14ac:dyDescent="0.4">
      <c r="J2021" s="140"/>
    </row>
    <row r="2022" spans="10:10" x14ac:dyDescent="0.4">
      <c r="J2022" s="140"/>
    </row>
    <row r="2023" spans="10:10" x14ac:dyDescent="0.4">
      <c r="J2023" s="140"/>
    </row>
    <row r="2024" spans="10:10" x14ac:dyDescent="0.4">
      <c r="J2024" s="140"/>
    </row>
    <row r="2025" spans="10:10" x14ac:dyDescent="0.4">
      <c r="J2025" s="140"/>
    </row>
    <row r="2026" spans="10:10" x14ac:dyDescent="0.4">
      <c r="J2026" s="140"/>
    </row>
    <row r="2027" spans="10:10" x14ac:dyDescent="0.4">
      <c r="J2027" s="140"/>
    </row>
    <row r="2028" spans="10:10" x14ac:dyDescent="0.4">
      <c r="J2028" s="140"/>
    </row>
    <row r="2029" spans="10:10" x14ac:dyDescent="0.4">
      <c r="J2029" s="140"/>
    </row>
    <row r="2030" spans="10:10" x14ac:dyDescent="0.4">
      <c r="J2030" s="140"/>
    </row>
    <row r="2031" spans="10:10" x14ac:dyDescent="0.4">
      <c r="J2031" s="140"/>
    </row>
    <row r="2032" spans="10:10" x14ac:dyDescent="0.4">
      <c r="J2032" s="140"/>
    </row>
    <row r="2033" spans="10:10" x14ac:dyDescent="0.4">
      <c r="J2033" s="140"/>
    </row>
    <row r="2034" spans="10:10" x14ac:dyDescent="0.4">
      <c r="J2034" s="140"/>
    </row>
    <row r="2035" spans="10:10" x14ac:dyDescent="0.4">
      <c r="J2035" s="140"/>
    </row>
    <row r="2036" spans="10:10" x14ac:dyDescent="0.4">
      <c r="J2036" s="140"/>
    </row>
    <row r="2037" spans="10:10" x14ac:dyDescent="0.4">
      <c r="J2037" s="140"/>
    </row>
    <row r="2038" spans="10:10" x14ac:dyDescent="0.4">
      <c r="J2038" s="140"/>
    </row>
    <row r="2039" spans="10:10" x14ac:dyDescent="0.4">
      <c r="J2039" s="140"/>
    </row>
    <row r="2040" spans="10:10" x14ac:dyDescent="0.4">
      <c r="J2040" s="140"/>
    </row>
    <row r="2041" spans="10:10" x14ac:dyDescent="0.4">
      <c r="J2041" s="140"/>
    </row>
    <row r="2042" spans="10:10" x14ac:dyDescent="0.4">
      <c r="J2042" s="140"/>
    </row>
    <row r="2043" spans="10:10" x14ac:dyDescent="0.4">
      <c r="J2043" s="140"/>
    </row>
    <row r="2044" spans="10:10" x14ac:dyDescent="0.4">
      <c r="J2044" s="140"/>
    </row>
    <row r="2045" spans="10:10" x14ac:dyDescent="0.4">
      <c r="J2045" s="140"/>
    </row>
    <row r="2046" spans="10:10" x14ac:dyDescent="0.4">
      <c r="J2046" s="140"/>
    </row>
    <row r="2047" spans="10:10" x14ac:dyDescent="0.4">
      <c r="J2047" s="140"/>
    </row>
    <row r="2048" spans="10:10" x14ac:dyDescent="0.4">
      <c r="J2048" s="140"/>
    </row>
    <row r="2049" spans="10:10" x14ac:dyDescent="0.4">
      <c r="J2049" s="140"/>
    </row>
    <row r="2050" spans="10:10" x14ac:dyDescent="0.4">
      <c r="J2050" s="140"/>
    </row>
    <row r="2051" spans="10:10" x14ac:dyDescent="0.4">
      <c r="J2051" s="140"/>
    </row>
    <row r="2052" spans="10:10" x14ac:dyDescent="0.4">
      <c r="J2052" s="140"/>
    </row>
    <row r="2053" spans="10:10" x14ac:dyDescent="0.4">
      <c r="J2053" s="140"/>
    </row>
    <row r="2054" spans="10:10" x14ac:dyDescent="0.4">
      <c r="J2054" s="140"/>
    </row>
    <row r="2055" spans="10:10" x14ac:dyDescent="0.4">
      <c r="J2055" s="140"/>
    </row>
    <row r="2056" spans="10:10" x14ac:dyDescent="0.4">
      <c r="J2056" s="140"/>
    </row>
    <row r="2057" spans="10:10" x14ac:dyDescent="0.4">
      <c r="J2057" s="140"/>
    </row>
    <row r="2058" spans="10:10" x14ac:dyDescent="0.4">
      <c r="J2058" s="140"/>
    </row>
    <row r="2059" spans="10:10" x14ac:dyDescent="0.4">
      <c r="J2059" s="140"/>
    </row>
    <row r="2060" spans="10:10" x14ac:dyDescent="0.4">
      <c r="J2060" s="140"/>
    </row>
    <row r="2061" spans="10:10" x14ac:dyDescent="0.4">
      <c r="J2061" s="140"/>
    </row>
    <row r="2062" spans="10:10" x14ac:dyDescent="0.4">
      <c r="J2062" s="140"/>
    </row>
    <row r="2063" spans="10:10" x14ac:dyDescent="0.4">
      <c r="J2063" s="140"/>
    </row>
    <row r="2064" spans="10:10" x14ac:dyDescent="0.4">
      <c r="J2064" s="140"/>
    </row>
    <row r="2065" spans="10:10" x14ac:dyDescent="0.4">
      <c r="J2065" s="140"/>
    </row>
    <row r="2066" spans="10:10" x14ac:dyDescent="0.4">
      <c r="J2066" s="140"/>
    </row>
    <row r="2067" spans="10:10" x14ac:dyDescent="0.4">
      <c r="J2067" s="140"/>
    </row>
    <row r="2068" spans="10:10" x14ac:dyDescent="0.4">
      <c r="J2068" s="140"/>
    </row>
    <row r="2069" spans="10:10" x14ac:dyDescent="0.4">
      <c r="J2069" s="140"/>
    </row>
    <row r="2070" spans="10:10" x14ac:dyDescent="0.4">
      <c r="J2070" s="140"/>
    </row>
    <row r="2071" spans="10:10" x14ac:dyDescent="0.4">
      <c r="J2071" s="140"/>
    </row>
    <row r="2072" spans="10:10" x14ac:dyDescent="0.4">
      <c r="J2072" s="140"/>
    </row>
    <row r="2073" spans="10:10" x14ac:dyDescent="0.4">
      <c r="J2073" s="140"/>
    </row>
    <row r="2074" spans="10:10" x14ac:dyDescent="0.4">
      <c r="J2074" s="140"/>
    </row>
    <row r="2075" spans="10:10" x14ac:dyDescent="0.4">
      <c r="J2075" s="140"/>
    </row>
    <row r="2076" spans="10:10" x14ac:dyDescent="0.4">
      <c r="J2076" s="140"/>
    </row>
    <row r="2077" spans="10:10" x14ac:dyDescent="0.4">
      <c r="J2077" s="140"/>
    </row>
    <row r="2078" spans="10:10" x14ac:dyDescent="0.4">
      <c r="J2078" s="140"/>
    </row>
    <row r="2079" spans="10:10" x14ac:dyDescent="0.4">
      <c r="J2079" s="140"/>
    </row>
    <row r="2080" spans="10:10" x14ac:dyDescent="0.4">
      <c r="J2080" s="140"/>
    </row>
    <row r="2081" spans="10:10" x14ac:dyDescent="0.4">
      <c r="J2081" s="140"/>
    </row>
    <row r="2082" spans="10:10" x14ac:dyDescent="0.4">
      <c r="J2082" s="140"/>
    </row>
    <row r="2083" spans="10:10" x14ac:dyDescent="0.4">
      <c r="J2083" s="140"/>
    </row>
    <row r="2084" spans="10:10" x14ac:dyDescent="0.4">
      <c r="J2084" s="140"/>
    </row>
    <row r="2085" spans="10:10" x14ac:dyDescent="0.4">
      <c r="J2085" s="140"/>
    </row>
    <row r="2086" spans="10:10" x14ac:dyDescent="0.4">
      <c r="J2086" s="140"/>
    </row>
    <row r="2087" spans="10:10" x14ac:dyDescent="0.4">
      <c r="J2087" s="140"/>
    </row>
    <row r="2088" spans="10:10" x14ac:dyDescent="0.4">
      <c r="J2088" s="140"/>
    </row>
    <row r="2089" spans="10:10" x14ac:dyDescent="0.4">
      <c r="J2089" s="140"/>
    </row>
    <row r="2090" spans="10:10" x14ac:dyDescent="0.4">
      <c r="J2090" s="140"/>
    </row>
    <row r="2091" spans="10:10" x14ac:dyDescent="0.4">
      <c r="J2091" s="140"/>
    </row>
    <row r="2092" spans="10:10" x14ac:dyDescent="0.4">
      <c r="J2092" s="140"/>
    </row>
    <row r="2093" spans="10:10" x14ac:dyDescent="0.4">
      <c r="J2093" s="140"/>
    </row>
    <row r="2094" spans="10:10" x14ac:dyDescent="0.4">
      <c r="J2094" s="140"/>
    </row>
    <row r="2095" spans="10:10" x14ac:dyDescent="0.4">
      <c r="J2095" s="140"/>
    </row>
    <row r="2096" spans="10:10" x14ac:dyDescent="0.4">
      <c r="J2096" s="140"/>
    </row>
    <row r="2097" spans="10:10" x14ac:dyDescent="0.4">
      <c r="J2097" s="140"/>
    </row>
    <row r="2098" spans="10:10" x14ac:dyDescent="0.4">
      <c r="J2098" s="140"/>
    </row>
    <row r="2099" spans="10:10" x14ac:dyDescent="0.4">
      <c r="J2099" s="140"/>
    </row>
    <row r="2100" spans="10:10" x14ac:dyDescent="0.4">
      <c r="J2100" s="140"/>
    </row>
    <row r="2101" spans="10:10" x14ac:dyDescent="0.4">
      <c r="J2101" s="140"/>
    </row>
    <row r="2102" spans="10:10" x14ac:dyDescent="0.4">
      <c r="J2102" s="140"/>
    </row>
    <row r="2103" spans="10:10" x14ac:dyDescent="0.4">
      <c r="J2103" s="140"/>
    </row>
    <row r="2104" spans="10:10" x14ac:dyDescent="0.4">
      <c r="J2104" s="140"/>
    </row>
    <row r="2105" spans="10:10" x14ac:dyDescent="0.4">
      <c r="J2105" s="140"/>
    </row>
    <row r="2106" spans="10:10" x14ac:dyDescent="0.4">
      <c r="J2106" s="140"/>
    </row>
    <row r="2107" spans="10:10" x14ac:dyDescent="0.4">
      <c r="J2107" s="140"/>
    </row>
    <row r="2108" spans="10:10" x14ac:dyDescent="0.4">
      <c r="J2108" s="140"/>
    </row>
    <row r="2109" spans="10:10" x14ac:dyDescent="0.4">
      <c r="J2109" s="140"/>
    </row>
    <row r="2110" spans="10:10" x14ac:dyDescent="0.4">
      <c r="J2110" s="140"/>
    </row>
    <row r="2111" spans="10:10" x14ac:dyDescent="0.4">
      <c r="J2111" s="140"/>
    </row>
    <row r="2112" spans="10:10" x14ac:dyDescent="0.4">
      <c r="J2112" s="140"/>
    </row>
    <row r="2113" spans="10:10" x14ac:dyDescent="0.4">
      <c r="J2113" s="140"/>
    </row>
    <row r="2114" spans="10:10" x14ac:dyDescent="0.4">
      <c r="J2114" s="140"/>
    </row>
    <row r="2115" spans="10:10" x14ac:dyDescent="0.4">
      <c r="J2115" s="140"/>
    </row>
    <row r="2116" spans="10:10" x14ac:dyDescent="0.4">
      <c r="J2116" s="140"/>
    </row>
    <row r="2117" spans="10:10" x14ac:dyDescent="0.4">
      <c r="J2117" s="140"/>
    </row>
    <row r="2118" spans="10:10" x14ac:dyDescent="0.4">
      <c r="J2118" s="140"/>
    </row>
    <row r="2119" spans="10:10" x14ac:dyDescent="0.4">
      <c r="J2119" s="140"/>
    </row>
    <row r="2120" spans="10:10" x14ac:dyDescent="0.4">
      <c r="J2120" s="140"/>
    </row>
    <row r="2121" spans="10:10" x14ac:dyDescent="0.4">
      <c r="J2121" s="140"/>
    </row>
    <row r="2122" spans="10:10" x14ac:dyDescent="0.4">
      <c r="J2122" s="140"/>
    </row>
    <row r="2123" spans="10:10" x14ac:dyDescent="0.4">
      <c r="J2123" s="140"/>
    </row>
    <row r="2124" spans="10:10" x14ac:dyDescent="0.4">
      <c r="J2124" s="140"/>
    </row>
    <row r="2125" spans="10:10" x14ac:dyDescent="0.4">
      <c r="J2125" s="140"/>
    </row>
    <row r="2126" spans="10:10" x14ac:dyDescent="0.4">
      <c r="J2126" s="140"/>
    </row>
    <row r="2127" spans="10:10" x14ac:dyDescent="0.4">
      <c r="J2127" s="140"/>
    </row>
    <row r="2128" spans="10:10" x14ac:dyDescent="0.4">
      <c r="J2128" s="140"/>
    </row>
    <row r="2129" spans="10:10" x14ac:dyDescent="0.4">
      <c r="J2129" s="140"/>
    </row>
    <row r="2130" spans="10:10" x14ac:dyDescent="0.4">
      <c r="J2130" s="140"/>
    </row>
    <row r="2131" spans="10:10" x14ac:dyDescent="0.4">
      <c r="J2131" s="140"/>
    </row>
    <row r="2132" spans="10:10" x14ac:dyDescent="0.4">
      <c r="J2132" s="140"/>
    </row>
    <row r="2133" spans="10:10" x14ac:dyDescent="0.4">
      <c r="J2133" s="140"/>
    </row>
    <row r="2134" spans="10:10" x14ac:dyDescent="0.4">
      <c r="J2134" s="140"/>
    </row>
    <row r="2135" spans="10:10" x14ac:dyDescent="0.4">
      <c r="J2135" s="140"/>
    </row>
    <row r="2136" spans="10:10" x14ac:dyDescent="0.4">
      <c r="J2136" s="140"/>
    </row>
    <row r="2137" spans="10:10" x14ac:dyDescent="0.4">
      <c r="J2137" s="140"/>
    </row>
    <row r="2138" spans="10:10" x14ac:dyDescent="0.4">
      <c r="J2138" s="140"/>
    </row>
    <row r="2139" spans="10:10" x14ac:dyDescent="0.4">
      <c r="J2139" s="140"/>
    </row>
    <row r="2140" spans="10:10" x14ac:dyDescent="0.4">
      <c r="J2140" s="140"/>
    </row>
    <row r="2141" spans="10:10" x14ac:dyDescent="0.4">
      <c r="J2141" s="140"/>
    </row>
    <row r="2142" spans="10:10" x14ac:dyDescent="0.4">
      <c r="J2142" s="140"/>
    </row>
    <row r="2143" spans="10:10" x14ac:dyDescent="0.4">
      <c r="J2143" s="140"/>
    </row>
    <row r="2144" spans="10:10" x14ac:dyDescent="0.4">
      <c r="J2144" s="140"/>
    </row>
    <row r="2145" spans="10:10" x14ac:dyDescent="0.4">
      <c r="J2145" s="140"/>
    </row>
    <row r="2146" spans="10:10" x14ac:dyDescent="0.4">
      <c r="J2146" s="140"/>
    </row>
    <row r="2147" spans="10:10" x14ac:dyDescent="0.4">
      <c r="J2147" s="140"/>
    </row>
    <row r="2148" spans="10:10" x14ac:dyDescent="0.4">
      <c r="J2148" s="140"/>
    </row>
    <row r="2149" spans="10:10" x14ac:dyDescent="0.4">
      <c r="J2149" s="140"/>
    </row>
    <row r="2150" spans="10:10" x14ac:dyDescent="0.4">
      <c r="J2150" s="140"/>
    </row>
    <row r="2151" spans="10:10" x14ac:dyDescent="0.4">
      <c r="J2151" s="140"/>
    </row>
    <row r="2152" spans="10:10" x14ac:dyDescent="0.4">
      <c r="J2152" s="140"/>
    </row>
    <row r="2153" spans="10:10" x14ac:dyDescent="0.4">
      <c r="J2153" s="140"/>
    </row>
    <row r="2154" spans="10:10" x14ac:dyDescent="0.4">
      <c r="J2154" s="140"/>
    </row>
    <row r="2155" spans="10:10" x14ac:dyDescent="0.4">
      <c r="J2155" s="140"/>
    </row>
    <row r="2156" spans="10:10" x14ac:dyDescent="0.4">
      <c r="J2156" s="140"/>
    </row>
    <row r="2157" spans="10:10" x14ac:dyDescent="0.4">
      <c r="J2157" s="140"/>
    </row>
    <row r="2158" spans="10:10" x14ac:dyDescent="0.4">
      <c r="J2158" s="140"/>
    </row>
    <row r="2159" spans="10:10" x14ac:dyDescent="0.4">
      <c r="J2159" s="140"/>
    </row>
    <row r="2160" spans="10:10" x14ac:dyDescent="0.4">
      <c r="J2160" s="140"/>
    </row>
    <row r="2161" spans="10:10" x14ac:dyDescent="0.4">
      <c r="J2161" s="140"/>
    </row>
    <row r="2162" spans="10:10" x14ac:dyDescent="0.4">
      <c r="J2162" s="140"/>
    </row>
    <row r="2163" spans="10:10" x14ac:dyDescent="0.4">
      <c r="J2163" s="140"/>
    </row>
    <row r="2164" spans="10:10" x14ac:dyDescent="0.4">
      <c r="J2164" s="140"/>
    </row>
    <row r="2165" spans="10:10" x14ac:dyDescent="0.4">
      <c r="J2165" s="140"/>
    </row>
    <row r="2166" spans="10:10" x14ac:dyDescent="0.4">
      <c r="J2166" s="140"/>
    </row>
    <row r="2167" spans="10:10" x14ac:dyDescent="0.4">
      <c r="J2167" s="140"/>
    </row>
    <row r="2168" spans="10:10" x14ac:dyDescent="0.4">
      <c r="J2168" s="140"/>
    </row>
    <row r="2169" spans="10:10" x14ac:dyDescent="0.4">
      <c r="J2169" s="140"/>
    </row>
    <row r="2170" spans="10:10" x14ac:dyDescent="0.4">
      <c r="J2170" s="140"/>
    </row>
    <row r="2171" spans="10:10" x14ac:dyDescent="0.4">
      <c r="J2171" s="140"/>
    </row>
    <row r="2172" spans="10:10" x14ac:dyDescent="0.4">
      <c r="J2172" s="140"/>
    </row>
    <row r="2173" spans="10:10" x14ac:dyDescent="0.4">
      <c r="J2173" s="140"/>
    </row>
    <row r="2174" spans="10:10" x14ac:dyDescent="0.4">
      <c r="J2174" s="140"/>
    </row>
    <row r="2175" spans="10:10" x14ac:dyDescent="0.4">
      <c r="J2175" s="140"/>
    </row>
    <row r="2176" spans="10:10" x14ac:dyDescent="0.4">
      <c r="J2176" s="140"/>
    </row>
    <row r="2177" spans="10:10" x14ac:dyDescent="0.4">
      <c r="J2177" s="140"/>
    </row>
    <row r="2178" spans="10:10" x14ac:dyDescent="0.4">
      <c r="J2178" s="140"/>
    </row>
    <row r="2179" spans="10:10" x14ac:dyDescent="0.4">
      <c r="J2179" s="140"/>
    </row>
    <row r="2180" spans="10:10" x14ac:dyDescent="0.4">
      <c r="J2180" s="140"/>
    </row>
    <row r="2181" spans="10:10" x14ac:dyDescent="0.4">
      <c r="J2181" s="140"/>
    </row>
    <row r="2182" spans="10:10" x14ac:dyDescent="0.4">
      <c r="J2182" s="140"/>
    </row>
    <row r="2183" spans="10:10" x14ac:dyDescent="0.4">
      <c r="J2183" s="140"/>
    </row>
    <row r="2184" spans="10:10" x14ac:dyDescent="0.4">
      <c r="J2184" s="140"/>
    </row>
    <row r="2185" spans="10:10" x14ac:dyDescent="0.4">
      <c r="J2185" s="140"/>
    </row>
    <row r="2186" spans="10:10" x14ac:dyDescent="0.4">
      <c r="J2186" s="140"/>
    </row>
    <row r="2187" spans="10:10" x14ac:dyDescent="0.4">
      <c r="J2187" s="140"/>
    </row>
    <row r="2188" spans="10:10" x14ac:dyDescent="0.4">
      <c r="J2188" s="140"/>
    </row>
    <row r="2189" spans="10:10" x14ac:dyDescent="0.4">
      <c r="J2189" s="140"/>
    </row>
    <row r="2190" spans="10:10" x14ac:dyDescent="0.4">
      <c r="J2190" s="140"/>
    </row>
    <row r="2191" spans="10:10" x14ac:dyDescent="0.4">
      <c r="J2191" s="140"/>
    </row>
    <row r="2192" spans="10:10" x14ac:dyDescent="0.4">
      <c r="J2192" s="140"/>
    </row>
    <row r="2193" spans="10:10" x14ac:dyDescent="0.4">
      <c r="J2193" s="140"/>
    </row>
    <row r="2194" spans="10:10" x14ac:dyDescent="0.4">
      <c r="J2194" s="140"/>
    </row>
    <row r="2195" spans="10:10" x14ac:dyDescent="0.4">
      <c r="J2195" s="140"/>
    </row>
    <row r="2196" spans="10:10" x14ac:dyDescent="0.4">
      <c r="J2196" s="140"/>
    </row>
    <row r="2197" spans="10:10" x14ac:dyDescent="0.4">
      <c r="J2197" s="140"/>
    </row>
    <row r="2198" spans="10:10" x14ac:dyDescent="0.4">
      <c r="J2198" s="140"/>
    </row>
    <row r="2199" spans="10:10" x14ac:dyDescent="0.4">
      <c r="J2199" s="140"/>
    </row>
    <row r="2200" spans="10:10" x14ac:dyDescent="0.4">
      <c r="J2200" s="140"/>
    </row>
    <row r="2201" spans="10:10" x14ac:dyDescent="0.4">
      <c r="J2201" s="140"/>
    </row>
    <row r="2202" spans="10:10" x14ac:dyDescent="0.4">
      <c r="J2202" s="140"/>
    </row>
    <row r="2203" spans="10:10" x14ac:dyDescent="0.4">
      <c r="J2203" s="140"/>
    </row>
    <row r="2204" spans="10:10" x14ac:dyDescent="0.4">
      <c r="J2204" s="140"/>
    </row>
    <row r="2205" spans="10:10" x14ac:dyDescent="0.4">
      <c r="J2205" s="140"/>
    </row>
    <row r="2206" spans="10:10" x14ac:dyDescent="0.4">
      <c r="J2206" s="140"/>
    </row>
    <row r="2207" spans="10:10" x14ac:dyDescent="0.4">
      <c r="J2207" s="140"/>
    </row>
    <row r="2208" spans="10:10" x14ac:dyDescent="0.4">
      <c r="J2208" s="140"/>
    </row>
    <row r="2209" spans="10:10" x14ac:dyDescent="0.4">
      <c r="J2209" s="140"/>
    </row>
    <row r="2210" spans="10:10" x14ac:dyDescent="0.4">
      <c r="J2210" s="140"/>
    </row>
    <row r="2211" spans="10:10" x14ac:dyDescent="0.4">
      <c r="J2211" s="140"/>
    </row>
    <row r="2212" spans="10:10" x14ac:dyDescent="0.4">
      <c r="J2212" s="140"/>
    </row>
    <row r="2213" spans="10:10" x14ac:dyDescent="0.4">
      <c r="J2213" s="140"/>
    </row>
    <row r="2214" spans="10:10" x14ac:dyDescent="0.4">
      <c r="J2214" s="140"/>
    </row>
    <row r="2215" spans="10:10" x14ac:dyDescent="0.4">
      <c r="J2215" s="140"/>
    </row>
    <row r="2216" spans="10:10" x14ac:dyDescent="0.4">
      <c r="J2216" s="140"/>
    </row>
    <row r="2217" spans="10:10" x14ac:dyDescent="0.4">
      <c r="J2217" s="140"/>
    </row>
    <row r="2218" spans="10:10" x14ac:dyDescent="0.4">
      <c r="J2218" s="140"/>
    </row>
    <row r="2219" spans="10:10" x14ac:dyDescent="0.4">
      <c r="J2219" s="140"/>
    </row>
    <row r="2220" spans="10:10" x14ac:dyDescent="0.4">
      <c r="J2220" s="140"/>
    </row>
    <row r="2221" spans="10:10" x14ac:dyDescent="0.4">
      <c r="J2221" s="140"/>
    </row>
    <row r="2222" spans="10:10" x14ac:dyDescent="0.4">
      <c r="J2222" s="140"/>
    </row>
    <row r="2223" spans="10:10" x14ac:dyDescent="0.4">
      <c r="J2223" s="140"/>
    </row>
    <row r="2224" spans="10:10" x14ac:dyDescent="0.4">
      <c r="J2224" s="140"/>
    </row>
    <row r="2225" spans="10:10" x14ac:dyDescent="0.4">
      <c r="J2225" s="140"/>
    </row>
    <row r="2226" spans="10:10" x14ac:dyDescent="0.4">
      <c r="J2226" s="140"/>
    </row>
    <row r="2227" spans="10:10" x14ac:dyDescent="0.4">
      <c r="J2227" s="140"/>
    </row>
    <row r="2228" spans="10:10" x14ac:dyDescent="0.4">
      <c r="J2228" s="140"/>
    </row>
    <row r="2229" spans="10:10" x14ac:dyDescent="0.4">
      <c r="J2229" s="140"/>
    </row>
    <row r="2230" spans="10:10" x14ac:dyDescent="0.4">
      <c r="J2230" s="140"/>
    </row>
    <row r="2231" spans="10:10" x14ac:dyDescent="0.4">
      <c r="J2231" s="140"/>
    </row>
    <row r="2232" spans="10:10" x14ac:dyDescent="0.4">
      <c r="J2232" s="140"/>
    </row>
    <row r="2233" spans="10:10" x14ac:dyDescent="0.4">
      <c r="J2233" s="140"/>
    </row>
    <row r="2234" spans="10:10" x14ac:dyDescent="0.4">
      <c r="J2234" s="140"/>
    </row>
    <row r="2235" spans="10:10" x14ac:dyDescent="0.4">
      <c r="J2235" s="140"/>
    </row>
    <row r="2236" spans="10:10" x14ac:dyDescent="0.4">
      <c r="J2236" s="140"/>
    </row>
    <row r="2237" spans="10:10" x14ac:dyDescent="0.4">
      <c r="J2237" s="140"/>
    </row>
    <row r="2238" spans="10:10" x14ac:dyDescent="0.4">
      <c r="J2238" s="140"/>
    </row>
    <row r="2239" spans="10:10" x14ac:dyDescent="0.4">
      <c r="J2239" s="140"/>
    </row>
    <row r="2240" spans="10:10" x14ac:dyDescent="0.4">
      <c r="J2240" s="140"/>
    </row>
    <row r="2241" spans="10:10" x14ac:dyDescent="0.4">
      <c r="J2241" s="140"/>
    </row>
    <row r="2242" spans="10:10" x14ac:dyDescent="0.4">
      <c r="J2242" s="140"/>
    </row>
    <row r="2243" spans="10:10" x14ac:dyDescent="0.4">
      <c r="J2243" s="140"/>
    </row>
    <row r="2244" spans="10:10" x14ac:dyDescent="0.4">
      <c r="J2244" s="140"/>
    </row>
    <row r="2245" spans="10:10" x14ac:dyDescent="0.4">
      <c r="J2245" s="140"/>
    </row>
    <row r="2246" spans="10:10" x14ac:dyDescent="0.4">
      <c r="J2246" s="140"/>
    </row>
    <row r="2247" spans="10:10" x14ac:dyDescent="0.4">
      <c r="J2247" s="140"/>
    </row>
    <row r="2248" spans="10:10" x14ac:dyDescent="0.4">
      <c r="J2248" s="140"/>
    </row>
    <row r="2249" spans="10:10" x14ac:dyDescent="0.4">
      <c r="J2249" s="140"/>
    </row>
    <row r="2250" spans="10:10" x14ac:dyDescent="0.4">
      <c r="J2250" s="140"/>
    </row>
    <row r="2251" spans="10:10" x14ac:dyDescent="0.4">
      <c r="J2251" s="140"/>
    </row>
    <row r="2252" spans="10:10" x14ac:dyDescent="0.4">
      <c r="J2252" s="140"/>
    </row>
    <row r="2253" spans="10:10" x14ac:dyDescent="0.4">
      <c r="J2253" s="140"/>
    </row>
    <row r="2254" spans="10:10" x14ac:dyDescent="0.4">
      <c r="J2254" s="140"/>
    </row>
    <row r="2255" spans="10:10" x14ac:dyDescent="0.4">
      <c r="J2255" s="140"/>
    </row>
    <row r="2256" spans="10:10" x14ac:dyDescent="0.4">
      <c r="J2256" s="140"/>
    </row>
    <row r="2257" spans="10:10" x14ac:dyDescent="0.4">
      <c r="J2257" s="140"/>
    </row>
    <row r="2258" spans="10:10" x14ac:dyDescent="0.4">
      <c r="J2258" s="140"/>
    </row>
    <row r="2259" spans="10:10" x14ac:dyDescent="0.4">
      <c r="J2259" s="140"/>
    </row>
    <row r="2260" spans="10:10" x14ac:dyDescent="0.4">
      <c r="J2260" s="140"/>
    </row>
    <row r="2261" spans="10:10" x14ac:dyDescent="0.4">
      <c r="J2261" s="140"/>
    </row>
    <row r="2262" spans="10:10" x14ac:dyDescent="0.4">
      <c r="J2262" s="140"/>
    </row>
    <row r="2263" spans="10:10" x14ac:dyDescent="0.4">
      <c r="J2263" s="140"/>
    </row>
    <row r="2264" spans="10:10" x14ac:dyDescent="0.4">
      <c r="J2264" s="140"/>
    </row>
    <row r="2265" spans="10:10" x14ac:dyDescent="0.4">
      <c r="J2265" s="140"/>
    </row>
    <row r="2266" spans="10:10" x14ac:dyDescent="0.4">
      <c r="J2266" s="140"/>
    </row>
    <row r="2267" spans="10:10" x14ac:dyDescent="0.4">
      <c r="J2267" s="140"/>
    </row>
    <row r="2268" spans="10:10" x14ac:dyDescent="0.4">
      <c r="J2268" s="140"/>
    </row>
    <row r="2269" spans="10:10" x14ac:dyDescent="0.4">
      <c r="J2269" s="140"/>
    </row>
    <row r="2270" spans="10:10" x14ac:dyDescent="0.4">
      <c r="J2270" s="140"/>
    </row>
    <row r="2271" spans="10:10" x14ac:dyDescent="0.4">
      <c r="J2271" s="140"/>
    </row>
    <row r="2272" spans="10:10" x14ac:dyDescent="0.4">
      <c r="J2272" s="140"/>
    </row>
    <row r="2273" spans="10:10" x14ac:dyDescent="0.4">
      <c r="J2273" s="140"/>
    </row>
    <row r="2274" spans="10:10" x14ac:dyDescent="0.4">
      <c r="J2274" s="140"/>
    </row>
    <row r="2275" spans="10:10" x14ac:dyDescent="0.4">
      <c r="J2275" s="140"/>
    </row>
    <row r="2276" spans="10:10" x14ac:dyDescent="0.4">
      <c r="J2276" s="140"/>
    </row>
    <row r="2277" spans="10:10" x14ac:dyDescent="0.4">
      <c r="J2277" s="140"/>
    </row>
    <row r="2278" spans="10:10" x14ac:dyDescent="0.4">
      <c r="J2278" s="140"/>
    </row>
    <row r="2279" spans="10:10" x14ac:dyDescent="0.4">
      <c r="J2279" s="140"/>
    </row>
    <row r="2280" spans="10:10" x14ac:dyDescent="0.4">
      <c r="J2280" s="140"/>
    </row>
    <row r="2281" spans="10:10" x14ac:dyDescent="0.4">
      <c r="J2281" s="140"/>
    </row>
    <row r="2282" spans="10:10" x14ac:dyDescent="0.4">
      <c r="J2282" s="140"/>
    </row>
    <row r="2283" spans="10:10" x14ac:dyDescent="0.4">
      <c r="J2283" s="140"/>
    </row>
    <row r="2284" spans="10:10" x14ac:dyDescent="0.4">
      <c r="J2284" s="140"/>
    </row>
    <row r="2285" spans="10:10" x14ac:dyDescent="0.4">
      <c r="J2285" s="140"/>
    </row>
    <row r="2286" spans="10:10" x14ac:dyDescent="0.4">
      <c r="J2286" s="140"/>
    </row>
    <row r="2287" spans="10:10" x14ac:dyDescent="0.4">
      <c r="J2287" s="140"/>
    </row>
    <row r="2288" spans="10:10" x14ac:dyDescent="0.4">
      <c r="J2288" s="140"/>
    </row>
    <row r="2289" spans="10:10" x14ac:dyDescent="0.4">
      <c r="J2289" s="140"/>
    </row>
    <row r="2290" spans="10:10" x14ac:dyDescent="0.4">
      <c r="J2290" s="140"/>
    </row>
    <row r="2291" spans="10:10" x14ac:dyDescent="0.4">
      <c r="J2291" s="140"/>
    </row>
    <row r="2292" spans="10:10" x14ac:dyDescent="0.4">
      <c r="J2292" s="140"/>
    </row>
    <row r="2293" spans="10:10" x14ac:dyDescent="0.4">
      <c r="J2293" s="140"/>
    </row>
    <row r="2294" spans="10:10" x14ac:dyDescent="0.4">
      <c r="J2294" s="140"/>
    </row>
    <row r="2295" spans="10:10" x14ac:dyDescent="0.4">
      <c r="J2295" s="140"/>
    </row>
    <row r="2296" spans="10:10" x14ac:dyDescent="0.4">
      <c r="J2296" s="140"/>
    </row>
    <row r="2297" spans="10:10" x14ac:dyDescent="0.4">
      <c r="J2297" s="140"/>
    </row>
    <row r="2298" spans="10:10" x14ac:dyDescent="0.4">
      <c r="J2298" s="140"/>
    </row>
    <row r="2299" spans="10:10" x14ac:dyDescent="0.4">
      <c r="J2299" s="140"/>
    </row>
    <row r="2300" spans="10:10" x14ac:dyDescent="0.4">
      <c r="J2300" s="140"/>
    </row>
    <row r="2301" spans="10:10" x14ac:dyDescent="0.4">
      <c r="J2301" s="140"/>
    </row>
    <row r="2302" spans="10:10" x14ac:dyDescent="0.4">
      <c r="J2302" s="140"/>
    </row>
    <row r="2303" spans="10:10" x14ac:dyDescent="0.4">
      <c r="J2303" s="140"/>
    </row>
    <row r="2304" spans="10:10" x14ac:dyDescent="0.4">
      <c r="J2304" s="140"/>
    </row>
    <row r="2305" spans="10:10" x14ac:dyDescent="0.4">
      <c r="J2305" s="140"/>
    </row>
    <row r="2306" spans="10:10" x14ac:dyDescent="0.4">
      <c r="J2306" s="140"/>
    </row>
    <row r="2307" spans="10:10" x14ac:dyDescent="0.4">
      <c r="J2307" s="140"/>
    </row>
    <row r="2308" spans="10:10" x14ac:dyDescent="0.4">
      <c r="J2308" s="140"/>
    </row>
    <row r="2309" spans="10:10" x14ac:dyDescent="0.4">
      <c r="J2309" s="140"/>
    </row>
    <row r="2310" spans="10:10" x14ac:dyDescent="0.4">
      <c r="J2310" s="140"/>
    </row>
    <row r="2311" spans="10:10" x14ac:dyDescent="0.4">
      <c r="J2311" s="140"/>
    </row>
    <row r="2312" spans="10:10" x14ac:dyDescent="0.4">
      <c r="J2312" s="140"/>
    </row>
    <row r="2313" spans="10:10" x14ac:dyDescent="0.4">
      <c r="J2313" s="140"/>
    </row>
    <row r="2314" spans="10:10" x14ac:dyDescent="0.4">
      <c r="J2314" s="140"/>
    </row>
    <row r="2315" spans="10:10" x14ac:dyDescent="0.4">
      <c r="J2315" s="140"/>
    </row>
    <row r="2316" spans="10:10" x14ac:dyDescent="0.4">
      <c r="J2316" s="140"/>
    </row>
    <row r="2317" spans="10:10" x14ac:dyDescent="0.4">
      <c r="J2317" s="140"/>
    </row>
    <row r="2318" spans="10:10" x14ac:dyDescent="0.4">
      <c r="J2318" s="140"/>
    </row>
    <row r="2319" spans="10:10" x14ac:dyDescent="0.4">
      <c r="J2319" s="140"/>
    </row>
    <row r="2320" spans="10:10" x14ac:dyDescent="0.4">
      <c r="J2320" s="140"/>
    </row>
    <row r="2321" spans="10:10" x14ac:dyDescent="0.4">
      <c r="J2321" s="140"/>
    </row>
    <row r="2322" spans="10:10" x14ac:dyDescent="0.4">
      <c r="J2322" s="140"/>
    </row>
    <row r="2323" spans="10:10" x14ac:dyDescent="0.4">
      <c r="J2323" s="140"/>
    </row>
    <row r="2324" spans="10:10" x14ac:dyDescent="0.4">
      <c r="J2324" s="140"/>
    </row>
    <row r="2325" spans="10:10" x14ac:dyDescent="0.4">
      <c r="J2325" s="140"/>
    </row>
    <row r="2326" spans="10:10" x14ac:dyDescent="0.4">
      <c r="J2326" s="140"/>
    </row>
    <row r="2327" spans="10:10" x14ac:dyDescent="0.4">
      <c r="J2327" s="140"/>
    </row>
    <row r="2328" spans="10:10" x14ac:dyDescent="0.4">
      <c r="J2328" s="140"/>
    </row>
    <row r="2329" spans="10:10" x14ac:dyDescent="0.4">
      <c r="J2329" s="140"/>
    </row>
    <row r="2330" spans="10:10" x14ac:dyDescent="0.4">
      <c r="J2330" s="140"/>
    </row>
    <row r="2331" spans="10:10" x14ac:dyDescent="0.4">
      <c r="J2331" s="140"/>
    </row>
    <row r="2332" spans="10:10" x14ac:dyDescent="0.4">
      <c r="J2332" s="140"/>
    </row>
    <row r="2333" spans="10:10" x14ac:dyDescent="0.4">
      <c r="J2333" s="140"/>
    </row>
    <row r="2334" spans="10:10" x14ac:dyDescent="0.4">
      <c r="J2334" s="140"/>
    </row>
    <row r="2335" spans="10:10" x14ac:dyDescent="0.4">
      <c r="J2335" s="140"/>
    </row>
    <row r="2336" spans="10:10" x14ac:dyDescent="0.4">
      <c r="J2336" s="140"/>
    </row>
    <row r="2337" spans="10:10" x14ac:dyDescent="0.4">
      <c r="J2337" s="140"/>
    </row>
    <row r="2338" spans="10:10" x14ac:dyDescent="0.4">
      <c r="J2338" s="140"/>
    </row>
    <row r="2339" spans="10:10" x14ac:dyDescent="0.4">
      <c r="J2339" s="140"/>
    </row>
    <row r="2340" spans="10:10" x14ac:dyDescent="0.4">
      <c r="J2340" s="140"/>
    </row>
    <row r="2341" spans="10:10" x14ac:dyDescent="0.4">
      <c r="J2341" s="140"/>
    </row>
    <row r="2342" spans="10:10" x14ac:dyDescent="0.4">
      <c r="J2342" s="140"/>
    </row>
    <row r="2343" spans="10:10" x14ac:dyDescent="0.4">
      <c r="J2343" s="140"/>
    </row>
    <row r="2344" spans="10:10" x14ac:dyDescent="0.4">
      <c r="J2344" s="140"/>
    </row>
    <row r="2345" spans="10:10" x14ac:dyDescent="0.4">
      <c r="J2345" s="140"/>
    </row>
    <row r="2346" spans="10:10" x14ac:dyDescent="0.4">
      <c r="J2346" s="140"/>
    </row>
    <row r="2347" spans="10:10" x14ac:dyDescent="0.4">
      <c r="J2347" s="140"/>
    </row>
    <row r="2348" spans="10:10" x14ac:dyDescent="0.4">
      <c r="J2348" s="140"/>
    </row>
    <row r="2349" spans="10:10" x14ac:dyDescent="0.4">
      <c r="J2349" s="140"/>
    </row>
    <row r="2350" spans="10:10" x14ac:dyDescent="0.4">
      <c r="J2350" s="140"/>
    </row>
    <row r="2351" spans="10:10" x14ac:dyDescent="0.4">
      <c r="J2351" s="140"/>
    </row>
    <row r="2352" spans="10:10" x14ac:dyDescent="0.4">
      <c r="J2352" s="140"/>
    </row>
    <row r="2353" spans="10:10" x14ac:dyDescent="0.4">
      <c r="J2353" s="140"/>
    </row>
    <row r="2354" spans="10:10" x14ac:dyDescent="0.4">
      <c r="J2354" s="140"/>
    </row>
    <row r="2355" spans="10:10" x14ac:dyDescent="0.4">
      <c r="J2355" s="140"/>
    </row>
    <row r="2356" spans="10:10" x14ac:dyDescent="0.4">
      <c r="J2356" s="140"/>
    </row>
    <row r="2357" spans="10:10" x14ac:dyDescent="0.4">
      <c r="J2357" s="140"/>
    </row>
    <row r="2358" spans="10:10" x14ac:dyDescent="0.4">
      <c r="J2358" s="140"/>
    </row>
    <row r="2359" spans="10:10" x14ac:dyDescent="0.4">
      <c r="J2359" s="140"/>
    </row>
    <row r="2360" spans="10:10" x14ac:dyDescent="0.4">
      <c r="J2360" s="140"/>
    </row>
    <row r="2361" spans="10:10" x14ac:dyDescent="0.4">
      <c r="J2361" s="140"/>
    </row>
    <row r="2362" spans="10:10" x14ac:dyDescent="0.4">
      <c r="J2362" s="140"/>
    </row>
    <row r="2363" spans="10:10" x14ac:dyDescent="0.4">
      <c r="J2363" s="140"/>
    </row>
    <row r="2364" spans="10:10" x14ac:dyDescent="0.4">
      <c r="J2364" s="140"/>
    </row>
    <row r="2365" spans="10:10" x14ac:dyDescent="0.4">
      <c r="J2365" s="140"/>
    </row>
    <row r="2366" spans="10:10" x14ac:dyDescent="0.4">
      <c r="J2366" s="140"/>
    </row>
    <row r="2367" spans="10:10" x14ac:dyDescent="0.4">
      <c r="J2367" s="140"/>
    </row>
    <row r="2368" spans="10:10" x14ac:dyDescent="0.4">
      <c r="J2368" s="140"/>
    </row>
    <row r="2369" spans="10:10" x14ac:dyDescent="0.4">
      <c r="J2369" s="140"/>
    </row>
    <row r="2370" spans="10:10" x14ac:dyDescent="0.4">
      <c r="J2370" s="140"/>
    </row>
    <row r="2371" spans="10:10" x14ac:dyDescent="0.4">
      <c r="J2371" s="140"/>
    </row>
    <row r="2372" spans="10:10" x14ac:dyDescent="0.4">
      <c r="J2372" s="140"/>
    </row>
    <row r="2373" spans="10:10" x14ac:dyDescent="0.4">
      <c r="J2373" s="140"/>
    </row>
    <row r="2374" spans="10:10" x14ac:dyDescent="0.4">
      <c r="J2374" s="140"/>
    </row>
    <row r="2375" spans="10:10" x14ac:dyDescent="0.4">
      <c r="J2375" s="140"/>
    </row>
    <row r="2376" spans="10:10" x14ac:dyDescent="0.4">
      <c r="J2376" s="140"/>
    </row>
    <row r="2377" spans="10:10" x14ac:dyDescent="0.4">
      <c r="J2377" s="140"/>
    </row>
    <row r="2378" spans="10:10" x14ac:dyDescent="0.4">
      <c r="J2378" s="140"/>
    </row>
    <row r="2379" spans="10:10" x14ac:dyDescent="0.4">
      <c r="J2379" s="140"/>
    </row>
    <row r="2380" spans="10:10" x14ac:dyDescent="0.4">
      <c r="J2380" s="140"/>
    </row>
    <row r="2381" spans="10:10" x14ac:dyDescent="0.4">
      <c r="J2381" s="140"/>
    </row>
    <row r="2382" spans="10:10" x14ac:dyDescent="0.4">
      <c r="J2382" s="140"/>
    </row>
    <row r="2383" spans="10:10" x14ac:dyDescent="0.4">
      <c r="J2383" s="140"/>
    </row>
    <row r="2384" spans="10:10" x14ac:dyDescent="0.4">
      <c r="J2384" s="140"/>
    </row>
    <row r="2385" spans="10:10" x14ac:dyDescent="0.4">
      <c r="J2385" s="140"/>
    </row>
    <row r="2386" spans="10:10" x14ac:dyDescent="0.4">
      <c r="J2386" s="140"/>
    </row>
    <row r="2387" spans="10:10" x14ac:dyDescent="0.4">
      <c r="J2387" s="140"/>
    </row>
    <row r="2388" spans="10:10" x14ac:dyDescent="0.4">
      <c r="J2388" s="140"/>
    </row>
    <row r="2389" spans="10:10" x14ac:dyDescent="0.4">
      <c r="J2389" s="140"/>
    </row>
    <row r="2390" spans="10:10" x14ac:dyDescent="0.4">
      <c r="J2390" s="140"/>
    </row>
    <row r="2391" spans="10:10" x14ac:dyDescent="0.4">
      <c r="J2391" s="140"/>
    </row>
    <row r="2392" spans="10:10" x14ac:dyDescent="0.4">
      <c r="J2392" s="140"/>
    </row>
    <row r="2393" spans="10:10" x14ac:dyDescent="0.4">
      <c r="J2393" s="140"/>
    </row>
    <row r="2394" spans="10:10" x14ac:dyDescent="0.4">
      <c r="J2394" s="140"/>
    </row>
    <row r="2395" spans="10:10" x14ac:dyDescent="0.4">
      <c r="J2395" s="140"/>
    </row>
    <row r="2396" spans="10:10" x14ac:dyDescent="0.4">
      <c r="J2396" s="140"/>
    </row>
    <row r="2397" spans="10:10" x14ac:dyDescent="0.4">
      <c r="J2397" s="140"/>
    </row>
    <row r="2398" spans="10:10" x14ac:dyDescent="0.4">
      <c r="J2398" s="140"/>
    </row>
    <row r="2399" spans="10:10" x14ac:dyDescent="0.4">
      <c r="J2399" s="140"/>
    </row>
    <row r="2400" spans="10:10" x14ac:dyDescent="0.4">
      <c r="J2400" s="140"/>
    </row>
    <row r="2401" spans="10:10" x14ac:dyDescent="0.4">
      <c r="J2401" s="140"/>
    </row>
    <row r="2402" spans="10:10" x14ac:dyDescent="0.4">
      <c r="J2402" s="140"/>
    </row>
    <row r="2403" spans="10:10" x14ac:dyDescent="0.4">
      <c r="J2403" s="140"/>
    </row>
    <row r="2404" spans="10:10" x14ac:dyDescent="0.4">
      <c r="J2404" s="140"/>
    </row>
    <row r="2405" spans="10:10" x14ac:dyDescent="0.4">
      <c r="J2405" s="140"/>
    </row>
    <row r="2406" spans="10:10" x14ac:dyDescent="0.4">
      <c r="J2406" s="140"/>
    </row>
    <row r="2407" spans="10:10" x14ac:dyDescent="0.4">
      <c r="J2407" s="140"/>
    </row>
    <row r="2408" spans="10:10" x14ac:dyDescent="0.4">
      <c r="J2408" s="140"/>
    </row>
    <row r="2409" spans="10:10" x14ac:dyDescent="0.4">
      <c r="J2409" s="140"/>
    </row>
    <row r="2410" spans="10:10" x14ac:dyDescent="0.4">
      <c r="J2410" s="140"/>
    </row>
    <row r="2411" spans="10:10" x14ac:dyDescent="0.4">
      <c r="J2411" s="140"/>
    </row>
    <row r="2412" spans="10:10" x14ac:dyDescent="0.4">
      <c r="J2412" s="140"/>
    </row>
    <row r="2413" spans="10:10" x14ac:dyDescent="0.4">
      <c r="J2413" s="140"/>
    </row>
    <row r="2414" spans="10:10" x14ac:dyDescent="0.4">
      <c r="J2414" s="140"/>
    </row>
    <row r="2415" spans="10:10" x14ac:dyDescent="0.4">
      <c r="J2415" s="140"/>
    </row>
    <row r="2416" spans="10:10" x14ac:dyDescent="0.4">
      <c r="J2416" s="140"/>
    </row>
    <row r="2417" spans="10:10" x14ac:dyDescent="0.4">
      <c r="J2417" s="140"/>
    </row>
    <row r="2418" spans="10:10" x14ac:dyDescent="0.4">
      <c r="J2418" s="140"/>
    </row>
    <row r="2419" spans="10:10" x14ac:dyDescent="0.4">
      <c r="J2419" s="140"/>
    </row>
    <row r="2420" spans="10:10" x14ac:dyDescent="0.4">
      <c r="J2420" s="140"/>
    </row>
    <row r="2421" spans="10:10" x14ac:dyDescent="0.4">
      <c r="J2421" s="140"/>
    </row>
    <row r="2422" spans="10:10" x14ac:dyDescent="0.4">
      <c r="J2422" s="140"/>
    </row>
    <row r="2423" spans="10:10" x14ac:dyDescent="0.4">
      <c r="J2423" s="140"/>
    </row>
    <row r="2424" spans="10:10" x14ac:dyDescent="0.4">
      <c r="J2424" s="140"/>
    </row>
    <row r="2425" spans="10:10" x14ac:dyDescent="0.4">
      <c r="J2425" s="140"/>
    </row>
    <row r="2426" spans="10:10" x14ac:dyDescent="0.4">
      <c r="J2426" s="140"/>
    </row>
    <row r="2427" spans="10:10" x14ac:dyDescent="0.4">
      <c r="J2427" s="140"/>
    </row>
    <row r="2428" spans="10:10" x14ac:dyDescent="0.4">
      <c r="J2428" s="140"/>
    </row>
    <row r="2429" spans="10:10" x14ac:dyDescent="0.4">
      <c r="J2429" s="140"/>
    </row>
    <row r="2430" spans="10:10" x14ac:dyDescent="0.4">
      <c r="J2430" s="140"/>
    </row>
    <row r="2431" spans="10:10" x14ac:dyDescent="0.4">
      <c r="J2431" s="140"/>
    </row>
    <row r="2432" spans="10:10" x14ac:dyDescent="0.4">
      <c r="J2432" s="140"/>
    </row>
    <row r="2433" spans="10:10" x14ac:dyDescent="0.4">
      <c r="J2433" s="140"/>
    </row>
    <row r="2434" spans="10:10" x14ac:dyDescent="0.4">
      <c r="J2434" s="140"/>
    </row>
    <row r="2435" spans="10:10" x14ac:dyDescent="0.4">
      <c r="J2435" s="140"/>
    </row>
    <row r="2436" spans="10:10" x14ac:dyDescent="0.4">
      <c r="J2436" s="140"/>
    </row>
    <row r="2437" spans="10:10" x14ac:dyDescent="0.4">
      <c r="J2437" s="140"/>
    </row>
    <row r="2438" spans="10:10" x14ac:dyDescent="0.4">
      <c r="J2438" s="140"/>
    </row>
    <row r="2439" spans="10:10" x14ac:dyDescent="0.4">
      <c r="J2439" s="140"/>
    </row>
    <row r="2440" spans="10:10" x14ac:dyDescent="0.4">
      <c r="J2440" s="140"/>
    </row>
    <row r="2441" spans="10:10" x14ac:dyDescent="0.4">
      <c r="J2441" s="140"/>
    </row>
    <row r="2442" spans="10:10" x14ac:dyDescent="0.4">
      <c r="J2442" s="140"/>
    </row>
    <row r="2443" spans="10:10" x14ac:dyDescent="0.4">
      <c r="J2443" s="140"/>
    </row>
    <row r="2444" spans="10:10" x14ac:dyDescent="0.4">
      <c r="J2444" s="140"/>
    </row>
    <row r="2445" spans="10:10" x14ac:dyDescent="0.4">
      <c r="J2445" s="140"/>
    </row>
    <row r="2446" spans="10:10" x14ac:dyDescent="0.4">
      <c r="J2446" s="140"/>
    </row>
    <row r="2447" spans="10:10" x14ac:dyDescent="0.4">
      <c r="J2447" s="140"/>
    </row>
    <row r="2448" spans="10:10" x14ac:dyDescent="0.4">
      <c r="J2448" s="140"/>
    </row>
    <row r="2449" spans="10:10" x14ac:dyDescent="0.4">
      <c r="J2449" s="140"/>
    </row>
    <row r="2450" spans="10:10" x14ac:dyDescent="0.4">
      <c r="J2450" s="140"/>
    </row>
    <row r="2451" spans="10:10" x14ac:dyDescent="0.4">
      <c r="J2451" s="140"/>
    </row>
    <row r="2452" spans="10:10" x14ac:dyDescent="0.4">
      <c r="J2452" s="140"/>
    </row>
    <row r="2453" spans="10:10" x14ac:dyDescent="0.4">
      <c r="J2453" s="140"/>
    </row>
    <row r="2454" spans="10:10" x14ac:dyDescent="0.4">
      <c r="J2454" s="140"/>
    </row>
    <row r="2455" spans="10:10" x14ac:dyDescent="0.4">
      <c r="J2455" s="140"/>
    </row>
    <row r="2456" spans="10:10" x14ac:dyDescent="0.4">
      <c r="J2456" s="140"/>
    </row>
    <row r="2457" spans="10:10" x14ac:dyDescent="0.4">
      <c r="J2457" s="140"/>
    </row>
    <row r="2458" spans="10:10" x14ac:dyDescent="0.4">
      <c r="J2458" s="140"/>
    </row>
    <row r="2459" spans="10:10" x14ac:dyDescent="0.4">
      <c r="J2459" s="140"/>
    </row>
    <row r="2460" spans="10:10" x14ac:dyDescent="0.4">
      <c r="J2460" s="140"/>
    </row>
    <row r="2461" spans="10:10" x14ac:dyDescent="0.4">
      <c r="J2461" s="140"/>
    </row>
    <row r="2462" spans="10:10" x14ac:dyDescent="0.4">
      <c r="J2462" s="140"/>
    </row>
    <row r="2463" spans="10:10" x14ac:dyDescent="0.4">
      <c r="J2463" s="140"/>
    </row>
    <row r="2464" spans="10:10" x14ac:dyDescent="0.4">
      <c r="J2464" s="140"/>
    </row>
    <row r="2465" spans="10:10" x14ac:dyDescent="0.4">
      <c r="J2465" s="140"/>
    </row>
    <row r="2466" spans="10:10" x14ac:dyDescent="0.4">
      <c r="J2466" s="140"/>
    </row>
    <row r="2467" spans="10:10" x14ac:dyDescent="0.4">
      <c r="J2467" s="140"/>
    </row>
    <row r="2468" spans="10:10" x14ac:dyDescent="0.4">
      <c r="J2468" s="140"/>
    </row>
    <row r="2469" spans="10:10" x14ac:dyDescent="0.4">
      <c r="J2469" s="140"/>
    </row>
    <row r="2470" spans="10:10" x14ac:dyDescent="0.4">
      <c r="J2470" s="140"/>
    </row>
    <row r="2471" spans="10:10" x14ac:dyDescent="0.4">
      <c r="J2471" s="140"/>
    </row>
    <row r="2472" spans="10:10" x14ac:dyDescent="0.4">
      <c r="J2472" s="140"/>
    </row>
    <row r="2473" spans="10:10" x14ac:dyDescent="0.4">
      <c r="J2473" s="140"/>
    </row>
    <row r="2474" spans="10:10" x14ac:dyDescent="0.4">
      <c r="J2474" s="140"/>
    </row>
    <row r="2475" spans="10:10" x14ac:dyDescent="0.4">
      <c r="J2475" s="140"/>
    </row>
    <row r="2476" spans="10:10" x14ac:dyDescent="0.4">
      <c r="J2476" s="140"/>
    </row>
    <row r="2477" spans="10:10" x14ac:dyDescent="0.4">
      <c r="J2477" s="140"/>
    </row>
    <row r="2478" spans="10:10" x14ac:dyDescent="0.4">
      <c r="J2478" s="140"/>
    </row>
    <row r="2479" spans="10:10" x14ac:dyDescent="0.4">
      <c r="J2479" s="140"/>
    </row>
    <row r="2480" spans="10:10" x14ac:dyDescent="0.4">
      <c r="J2480" s="140"/>
    </row>
    <row r="2481" spans="10:10" x14ac:dyDescent="0.4">
      <c r="J2481" s="140"/>
    </row>
    <row r="2482" spans="10:10" x14ac:dyDescent="0.4">
      <c r="J2482" s="140"/>
    </row>
    <row r="2483" spans="10:10" x14ac:dyDescent="0.4">
      <c r="J2483" s="140"/>
    </row>
    <row r="2484" spans="10:10" x14ac:dyDescent="0.4">
      <c r="J2484" s="140"/>
    </row>
    <row r="2485" spans="10:10" x14ac:dyDescent="0.4">
      <c r="J2485" s="140"/>
    </row>
    <row r="2486" spans="10:10" x14ac:dyDescent="0.4">
      <c r="J2486" s="140"/>
    </row>
    <row r="2487" spans="10:10" x14ac:dyDescent="0.4">
      <c r="J2487" s="140"/>
    </row>
    <row r="2488" spans="10:10" x14ac:dyDescent="0.4">
      <c r="J2488" s="140"/>
    </row>
    <row r="2489" spans="10:10" x14ac:dyDescent="0.4">
      <c r="J2489" s="140"/>
    </row>
    <row r="2490" spans="10:10" x14ac:dyDescent="0.4">
      <c r="J2490" s="140"/>
    </row>
    <row r="2491" spans="10:10" x14ac:dyDescent="0.4">
      <c r="J2491" s="140"/>
    </row>
    <row r="2492" spans="10:10" x14ac:dyDescent="0.4">
      <c r="J2492" s="140"/>
    </row>
    <row r="2493" spans="10:10" x14ac:dyDescent="0.4">
      <c r="J2493" s="140"/>
    </row>
    <row r="2494" spans="10:10" x14ac:dyDescent="0.4">
      <c r="J2494" s="140"/>
    </row>
    <row r="2495" spans="10:10" x14ac:dyDescent="0.4">
      <c r="J2495" s="140"/>
    </row>
    <row r="2496" spans="10:10" x14ac:dyDescent="0.4">
      <c r="J2496" s="140"/>
    </row>
    <row r="2497" spans="10:10" x14ac:dyDescent="0.4">
      <c r="J2497" s="140"/>
    </row>
    <row r="2498" spans="10:10" x14ac:dyDescent="0.4">
      <c r="J2498" s="140"/>
    </row>
    <row r="2499" spans="10:10" x14ac:dyDescent="0.4">
      <c r="J2499" s="140"/>
    </row>
    <row r="2500" spans="10:10" x14ac:dyDescent="0.4">
      <c r="J2500" s="140"/>
    </row>
    <row r="2501" spans="10:10" x14ac:dyDescent="0.4">
      <c r="J2501" s="140"/>
    </row>
    <row r="2502" spans="10:10" x14ac:dyDescent="0.4">
      <c r="J2502" s="140"/>
    </row>
    <row r="2503" spans="10:10" x14ac:dyDescent="0.4">
      <c r="J2503" s="140"/>
    </row>
    <row r="2504" spans="10:10" x14ac:dyDescent="0.4">
      <c r="J2504" s="140"/>
    </row>
    <row r="2505" spans="10:10" x14ac:dyDescent="0.4">
      <c r="J2505" s="140"/>
    </row>
    <row r="2506" spans="10:10" x14ac:dyDescent="0.4">
      <c r="J2506" s="140"/>
    </row>
    <row r="2507" spans="10:10" x14ac:dyDescent="0.4">
      <c r="J2507" s="140"/>
    </row>
    <row r="2508" spans="10:10" x14ac:dyDescent="0.4">
      <c r="J2508" s="140"/>
    </row>
    <row r="2509" spans="10:10" x14ac:dyDescent="0.4">
      <c r="J2509" s="140"/>
    </row>
    <row r="2510" spans="10:10" x14ac:dyDescent="0.4">
      <c r="J2510" s="140"/>
    </row>
    <row r="2511" spans="10:10" x14ac:dyDescent="0.4">
      <c r="J2511" s="140"/>
    </row>
    <row r="2512" spans="10:10" x14ac:dyDescent="0.4">
      <c r="J2512" s="140"/>
    </row>
    <row r="2513" spans="10:10" x14ac:dyDescent="0.4">
      <c r="J2513" s="140"/>
    </row>
    <row r="2514" spans="10:10" x14ac:dyDescent="0.4">
      <c r="J2514" s="140"/>
    </row>
    <row r="2515" spans="10:10" x14ac:dyDescent="0.4">
      <c r="J2515" s="140"/>
    </row>
    <row r="2516" spans="10:10" x14ac:dyDescent="0.4">
      <c r="J2516" s="140"/>
    </row>
    <row r="2517" spans="10:10" x14ac:dyDescent="0.4">
      <c r="J2517" s="140"/>
    </row>
    <row r="2518" spans="10:10" x14ac:dyDescent="0.4">
      <c r="J2518" s="140"/>
    </row>
    <row r="2519" spans="10:10" x14ac:dyDescent="0.4">
      <c r="J2519" s="140"/>
    </row>
    <row r="2520" spans="10:10" x14ac:dyDescent="0.4">
      <c r="J2520" s="140"/>
    </row>
    <row r="2521" spans="10:10" x14ac:dyDescent="0.4">
      <c r="J2521" s="140"/>
    </row>
    <row r="2522" spans="10:10" x14ac:dyDescent="0.4">
      <c r="J2522" s="140"/>
    </row>
    <row r="2523" spans="10:10" x14ac:dyDescent="0.4">
      <c r="J2523" s="140"/>
    </row>
    <row r="2524" spans="10:10" x14ac:dyDescent="0.4">
      <c r="J2524" s="140"/>
    </row>
    <row r="2525" spans="10:10" x14ac:dyDescent="0.4">
      <c r="J2525" s="140"/>
    </row>
    <row r="2526" spans="10:10" x14ac:dyDescent="0.4">
      <c r="J2526" s="140"/>
    </row>
    <row r="2527" spans="10:10" x14ac:dyDescent="0.4">
      <c r="J2527" s="140"/>
    </row>
    <row r="2528" spans="10:10" x14ac:dyDescent="0.4">
      <c r="J2528" s="140"/>
    </row>
    <row r="2529" spans="10:10" x14ac:dyDescent="0.4">
      <c r="J2529" s="140"/>
    </row>
    <row r="2530" spans="10:10" x14ac:dyDescent="0.4">
      <c r="J2530" s="140"/>
    </row>
    <row r="2531" spans="10:10" x14ac:dyDescent="0.4">
      <c r="J2531" s="140"/>
    </row>
    <row r="2532" spans="10:10" x14ac:dyDescent="0.4">
      <c r="J2532" s="140"/>
    </row>
    <row r="2533" spans="10:10" x14ac:dyDescent="0.4">
      <c r="J2533" s="140"/>
    </row>
    <row r="2534" spans="10:10" x14ac:dyDescent="0.4">
      <c r="J2534" s="140"/>
    </row>
    <row r="2535" spans="10:10" x14ac:dyDescent="0.4">
      <c r="J2535" s="140"/>
    </row>
    <row r="2536" spans="10:10" x14ac:dyDescent="0.4">
      <c r="J2536" s="140"/>
    </row>
    <row r="2537" spans="10:10" x14ac:dyDescent="0.4">
      <c r="J2537" s="140"/>
    </row>
    <row r="2538" spans="10:10" x14ac:dyDescent="0.4">
      <c r="J2538" s="140"/>
    </row>
    <row r="2539" spans="10:10" x14ac:dyDescent="0.4">
      <c r="J2539" s="140"/>
    </row>
    <row r="2540" spans="10:10" x14ac:dyDescent="0.4">
      <c r="J2540" s="140"/>
    </row>
    <row r="2541" spans="10:10" x14ac:dyDescent="0.4">
      <c r="J2541" s="140"/>
    </row>
    <row r="2542" spans="10:10" x14ac:dyDescent="0.4">
      <c r="J2542" s="140"/>
    </row>
    <row r="2543" spans="10:10" x14ac:dyDescent="0.4">
      <c r="J2543" s="140"/>
    </row>
    <row r="2544" spans="10:10" x14ac:dyDescent="0.4">
      <c r="J2544" s="140"/>
    </row>
    <row r="2545" spans="10:10" x14ac:dyDescent="0.4">
      <c r="J2545" s="140"/>
    </row>
    <row r="2546" spans="10:10" x14ac:dyDescent="0.4">
      <c r="J2546" s="140"/>
    </row>
    <row r="2547" spans="10:10" x14ac:dyDescent="0.4">
      <c r="J2547" s="140"/>
    </row>
    <row r="2548" spans="10:10" x14ac:dyDescent="0.4">
      <c r="J2548" s="140"/>
    </row>
    <row r="2549" spans="10:10" x14ac:dyDescent="0.4">
      <c r="J2549" s="140"/>
    </row>
    <row r="2550" spans="10:10" x14ac:dyDescent="0.4">
      <c r="J2550" s="140"/>
    </row>
    <row r="2551" spans="10:10" x14ac:dyDescent="0.4">
      <c r="J2551" s="140"/>
    </row>
    <row r="2552" spans="10:10" x14ac:dyDescent="0.4">
      <c r="J2552" s="140"/>
    </row>
    <row r="2553" spans="10:10" x14ac:dyDescent="0.4">
      <c r="J2553" s="140"/>
    </row>
    <row r="2554" spans="10:10" x14ac:dyDescent="0.4">
      <c r="J2554" s="140"/>
    </row>
    <row r="2555" spans="10:10" x14ac:dyDescent="0.4">
      <c r="J2555" s="140"/>
    </row>
    <row r="2556" spans="10:10" x14ac:dyDescent="0.4">
      <c r="J2556" s="140"/>
    </row>
    <row r="2557" spans="10:10" x14ac:dyDescent="0.4">
      <c r="J2557" s="140"/>
    </row>
    <row r="2558" spans="10:10" x14ac:dyDescent="0.4">
      <c r="J2558" s="140"/>
    </row>
    <row r="2559" spans="10:10" x14ac:dyDescent="0.4">
      <c r="J2559" s="140"/>
    </row>
    <row r="2560" spans="10:10" x14ac:dyDescent="0.4">
      <c r="J2560" s="140"/>
    </row>
    <row r="2561" spans="10:10" x14ac:dyDescent="0.4">
      <c r="J2561" s="140"/>
    </row>
    <row r="2562" spans="10:10" x14ac:dyDescent="0.4">
      <c r="J2562" s="140"/>
    </row>
    <row r="2563" spans="10:10" x14ac:dyDescent="0.4">
      <c r="J2563" s="140"/>
    </row>
    <row r="2564" spans="10:10" x14ac:dyDescent="0.4">
      <c r="J2564" s="140"/>
    </row>
    <row r="2565" spans="10:10" x14ac:dyDescent="0.4">
      <c r="J2565" s="140"/>
    </row>
    <row r="2566" spans="10:10" x14ac:dyDescent="0.4">
      <c r="J2566" s="140"/>
    </row>
    <row r="2567" spans="10:10" x14ac:dyDescent="0.4">
      <c r="J2567" s="140"/>
    </row>
    <row r="2568" spans="10:10" x14ac:dyDescent="0.4">
      <c r="J2568" s="140"/>
    </row>
    <row r="2569" spans="10:10" x14ac:dyDescent="0.4">
      <c r="J2569" s="140"/>
    </row>
    <row r="2570" spans="10:10" x14ac:dyDescent="0.4">
      <c r="J2570" s="140"/>
    </row>
    <row r="2571" spans="10:10" x14ac:dyDescent="0.4">
      <c r="J2571" s="140"/>
    </row>
    <row r="2572" spans="10:10" x14ac:dyDescent="0.4">
      <c r="J2572" s="140"/>
    </row>
    <row r="2573" spans="10:10" x14ac:dyDescent="0.4">
      <c r="J2573" s="140"/>
    </row>
    <row r="2574" spans="10:10" x14ac:dyDescent="0.4">
      <c r="J2574" s="140"/>
    </row>
    <row r="2575" spans="10:10" x14ac:dyDescent="0.4">
      <c r="J2575" s="140"/>
    </row>
    <row r="2576" spans="10:10" x14ac:dyDescent="0.4">
      <c r="J2576" s="140"/>
    </row>
    <row r="2577" spans="10:10" x14ac:dyDescent="0.4">
      <c r="J2577" s="140"/>
    </row>
    <row r="2578" spans="10:10" x14ac:dyDescent="0.4">
      <c r="J2578" s="140"/>
    </row>
    <row r="2579" spans="10:10" x14ac:dyDescent="0.4">
      <c r="J2579" s="140"/>
    </row>
    <row r="2580" spans="10:10" x14ac:dyDescent="0.4">
      <c r="J2580" s="140"/>
    </row>
    <row r="2581" spans="10:10" x14ac:dyDescent="0.4">
      <c r="J2581" s="140"/>
    </row>
    <row r="2582" spans="10:10" x14ac:dyDescent="0.4">
      <c r="J2582" s="140"/>
    </row>
    <row r="2583" spans="10:10" x14ac:dyDescent="0.4">
      <c r="J2583" s="140"/>
    </row>
    <row r="2584" spans="10:10" x14ac:dyDescent="0.4">
      <c r="J2584" s="140"/>
    </row>
    <row r="2585" spans="10:10" x14ac:dyDescent="0.4">
      <c r="J2585" s="140"/>
    </row>
    <row r="2586" spans="10:10" x14ac:dyDescent="0.4">
      <c r="J2586" s="140"/>
    </row>
    <row r="2587" spans="10:10" x14ac:dyDescent="0.4">
      <c r="J2587" s="140"/>
    </row>
    <row r="2588" spans="10:10" x14ac:dyDescent="0.4">
      <c r="J2588" s="140"/>
    </row>
    <row r="2589" spans="10:10" x14ac:dyDescent="0.4">
      <c r="J2589" s="140"/>
    </row>
    <row r="2590" spans="10:10" x14ac:dyDescent="0.4">
      <c r="J2590" s="140"/>
    </row>
    <row r="2591" spans="10:10" x14ac:dyDescent="0.4">
      <c r="J2591" s="140"/>
    </row>
    <row r="2592" spans="10:10" x14ac:dyDescent="0.4">
      <c r="J2592" s="140"/>
    </row>
    <row r="2593" spans="10:10" x14ac:dyDescent="0.4">
      <c r="J2593" s="140"/>
    </row>
    <row r="2594" spans="10:10" x14ac:dyDescent="0.4">
      <c r="J2594" s="140"/>
    </row>
    <row r="2595" spans="10:10" x14ac:dyDescent="0.4">
      <c r="J2595" s="140"/>
    </row>
    <row r="2596" spans="10:10" x14ac:dyDescent="0.4">
      <c r="J2596" s="140"/>
    </row>
    <row r="2597" spans="10:10" x14ac:dyDescent="0.4">
      <c r="J2597" s="140"/>
    </row>
    <row r="2598" spans="10:10" x14ac:dyDescent="0.4">
      <c r="J2598" s="140"/>
    </row>
    <row r="2599" spans="10:10" x14ac:dyDescent="0.4">
      <c r="J2599" s="140"/>
    </row>
    <row r="2600" spans="10:10" x14ac:dyDescent="0.4">
      <c r="J2600" s="140"/>
    </row>
    <row r="2601" spans="10:10" x14ac:dyDescent="0.4">
      <c r="J2601" s="140"/>
    </row>
    <row r="2602" spans="10:10" x14ac:dyDescent="0.4">
      <c r="J2602" s="140"/>
    </row>
    <row r="2603" spans="10:10" x14ac:dyDescent="0.4">
      <c r="J2603" s="140"/>
    </row>
    <row r="2604" spans="10:10" x14ac:dyDescent="0.4">
      <c r="J2604" s="140"/>
    </row>
    <row r="2605" spans="10:10" x14ac:dyDescent="0.4">
      <c r="J2605" s="140"/>
    </row>
    <row r="2606" spans="10:10" x14ac:dyDescent="0.4">
      <c r="J2606" s="140"/>
    </row>
    <row r="2607" spans="10:10" x14ac:dyDescent="0.4">
      <c r="J2607" s="140"/>
    </row>
    <row r="2608" spans="10:10" x14ac:dyDescent="0.4">
      <c r="J2608" s="140"/>
    </row>
    <row r="2609" spans="10:10" x14ac:dyDescent="0.4">
      <c r="J2609" s="140"/>
    </row>
    <row r="2610" spans="10:10" x14ac:dyDescent="0.4">
      <c r="J2610" s="140"/>
    </row>
    <row r="2611" spans="10:10" x14ac:dyDescent="0.4">
      <c r="J2611" s="140"/>
    </row>
    <row r="2612" spans="10:10" x14ac:dyDescent="0.4">
      <c r="J2612" s="140"/>
    </row>
    <row r="2613" spans="10:10" x14ac:dyDescent="0.4">
      <c r="J2613" s="140"/>
    </row>
    <row r="2614" spans="10:10" x14ac:dyDescent="0.4">
      <c r="J2614" s="140"/>
    </row>
    <row r="2615" spans="10:10" x14ac:dyDescent="0.4">
      <c r="J2615" s="140"/>
    </row>
    <row r="2616" spans="10:10" x14ac:dyDescent="0.4">
      <c r="J2616" s="140"/>
    </row>
    <row r="2617" spans="10:10" x14ac:dyDescent="0.4">
      <c r="J2617" s="140"/>
    </row>
    <row r="2618" spans="10:10" x14ac:dyDescent="0.4">
      <c r="J2618" s="140"/>
    </row>
    <row r="2619" spans="10:10" x14ac:dyDescent="0.4">
      <c r="J2619" s="140"/>
    </row>
    <row r="2620" spans="10:10" x14ac:dyDescent="0.4">
      <c r="J2620" s="140"/>
    </row>
    <row r="2621" spans="10:10" x14ac:dyDescent="0.4">
      <c r="J2621" s="140"/>
    </row>
    <row r="2622" spans="10:10" x14ac:dyDescent="0.4">
      <c r="J2622" s="140"/>
    </row>
    <row r="2623" spans="10:10" x14ac:dyDescent="0.4">
      <c r="J2623" s="140"/>
    </row>
    <row r="2624" spans="10:10" x14ac:dyDescent="0.4">
      <c r="J2624" s="140"/>
    </row>
    <row r="2625" spans="10:10" x14ac:dyDescent="0.4">
      <c r="J2625" s="140"/>
    </row>
    <row r="2626" spans="10:10" x14ac:dyDescent="0.4">
      <c r="J2626" s="140"/>
    </row>
    <row r="2627" spans="10:10" x14ac:dyDescent="0.4">
      <c r="J2627" s="140"/>
    </row>
    <row r="2628" spans="10:10" x14ac:dyDescent="0.4">
      <c r="J2628" s="140"/>
    </row>
    <row r="2629" spans="10:10" x14ac:dyDescent="0.4">
      <c r="J2629" s="140"/>
    </row>
    <row r="2630" spans="10:10" x14ac:dyDescent="0.4">
      <c r="J2630" s="140"/>
    </row>
    <row r="2631" spans="10:10" x14ac:dyDescent="0.4">
      <c r="J2631" s="140"/>
    </row>
    <row r="2632" spans="10:10" x14ac:dyDescent="0.4">
      <c r="J2632" s="140"/>
    </row>
    <row r="2633" spans="10:10" x14ac:dyDescent="0.4">
      <c r="J2633" s="140"/>
    </row>
    <row r="2634" spans="10:10" x14ac:dyDescent="0.4">
      <c r="J2634" s="140"/>
    </row>
    <row r="2635" spans="10:10" x14ac:dyDescent="0.4">
      <c r="J2635" s="140"/>
    </row>
    <row r="2636" spans="10:10" x14ac:dyDescent="0.4">
      <c r="J2636" s="140"/>
    </row>
    <row r="2637" spans="10:10" x14ac:dyDescent="0.4">
      <c r="J2637" s="140"/>
    </row>
    <row r="2638" spans="10:10" x14ac:dyDescent="0.4">
      <c r="J2638" s="140"/>
    </row>
    <row r="2639" spans="10:10" x14ac:dyDescent="0.4">
      <c r="J2639" s="140"/>
    </row>
    <row r="2640" spans="10:10" x14ac:dyDescent="0.4">
      <c r="J2640" s="140"/>
    </row>
    <row r="2641" spans="10:10" x14ac:dyDescent="0.4">
      <c r="J2641" s="140"/>
    </row>
    <row r="2642" spans="10:10" x14ac:dyDescent="0.4">
      <c r="J2642" s="140"/>
    </row>
    <row r="2643" spans="10:10" x14ac:dyDescent="0.4">
      <c r="J2643" s="140"/>
    </row>
    <row r="2644" spans="10:10" x14ac:dyDescent="0.4">
      <c r="J2644" s="140"/>
    </row>
    <row r="2645" spans="10:10" x14ac:dyDescent="0.4">
      <c r="J2645" s="140"/>
    </row>
    <row r="2646" spans="10:10" x14ac:dyDescent="0.4">
      <c r="J2646" s="140"/>
    </row>
    <row r="2647" spans="10:10" x14ac:dyDescent="0.4">
      <c r="J2647" s="140"/>
    </row>
    <row r="2648" spans="10:10" x14ac:dyDescent="0.4">
      <c r="J2648" s="140"/>
    </row>
    <row r="2649" spans="10:10" x14ac:dyDescent="0.4">
      <c r="J2649" s="140"/>
    </row>
    <row r="2650" spans="10:10" x14ac:dyDescent="0.4">
      <c r="J2650" s="140"/>
    </row>
    <row r="2651" spans="10:10" x14ac:dyDescent="0.4">
      <c r="J2651" s="140"/>
    </row>
    <row r="2652" spans="10:10" x14ac:dyDescent="0.4">
      <c r="J2652" s="140"/>
    </row>
    <row r="2653" spans="10:10" x14ac:dyDescent="0.4">
      <c r="J2653" s="140"/>
    </row>
    <row r="2654" spans="10:10" x14ac:dyDescent="0.4">
      <c r="J2654" s="140"/>
    </row>
    <row r="2655" spans="10:10" x14ac:dyDescent="0.4">
      <c r="J2655" s="140"/>
    </row>
    <row r="2656" spans="10:10" x14ac:dyDescent="0.4">
      <c r="J2656" s="140"/>
    </row>
    <row r="2657" spans="10:10" x14ac:dyDescent="0.4">
      <c r="J2657" s="140"/>
    </row>
    <row r="2658" spans="10:10" x14ac:dyDescent="0.4">
      <c r="J2658" s="140"/>
    </row>
    <row r="2659" spans="10:10" x14ac:dyDescent="0.4">
      <c r="J2659" s="140"/>
    </row>
    <row r="2660" spans="10:10" x14ac:dyDescent="0.4">
      <c r="J2660" s="140"/>
    </row>
    <row r="2661" spans="10:10" x14ac:dyDescent="0.4">
      <c r="J2661" s="140"/>
    </row>
    <row r="2662" spans="10:10" x14ac:dyDescent="0.4">
      <c r="J2662" s="140"/>
    </row>
    <row r="2663" spans="10:10" x14ac:dyDescent="0.4">
      <c r="J2663" s="140"/>
    </row>
    <row r="2664" spans="10:10" x14ac:dyDescent="0.4">
      <c r="J2664" s="140"/>
    </row>
    <row r="2665" spans="10:10" x14ac:dyDescent="0.4">
      <c r="J2665" s="140"/>
    </row>
    <row r="2666" spans="10:10" x14ac:dyDescent="0.4">
      <c r="J2666" s="140"/>
    </row>
    <row r="2667" spans="10:10" x14ac:dyDescent="0.4">
      <c r="J2667" s="140"/>
    </row>
    <row r="2668" spans="10:10" x14ac:dyDescent="0.4">
      <c r="J2668" s="140"/>
    </row>
    <row r="2669" spans="10:10" x14ac:dyDescent="0.4">
      <c r="J2669" s="140"/>
    </row>
    <row r="2670" spans="10:10" x14ac:dyDescent="0.4">
      <c r="J2670" s="140"/>
    </row>
    <row r="2671" spans="10:10" x14ac:dyDescent="0.4">
      <c r="J2671" s="140"/>
    </row>
    <row r="2672" spans="10:10" x14ac:dyDescent="0.4">
      <c r="J2672" s="140"/>
    </row>
    <row r="2673" spans="10:10" x14ac:dyDescent="0.4">
      <c r="J2673" s="140"/>
    </row>
    <row r="2674" spans="10:10" x14ac:dyDescent="0.4">
      <c r="J2674" s="140"/>
    </row>
    <row r="2675" spans="10:10" x14ac:dyDescent="0.4">
      <c r="J2675" s="140"/>
    </row>
    <row r="2676" spans="10:10" x14ac:dyDescent="0.4">
      <c r="J2676" s="140"/>
    </row>
    <row r="2677" spans="10:10" x14ac:dyDescent="0.4">
      <c r="J2677" s="140"/>
    </row>
    <row r="2678" spans="10:10" x14ac:dyDescent="0.4">
      <c r="J2678" s="140"/>
    </row>
    <row r="2679" spans="10:10" x14ac:dyDescent="0.4">
      <c r="J2679" s="140"/>
    </row>
    <row r="2680" spans="10:10" x14ac:dyDescent="0.4">
      <c r="J2680" s="140"/>
    </row>
    <row r="2681" spans="10:10" x14ac:dyDescent="0.4">
      <c r="J2681" s="140"/>
    </row>
    <row r="2682" spans="10:10" x14ac:dyDescent="0.4">
      <c r="J2682" s="140"/>
    </row>
    <row r="2683" spans="10:10" x14ac:dyDescent="0.4">
      <c r="J2683" s="140"/>
    </row>
    <row r="2684" spans="10:10" x14ac:dyDescent="0.4">
      <c r="J2684" s="140"/>
    </row>
    <row r="2685" spans="10:10" x14ac:dyDescent="0.4">
      <c r="J2685" s="140"/>
    </row>
    <row r="2686" spans="10:10" x14ac:dyDescent="0.4">
      <c r="J2686" s="140"/>
    </row>
    <row r="2687" spans="10:10" x14ac:dyDescent="0.4">
      <c r="J2687" s="140"/>
    </row>
    <row r="2688" spans="10:10" x14ac:dyDescent="0.4">
      <c r="J2688" s="140"/>
    </row>
    <row r="2689" spans="10:10" x14ac:dyDescent="0.4">
      <c r="J2689" s="140"/>
    </row>
    <row r="2690" spans="10:10" x14ac:dyDescent="0.4">
      <c r="J2690" s="140"/>
    </row>
    <row r="2691" spans="10:10" x14ac:dyDescent="0.4">
      <c r="J2691" s="140"/>
    </row>
    <row r="2692" spans="10:10" x14ac:dyDescent="0.4">
      <c r="J2692" s="140"/>
    </row>
    <row r="2693" spans="10:10" x14ac:dyDescent="0.4">
      <c r="J2693" s="140"/>
    </row>
    <row r="2694" spans="10:10" x14ac:dyDescent="0.4">
      <c r="J2694" s="140"/>
    </row>
    <row r="2695" spans="10:10" x14ac:dyDescent="0.4">
      <c r="J2695" s="140"/>
    </row>
    <row r="2696" spans="10:10" x14ac:dyDescent="0.4">
      <c r="J2696" s="140"/>
    </row>
    <row r="2697" spans="10:10" x14ac:dyDescent="0.4">
      <c r="J2697" s="140"/>
    </row>
    <row r="2698" spans="10:10" x14ac:dyDescent="0.4">
      <c r="J2698" s="140"/>
    </row>
    <row r="2699" spans="10:10" x14ac:dyDescent="0.4">
      <c r="J2699" s="140"/>
    </row>
    <row r="2700" spans="10:10" x14ac:dyDescent="0.4">
      <c r="J2700" s="140"/>
    </row>
    <row r="2701" spans="10:10" x14ac:dyDescent="0.4">
      <c r="J2701" s="140"/>
    </row>
    <row r="2702" spans="10:10" x14ac:dyDescent="0.4">
      <c r="J2702" s="140"/>
    </row>
    <row r="2703" spans="10:10" x14ac:dyDescent="0.4">
      <c r="J2703" s="140"/>
    </row>
    <row r="2704" spans="10:10" x14ac:dyDescent="0.4">
      <c r="J2704" s="140"/>
    </row>
    <row r="2705" spans="10:10" x14ac:dyDescent="0.4">
      <c r="J2705" s="140"/>
    </row>
    <row r="2706" spans="10:10" x14ac:dyDescent="0.4">
      <c r="J2706" s="140"/>
    </row>
    <row r="2707" spans="10:10" x14ac:dyDescent="0.4">
      <c r="J2707" s="140"/>
    </row>
    <row r="2708" spans="10:10" x14ac:dyDescent="0.4">
      <c r="J2708" s="140"/>
    </row>
    <row r="2709" spans="10:10" x14ac:dyDescent="0.4">
      <c r="J2709" s="140"/>
    </row>
    <row r="2710" spans="10:10" x14ac:dyDescent="0.4">
      <c r="J2710" s="140"/>
    </row>
    <row r="2711" spans="10:10" x14ac:dyDescent="0.4">
      <c r="J2711" s="140"/>
    </row>
    <row r="2712" spans="10:10" x14ac:dyDescent="0.4">
      <c r="J2712" s="140"/>
    </row>
    <row r="2713" spans="10:10" x14ac:dyDescent="0.4">
      <c r="J2713" s="140"/>
    </row>
    <row r="2714" spans="10:10" x14ac:dyDescent="0.4">
      <c r="J2714" s="140"/>
    </row>
    <row r="2715" spans="10:10" x14ac:dyDescent="0.4">
      <c r="J2715" s="140"/>
    </row>
    <row r="2716" spans="10:10" x14ac:dyDescent="0.4">
      <c r="J2716" s="140"/>
    </row>
    <row r="2717" spans="10:10" x14ac:dyDescent="0.4">
      <c r="J2717" s="140"/>
    </row>
    <row r="2718" spans="10:10" x14ac:dyDescent="0.4">
      <c r="J2718" s="140"/>
    </row>
    <row r="2719" spans="10:10" x14ac:dyDescent="0.4">
      <c r="J2719" s="140"/>
    </row>
    <row r="2720" spans="10:10" x14ac:dyDescent="0.4">
      <c r="J2720" s="140"/>
    </row>
    <row r="2721" spans="10:10" x14ac:dyDescent="0.4">
      <c r="J2721" s="140"/>
    </row>
    <row r="2722" spans="10:10" x14ac:dyDescent="0.4">
      <c r="J2722" s="140"/>
    </row>
    <row r="2723" spans="10:10" x14ac:dyDescent="0.4">
      <c r="J2723" s="140"/>
    </row>
    <row r="2724" spans="10:10" x14ac:dyDescent="0.4">
      <c r="J2724" s="140"/>
    </row>
    <row r="2725" spans="10:10" x14ac:dyDescent="0.4">
      <c r="J2725" s="140"/>
    </row>
    <row r="2726" spans="10:10" x14ac:dyDescent="0.4">
      <c r="J2726" s="140"/>
    </row>
    <row r="2727" spans="10:10" x14ac:dyDescent="0.4">
      <c r="J2727" s="140"/>
    </row>
    <row r="2728" spans="10:10" x14ac:dyDescent="0.4">
      <c r="J2728" s="140"/>
    </row>
    <row r="2729" spans="10:10" x14ac:dyDescent="0.4">
      <c r="J2729" s="140"/>
    </row>
    <row r="2730" spans="10:10" x14ac:dyDescent="0.4">
      <c r="J2730" s="140"/>
    </row>
    <row r="2731" spans="10:10" x14ac:dyDescent="0.4">
      <c r="J2731" s="140"/>
    </row>
    <row r="2732" spans="10:10" x14ac:dyDescent="0.4">
      <c r="J2732" s="140"/>
    </row>
    <row r="2733" spans="10:10" x14ac:dyDescent="0.4">
      <c r="J2733" s="140"/>
    </row>
    <row r="2734" spans="10:10" x14ac:dyDescent="0.4">
      <c r="J2734" s="140"/>
    </row>
    <row r="2735" spans="10:10" x14ac:dyDescent="0.4">
      <c r="J2735" s="140"/>
    </row>
    <row r="2736" spans="10:10" x14ac:dyDescent="0.4">
      <c r="J2736" s="140"/>
    </row>
    <row r="2737" spans="10:10" x14ac:dyDescent="0.4">
      <c r="J2737" s="140"/>
    </row>
    <row r="2738" spans="10:10" x14ac:dyDescent="0.4">
      <c r="J2738" s="140"/>
    </row>
    <row r="2739" spans="10:10" x14ac:dyDescent="0.4">
      <c r="J2739" s="140"/>
    </row>
    <row r="2740" spans="10:10" x14ac:dyDescent="0.4">
      <c r="J2740" s="140"/>
    </row>
    <row r="2741" spans="10:10" x14ac:dyDescent="0.4">
      <c r="J2741" s="140"/>
    </row>
    <row r="2742" spans="10:10" x14ac:dyDescent="0.4">
      <c r="J2742" s="140"/>
    </row>
    <row r="2743" spans="10:10" x14ac:dyDescent="0.4">
      <c r="J2743" s="140"/>
    </row>
    <row r="2744" spans="10:10" x14ac:dyDescent="0.4">
      <c r="J2744" s="140"/>
    </row>
    <row r="2745" spans="10:10" x14ac:dyDescent="0.4">
      <c r="J2745" s="140"/>
    </row>
    <row r="2746" spans="10:10" x14ac:dyDescent="0.4">
      <c r="J2746" s="140"/>
    </row>
    <row r="2747" spans="10:10" x14ac:dyDescent="0.4">
      <c r="J2747" s="140"/>
    </row>
    <row r="2748" spans="10:10" x14ac:dyDescent="0.4">
      <c r="J2748" s="140"/>
    </row>
    <row r="2749" spans="10:10" x14ac:dyDescent="0.4">
      <c r="J2749" s="140"/>
    </row>
    <row r="2750" spans="10:10" x14ac:dyDescent="0.4">
      <c r="J2750" s="140"/>
    </row>
    <row r="2751" spans="10:10" x14ac:dyDescent="0.4">
      <c r="J2751" s="140"/>
    </row>
    <row r="2752" spans="10:10" x14ac:dyDescent="0.4">
      <c r="J2752" s="140"/>
    </row>
    <row r="2753" spans="10:10" x14ac:dyDescent="0.4">
      <c r="J2753" s="140"/>
    </row>
    <row r="2754" spans="10:10" x14ac:dyDescent="0.4">
      <c r="J2754" s="140"/>
    </row>
    <row r="2755" spans="10:10" x14ac:dyDescent="0.4">
      <c r="J2755" s="140"/>
    </row>
    <row r="2756" spans="10:10" x14ac:dyDescent="0.4">
      <c r="J2756" s="140"/>
    </row>
    <row r="2757" spans="10:10" x14ac:dyDescent="0.4">
      <c r="J2757" s="140"/>
    </row>
    <row r="2758" spans="10:10" x14ac:dyDescent="0.4">
      <c r="J2758" s="140"/>
    </row>
    <row r="2759" spans="10:10" x14ac:dyDescent="0.4">
      <c r="J2759" s="140"/>
    </row>
    <row r="2760" spans="10:10" x14ac:dyDescent="0.4">
      <c r="J2760" s="140"/>
    </row>
    <row r="2761" spans="10:10" x14ac:dyDescent="0.4">
      <c r="J2761" s="140"/>
    </row>
    <row r="2762" spans="10:10" x14ac:dyDescent="0.4">
      <c r="J2762" s="140"/>
    </row>
    <row r="2763" spans="10:10" x14ac:dyDescent="0.4">
      <c r="J2763" s="140"/>
    </row>
    <row r="2764" spans="10:10" x14ac:dyDescent="0.4">
      <c r="J2764" s="140"/>
    </row>
    <row r="2765" spans="10:10" x14ac:dyDescent="0.4">
      <c r="J2765" s="140"/>
    </row>
    <row r="2766" spans="10:10" x14ac:dyDescent="0.4">
      <c r="J2766" s="140"/>
    </row>
    <row r="2767" spans="10:10" x14ac:dyDescent="0.4">
      <c r="J2767" s="140"/>
    </row>
    <row r="2768" spans="10:10" x14ac:dyDescent="0.4">
      <c r="J2768" s="140"/>
    </row>
    <row r="2769" spans="10:10" x14ac:dyDescent="0.4">
      <c r="J2769" s="140"/>
    </row>
    <row r="2770" spans="10:10" x14ac:dyDescent="0.4">
      <c r="J2770" s="140"/>
    </row>
    <row r="2771" spans="10:10" x14ac:dyDescent="0.4">
      <c r="J2771" s="140"/>
    </row>
    <row r="2772" spans="10:10" x14ac:dyDescent="0.4">
      <c r="J2772" s="140"/>
    </row>
    <row r="2773" spans="10:10" x14ac:dyDescent="0.4">
      <c r="J2773" s="140"/>
    </row>
    <row r="2774" spans="10:10" x14ac:dyDescent="0.4">
      <c r="J2774" s="140"/>
    </row>
    <row r="2775" spans="10:10" x14ac:dyDescent="0.4">
      <c r="J2775" s="140"/>
    </row>
    <row r="2776" spans="10:10" x14ac:dyDescent="0.4">
      <c r="J2776" s="140"/>
    </row>
    <row r="2777" spans="10:10" x14ac:dyDescent="0.4">
      <c r="J2777" s="140"/>
    </row>
    <row r="2778" spans="10:10" x14ac:dyDescent="0.4">
      <c r="J2778" s="140"/>
    </row>
    <row r="2779" spans="10:10" x14ac:dyDescent="0.4">
      <c r="J2779" s="140"/>
    </row>
    <row r="2780" spans="10:10" x14ac:dyDescent="0.4">
      <c r="J2780" s="140"/>
    </row>
    <row r="2781" spans="10:10" x14ac:dyDescent="0.4">
      <c r="J2781" s="140"/>
    </row>
    <row r="2782" spans="10:10" x14ac:dyDescent="0.4">
      <c r="J2782" s="140"/>
    </row>
    <row r="2783" spans="10:10" x14ac:dyDescent="0.4">
      <c r="J2783" s="140"/>
    </row>
    <row r="2784" spans="10:10" x14ac:dyDescent="0.4">
      <c r="J2784" s="140"/>
    </row>
    <row r="2785" spans="10:10" x14ac:dyDescent="0.4">
      <c r="J2785" s="140"/>
    </row>
    <row r="2786" spans="10:10" x14ac:dyDescent="0.4">
      <c r="J2786" s="140"/>
    </row>
    <row r="2787" spans="10:10" x14ac:dyDescent="0.4">
      <c r="J2787" s="140"/>
    </row>
    <row r="2788" spans="10:10" x14ac:dyDescent="0.4">
      <c r="J2788" s="140"/>
    </row>
    <row r="2789" spans="10:10" x14ac:dyDescent="0.4">
      <c r="J2789" s="140"/>
    </row>
    <row r="2790" spans="10:10" x14ac:dyDescent="0.4">
      <c r="J2790" s="140"/>
    </row>
    <row r="2791" spans="10:10" x14ac:dyDescent="0.4">
      <c r="J2791" s="140"/>
    </row>
    <row r="2792" spans="10:10" x14ac:dyDescent="0.4">
      <c r="J2792" s="140"/>
    </row>
    <row r="2793" spans="10:10" x14ac:dyDescent="0.4">
      <c r="J2793" s="140"/>
    </row>
    <row r="2794" spans="10:10" x14ac:dyDescent="0.4">
      <c r="J2794" s="140"/>
    </row>
    <row r="2795" spans="10:10" x14ac:dyDescent="0.4">
      <c r="J2795" s="140"/>
    </row>
    <row r="2796" spans="10:10" x14ac:dyDescent="0.4">
      <c r="J2796" s="140"/>
    </row>
    <row r="2797" spans="10:10" x14ac:dyDescent="0.4">
      <c r="J2797" s="140"/>
    </row>
    <row r="2798" spans="10:10" x14ac:dyDescent="0.4">
      <c r="J2798" s="140"/>
    </row>
    <row r="2799" spans="10:10" x14ac:dyDescent="0.4">
      <c r="J2799" s="140"/>
    </row>
    <row r="2800" spans="10:10" x14ac:dyDescent="0.4">
      <c r="J2800" s="140"/>
    </row>
    <row r="2801" spans="10:10" x14ac:dyDescent="0.4">
      <c r="J2801" s="140"/>
    </row>
    <row r="2802" spans="10:10" x14ac:dyDescent="0.4">
      <c r="J2802" s="140"/>
    </row>
    <row r="2803" spans="10:10" x14ac:dyDescent="0.4">
      <c r="J2803" s="140"/>
    </row>
    <row r="2804" spans="10:10" x14ac:dyDescent="0.4">
      <c r="J2804" s="140"/>
    </row>
    <row r="2805" spans="10:10" x14ac:dyDescent="0.4">
      <c r="J2805" s="140"/>
    </row>
    <row r="2806" spans="10:10" x14ac:dyDescent="0.4">
      <c r="J2806" s="140"/>
    </row>
    <row r="2807" spans="10:10" x14ac:dyDescent="0.4">
      <c r="J2807" s="140"/>
    </row>
    <row r="2808" spans="10:10" x14ac:dyDescent="0.4">
      <c r="J2808" s="140"/>
    </row>
    <row r="2809" spans="10:10" x14ac:dyDescent="0.4">
      <c r="J2809" s="140"/>
    </row>
    <row r="2810" spans="10:10" x14ac:dyDescent="0.4">
      <c r="J2810" s="140"/>
    </row>
    <row r="2811" spans="10:10" x14ac:dyDescent="0.4">
      <c r="J2811" s="140"/>
    </row>
    <row r="2812" spans="10:10" x14ac:dyDescent="0.4">
      <c r="J2812" s="140"/>
    </row>
    <row r="2813" spans="10:10" x14ac:dyDescent="0.4">
      <c r="J2813" s="140"/>
    </row>
    <row r="2814" spans="10:10" x14ac:dyDescent="0.4">
      <c r="J2814" s="140"/>
    </row>
    <row r="2815" spans="10:10" x14ac:dyDescent="0.4">
      <c r="J2815" s="140"/>
    </row>
    <row r="2816" spans="10:10" x14ac:dyDescent="0.4">
      <c r="J2816" s="140"/>
    </row>
    <row r="2817" spans="10:10" x14ac:dyDescent="0.4">
      <c r="J2817" s="140"/>
    </row>
    <row r="2818" spans="10:10" x14ac:dyDescent="0.4">
      <c r="J2818" s="140"/>
    </row>
    <row r="2819" spans="10:10" x14ac:dyDescent="0.4">
      <c r="J2819" s="140"/>
    </row>
    <row r="2820" spans="10:10" x14ac:dyDescent="0.4">
      <c r="J2820" s="140"/>
    </row>
    <row r="2821" spans="10:10" x14ac:dyDescent="0.4">
      <c r="J2821" s="140"/>
    </row>
    <row r="2822" spans="10:10" x14ac:dyDescent="0.4">
      <c r="J2822" s="140"/>
    </row>
    <row r="2823" spans="10:10" x14ac:dyDescent="0.4">
      <c r="J2823" s="140"/>
    </row>
    <row r="2824" spans="10:10" x14ac:dyDescent="0.4">
      <c r="J2824" s="140"/>
    </row>
    <row r="2825" spans="10:10" x14ac:dyDescent="0.4">
      <c r="J2825" s="140"/>
    </row>
    <row r="2826" spans="10:10" x14ac:dyDescent="0.4">
      <c r="J2826" s="140"/>
    </row>
    <row r="2827" spans="10:10" x14ac:dyDescent="0.4">
      <c r="J2827" s="140"/>
    </row>
    <row r="2828" spans="10:10" x14ac:dyDescent="0.4">
      <c r="J2828" s="140"/>
    </row>
    <row r="2829" spans="10:10" x14ac:dyDescent="0.4">
      <c r="J2829" s="140"/>
    </row>
    <row r="2830" spans="10:10" x14ac:dyDescent="0.4">
      <c r="J2830" s="140"/>
    </row>
    <row r="2831" spans="10:10" x14ac:dyDescent="0.4">
      <c r="J2831" s="140"/>
    </row>
    <row r="2832" spans="10:10" x14ac:dyDescent="0.4">
      <c r="J2832" s="140"/>
    </row>
    <row r="2833" spans="10:10" x14ac:dyDescent="0.4">
      <c r="J2833" s="140"/>
    </row>
    <row r="2834" spans="10:10" x14ac:dyDescent="0.4">
      <c r="J2834" s="140"/>
    </row>
    <row r="2835" spans="10:10" x14ac:dyDescent="0.4">
      <c r="J2835" s="140"/>
    </row>
    <row r="2836" spans="10:10" x14ac:dyDescent="0.4">
      <c r="J2836" s="140"/>
    </row>
    <row r="2837" spans="10:10" x14ac:dyDescent="0.4">
      <c r="J2837" s="140"/>
    </row>
    <row r="2838" spans="10:10" x14ac:dyDescent="0.4">
      <c r="J2838" s="140"/>
    </row>
    <row r="2839" spans="10:10" x14ac:dyDescent="0.4">
      <c r="J2839" s="140"/>
    </row>
    <row r="2840" spans="10:10" x14ac:dyDescent="0.4">
      <c r="J2840" s="140"/>
    </row>
    <row r="2841" spans="10:10" x14ac:dyDescent="0.4">
      <c r="J2841" s="140"/>
    </row>
    <row r="2842" spans="10:10" x14ac:dyDescent="0.4">
      <c r="J2842" s="140"/>
    </row>
    <row r="2843" spans="10:10" x14ac:dyDescent="0.4">
      <c r="J2843" s="140"/>
    </row>
    <row r="2844" spans="10:10" x14ac:dyDescent="0.4">
      <c r="J2844" s="140"/>
    </row>
    <row r="2845" spans="10:10" x14ac:dyDescent="0.4">
      <c r="J2845" s="140"/>
    </row>
    <row r="2846" spans="10:10" x14ac:dyDescent="0.4">
      <c r="J2846" s="140"/>
    </row>
    <row r="2847" spans="10:10" x14ac:dyDescent="0.4">
      <c r="J2847" s="140"/>
    </row>
    <row r="2848" spans="10:10" x14ac:dyDescent="0.4">
      <c r="J2848" s="140"/>
    </row>
    <row r="2849" spans="10:10" x14ac:dyDescent="0.4">
      <c r="J2849" s="140"/>
    </row>
    <row r="2850" spans="10:10" x14ac:dyDescent="0.4">
      <c r="J2850" s="140"/>
    </row>
    <row r="2851" spans="10:10" x14ac:dyDescent="0.4">
      <c r="J2851" s="140"/>
    </row>
    <row r="2852" spans="10:10" x14ac:dyDescent="0.4">
      <c r="J2852" s="140"/>
    </row>
    <row r="2853" spans="10:10" x14ac:dyDescent="0.4">
      <c r="J2853" s="140"/>
    </row>
    <row r="2854" spans="10:10" x14ac:dyDescent="0.4">
      <c r="J2854" s="140"/>
    </row>
    <row r="2855" spans="10:10" x14ac:dyDescent="0.4">
      <c r="J2855" s="140"/>
    </row>
    <row r="2856" spans="10:10" x14ac:dyDescent="0.4">
      <c r="J2856" s="140"/>
    </row>
    <row r="2857" spans="10:10" x14ac:dyDescent="0.4">
      <c r="J2857" s="140"/>
    </row>
    <row r="2858" spans="10:10" x14ac:dyDescent="0.4">
      <c r="J2858" s="140"/>
    </row>
    <row r="2859" spans="10:10" x14ac:dyDescent="0.4">
      <c r="J2859" s="140"/>
    </row>
    <row r="2860" spans="10:10" x14ac:dyDescent="0.4">
      <c r="J2860" s="140"/>
    </row>
    <row r="2861" spans="10:10" x14ac:dyDescent="0.4">
      <c r="J2861" s="140"/>
    </row>
    <row r="2862" spans="10:10" x14ac:dyDescent="0.4">
      <c r="J2862" s="140"/>
    </row>
    <row r="2863" spans="10:10" x14ac:dyDescent="0.4">
      <c r="J2863" s="140"/>
    </row>
    <row r="2864" spans="10:10" x14ac:dyDescent="0.4">
      <c r="J2864" s="140"/>
    </row>
    <row r="2865" spans="10:10" x14ac:dyDescent="0.4">
      <c r="J2865" s="140"/>
    </row>
    <row r="2866" spans="10:10" x14ac:dyDescent="0.4">
      <c r="J2866" s="140"/>
    </row>
    <row r="2867" spans="10:10" x14ac:dyDescent="0.4">
      <c r="J2867" s="140"/>
    </row>
    <row r="2868" spans="10:10" x14ac:dyDescent="0.4">
      <c r="J2868" s="140"/>
    </row>
    <row r="2869" spans="10:10" x14ac:dyDescent="0.4">
      <c r="J2869" s="140"/>
    </row>
    <row r="2870" spans="10:10" x14ac:dyDescent="0.4">
      <c r="J2870" s="140"/>
    </row>
    <row r="2871" spans="10:10" x14ac:dyDescent="0.4">
      <c r="J2871" s="140"/>
    </row>
    <row r="2872" spans="10:10" x14ac:dyDescent="0.4">
      <c r="J2872" s="140"/>
    </row>
    <row r="2873" spans="10:10" x14ac:dyDescent="0.4">
      <c r="J2873" s="140"/>
    </row>
    <row r="2874" spans="10:10" x14ac:dyDescent="0.4">
      <c r="J2874" s="140"/>
    </row>
    <row r="2875" spans="10:10" x14ac:dyDescent="0.4">
      <c r="J2875" s="140"/>
    </row>
    <row r="2876" spans="10:10" x14ac:dyDescent="0.4">
      <c r="J2876" s="140"/>
    </row>
    <row r="2877" spans="10:10" x14ac:dyDescent="0.4">
      <c r="J2877" s="140"/>
    </row>
    <row r="2878" spans="10:10" x14ac:dyDescent="0.4">
      <c r="J2878" s="140"/>
    </row>
    <row r="2879" spans="10:10" x14ac:dyDescent="0.4">
      <c r="J2879" s="140"/>
    </row>
    <row r="2880" spans="10:10" x14ac:dyDescent="0.4">
      <c r="J2880" s="140"/>
    </row>
    <row r="2881" spans="10:10" x14ac:dyDescent="0.4">
      <c r="J2881" s="140"/>
    </row>
    <row r="2882" spans="10:10" x14ac:dyDescent="0.4">
      <c r="J2882" s="140"/>
    </row>
    <row r="2883" spans="10:10" x14ac:dyDescent="0.4">
      <c r="J2883" s="140"/>
    </row>
    <row r="2884" spans="10:10" x14ac:dyDescent="0.4">
      <c r="J2884" s="140"/>
    </row>
    <row r="2885" spans="10:10" x14ac:dyDescent="0.4">
      <c r="J2885" s="140"/>
    </row>
    <row r="2886" spans="10:10" x14ac:dyDescent="0.4">
      <c r="J2886" s="140"/>
    </row>
    <row r="2887" spans="10:10" x14ac:dyDescent="0.4">
      <c r="J2887" s="140"/>
    </row>
    <row r="2888" spans="10:10" x14ac:dyDescent="0.4">
      <c r="J2888" s="140"/>
    </row>
    <row r="2889" spans="10:10" x14ac:dyDescent="0.4">
      <c r="J2889" s="140"/>
    </row>
    <row r="2890" spans="10:10" x14ac:dyDescent="0.4">
      <c r="J2890" s="140"/>
    </row>
    <row r="2891" spans="10:10" x14ac:dyDescent="0.4">
      <c r="J2891" s="140"/>
    </row>
    <row r="2892" spans="10:10" x14ac:dyDescent="0.4">
      <c r="J2892" s="140"/>
    </row>
    <row r="2893" spans="10:10" x14ac:dyDescent="0.4">
      <c r="J2893" s="140"/>
    </row>
    <row r="2894" spans="10:10" x14ac:dyDescent="0.4">
      <c r="J2894" s="140"/>
    </row>
    <row r="2895" spans="10:10" x14ac:dyDescent="0.4">
      <c r="J2895" s="140"/>
    </row>
    <row r="2896" spans="10:10" x14ac:dyDescent="0.4">
      <c r="J2896" s="140"/>
    </row>
    <row r="2897" spans="10:10" x14ac:dyDescent="0.4">
      <c r="J2897" s="140"/>
    </row>
    <row r="2898" spans="10:10" x14ac:dyDescent="0.4">
      <c r="J2898" s="140"/>
    </row>
    <row r="2899" spans="10:10" x14ac:dyDescent="0.4">
      <c r="J2899" s="140"/>
    </row>
    <row r="2900" spans="10:10" x14ac:dyDescent="0.4">
      <c r="J2900" s="140"/>
    </row>
    <row r="2901" spans="10:10" x14ac:dyDescent="0.4">
      <c r="J2901" s="140"/>
    </row>
    <row r="2902" spans="10:10" x14ac:dyDescent="0.4">
      <c r="J2902" s="140"/>
    </row>
    <row r="2903" spans="10:10" x14ac:dyDescent="0.4">
      <c r="J2903" s="140"/>
    </row>
    <row r="2904" spans="10:10" x14ac:dyDescent="0.4">
      <c r="J2904" s="140"/>
    </row>
    <row r="2905" spans="10:10" x14ac:dyDescent="0.4">
      <c r="J2905" s="140"/>
    </row>
    <row r="2906" spans="10:10" x14ac:dyDescent="0.4">
      <c r="J2906" s="140"/>
    </row>
    <row r="2907" spans="10:10" x14ac:dyDescent="0.4">
      <c r="J2907" s="140"/>
    </row>
    <row r="2908" spans="10:10" x14ac:dyDescent="0.4">
      <c r="J2908" s="140"/>
    </row>
    <row r="2909" spans="10:10" x14ac:dyDescent="0.4">
      <c r="J2909" s="140"/>
    </row>
    <row r="2910" spans="10:10" x14ac:dyDescent="0.4">
      <c r="J2910" s="140"/>
    </row>
    <row r="2911" spans="10:10" x14ac:dyDescent="0.4">
      <c r="J2911" s="140"/>
    </row>
    <row r="2912" spans="10:10" x14ac:dyDescent="0.4">
      <c r="J2912" s="140"/>
    </row>
    <row r="2913" spans="10:10" x14ac:dyDescent="0.4">
      <c r="J2913" s="140"/>
    </row>
    <row r="2914" spans="10:10" x14ac:dyDescent="0.4">
      <c r="J2914" s="140"/>
    </row>
    <row r="2915" spans="10:10" x14ac:dyDescent="0.4">
      <c r="J2915" s="140"/>
    </row>
    <row r="2916" spans="10:10" x14ac:dyDescent="0.4">
      <c r="J2916" s="140"/>
    </row>
    <row r="2917" spans="10:10" x14ac:dyDescent="0.4">
      <c r="J2917" s="140"/>
    </row>
    <row r="2918" spans="10:10" x14ac:dyDescent="0.4">
      <c r="J2918" s="140"/>
    </row>
    <row r="2919" spans="10:10" x14ac:dyDescent="0.4">
      <c r="J2919" s="140"/>
    </row>
    <row r="2920" spans="10:10" x14ac:dyDescent="0.4">
      <c r="J2920" s="140"/>
    </row>
    <row r="2921" spans="10:10" x14ac:dyDescent="0.4">
      <c r="J2921" s="140"/>
    </row>
    <row r="2922" spans="10:10" x14ac:dyDescent="0.4">
      <c r="J2922" s="140"/>
    </row>
    <row r="2923" spans="10:10" x14ac:dyDescent="0.4">
      <c r="J2923" s="140"/>
    </row>
    <row r="2924" spans="10:10" x14ac:dyDescent="0.4">
      <c r="J2924" s="140"/>
    </row>
    <row r="2925" spans="10:10" x14ac:dyDescent="0.4">
      <c r="J2925" s="140"/>
    </row>
    <row r="2926" spans="10:10" x14ac:dyDescent="0.4">
      <c r="J2926" s="140"/>
    </row>
    <row r="2927" spans="10:10" x14ac:dyDescent="0.4">
      <c r="J2927" s="140"/>
    </row>
    <row r="2928" spans="10:10" x14ac:dyDescent="0.4">
      <c r="J2928" s="140"/>
    </row>
    <row r="2929" spans="10:10" x14ac:dyDescent="0.4">
      <c r="J2929" s="140"/>
    </row>
    <row r="2930" spans="10:10" x14ac:dyDescent="0.4">
      <c r="J2930" s="140"/>
    </row>
    <row r="2931" spans="10:10" x14ac:dyDescent="0.4">
      <c r="J2931" s="140"/>
    </row>
    <row r="2932" spans="10:10" x14ac:dyDescent="0.4">
      <c r="J2932" s="140"/>
    </row>
    <row r="2933" spans="10:10" x14ac:dyDescent="0.4">
      <c r="J2933" s="140"/>
    </row>
    <row r="2934" spans="10:10" x14ac:dyDescent="0.4">
      <c r="J2934" s="140"/>
    </row>
    <row r="2935" spans="10:10" x14ac:dyDescent="0.4">
      <c r="J2935" s="140"/>
    </row>
    <row r="2936" spans="10:10" x14ac:dyDescent="0.4">
      <c r="J2936" s="140"/>
    </row>
    <row r="2937" spans="10:10" x14ac:dyDescent="0.4">
      <c r="J2937" s="140"/>
    </row>
    <row r="2938" spans="10:10" x14ac:dyDescent="0.4">
      <c r="J2938" s="140"/>
    </row>
    <row r="2939" spans="10:10" x14ac:dyDescent="0.4">
      <c r="J2939" s="140"/>
    </row>
    <row r="2940" spans="10:10" x14ac:dyDescent="0.4">
      <c r="J2940" s="140"/>
    </row>
    <row r="2941" spans="10:10" x14ac:dyDescent="0.4">
      <c r="J2941" s="140"/>
    </row>
    <row r="2942" spans="10:10" x14ac:dyDescent="0.4">
      <c r="J2942" s="140"/>
    </row>
    <row r="2943" spans="10:10" x14ac:dyDescent="0.4">
      <c r="J2943" s="140"/>
    </row>
    <row r="2944" spans="10:10" x14ac:dyDescent="0.4">
      <c r="J2944" s="140"/>
    </row>
    <row r="2945" spans="10:10" x14ac:dyDescent="0.4">
      <c r="J2945" s="140"/>
    </row>
    <row r="2946" spans="10:10" x14ac:dyDescent="0.4">
      <c r="J2946" s="140"/>
    </row>
    <row r="2947" spans="10:10" x14ac:dyDescent="0.4">
      <c r="J2947" s="140"/>
    </row>
    <row r="2948" spans="10:10" x14ac:dyDescent="0.4">
      <c r="J2948" s="140"/>
    </row>
    <row r="2949" spans="10:10" x14ac:dyDescent="0.4">
      <c r="J2949" s="140"/>
    </row>
    <row r="2950" spans="10:10" x14ac:dyDescent="0.4">
      <c r="J2950" s="140"/>
    </row>
    <row r="2951" spans="10:10" x14ac:dyDescent="0.4">
      <c r="J2951" s="140"/>
    </row>
    <row r="2952" spans="10:10" x14ac:dyDescent="0.4">
      <c r="J2952" s="140"/>
    </row>
    <row r="2953" spans="10:10" x14ac:dyDescent="0.4">
      <c r="J2953" s="140"/>
    </row>
    <row r="2954" spans="10:10" x14ac:dyDescent="0.4">
      <c r="J2954" s="140"/>
    </row>
    <row r="2955" spans="10:10" x14ac:dyDescent="0.4">
      <c r="J2955" s="140"/>
    </row>
    <row r="2956" spans="10:10" x14ac:dyDescent="0.4">
      <c r="J2956" s="140"/>
    </row>
    <row r="2957" spans="10:10" x14ac:dyDescent="0.4">
      <c r="J2957" s="140"/>
    </row>
    <row r="2958" spans="10:10" x14ac:dyDescent="0.4">
      <c r="J2958" s="140"/>
    </row>
    <row r="2959" spans="10:10" x14ac:dyDescent="0.4">
      <c r="J2959" s="140"/>
    </row>
    <row r="2960" spans="10:10" x14ac:dyDescent="0.4">
      <c r="J2960" s="140"/>
    </row>
    <row r="2961" spans="10:10" x14ac:dyDescent="0.4">
      <c r="J2961" s="140"/>
    </row>
    <row r="2962" spans="10:10" x14ac:dyDescent="0.4">
      <c r="J2962" s="140"/>
    </row>
    <row r="2963" spans="10:10" x14ac:dyDescent="0.4">
      <c r="J2963" s="140"/>
    </row>
    <row r="2964" spans="10:10" x14ac:dyDescent="0.4">
      <c r="J2964" s="140"/>
    </row>
    <row r="2965" spans="10:10" x14ac:dyDescent="0.4">
      <c r="J2965" s="140"/>
    </row>
    <row r="2966" spans="10:10" x14ac:dyDescent="0.4">
      <c r="J2966" s="140"/>
    </row>
    <row r="2967" spans="10:10" x14ac:dyDescent="0.4">
      <c r="J2967" s="140"/>
    </row>
    <row r="2968" spans="10:10" x14ac:dyDescent="0.4">
      <c r="J2968" s="140"/>
    </row>
    <row r="2969" spans="10:10" x14ac:dyDescent="0.4">
      <c r="J2969" s="140"/>
    </row>
    <row r="2970" spans="10:10" x14ac:dyDescent="0.4">
      <c r="J2970" s="140"/>
    </row>
    <row r="2971" spans="10:10" x14ac:dyDescent="0.4">
      <c r="J2971" s="140"/>
    </row>
    <row r="2972" spans="10:10" x14ac:dyDescent="0.4">
      <c r="J2972" s="140"/>
    </row>
    <row r="2973" spans="10:10" x14ac:dyDescent="0.4">
      <c r="J2973" s="140"/>
    </row>
    <row r="2974" spans="10:10" x14ac:dyDescent="0.4">
      <c r="J2974" s="140"/>
    </row>
    <row r="2975" spans="10:10" x14ac:dyDescent="0.4">
      <c r="J2975" s="140"/>
    </row>
    <row r="2976" spans="10:10" x14ac:dyDescent="0.4">
      <c r="J2976" s="140"/>
    </row>
    <row r="2977" spans="10:10" x14ac:dyDescent="0.4">
      <c r="J2977" s="140"/>
    </row>
    <row r="2978" spans="10:10" x14ac:dyDescent="0.4">
      <c r="J2978" s="140"/>
    </row>
    <row r="2979" spans="10:10" x14ac:dyDescent="0.4">
      <c r="J2979" s="140"/>
    </row>
    <row r="2980" spans="10:10" x14ac:dyDescent="0.4">
      <c r="J2980" s="140"/>
    </row>
    <row r="2981" spans="10:10" x14ac:dyDescent="0.4">
      <c r="J2981" s="140"/>
    </row>
    <row r="2982" spans="10:10" x14ac:dyDescent="0.4">
      <c r="J2982" s="140"/>
    </row>
    <row r="2983" spans="10:10" x14ac:dyDescent="0.4">
      <c r="J2983" s="140"/>
    </row>
    <row r="2984" spans="10:10" x14ac:dyDescent="0.4">
      <c r="J2984" s="140"/>
    </row>
    <row r="2985" spans="10:10" x14ac:dyDescent="0.4">
      <c r="J2985" s="140"/>
    </row>
    <row r="2986" spans="10:10" x14ac:dyDescent="0.4">
      <c r="J2986" s="140"/>
    </row>
    <row r="2987" spans="10:10" x14ac:dyDescent="0.4">
      <c r="J2987" s="140"/>
    </row>
    <row r="2988" spans="10:10" x14ac:dyDescent="0.4">
      <c r="J2988" s="140"/>
    </row>
    <row r="2989" spans="10:10" x14ac:dyDescent="0.4">
      <c r="J2989" s="140"/>
    </row>
    <row r="2990" spans="10:10" x14ac:dyDescent="0.4">
      <c r="J2990" s="140"/>
    </row>
    <row r="2991" spans="10:10" x14ac:dyDescent="0.4">
      <c r="J2991" s="140"/>
    </row>
    <row r="2992" spans="10:10" x14ac:dyDescent="0.4">
      <c r="J2992" s="140"/>
    </row>
    <row r="2993" spans="10:10" x14ac:dyDescent="0.4">
      <c r="J2993" s="140"/>
    </row>
    <row r="2994" spans="10:10" x14ac:dyDescent="0.4">
      <c r="J2994" s="140"/>
    </row>
    <row r="2995" spans="10:10" x14ac:dyDescent="0.4">
      <c r="J2995" s="140"/>
    </row>
    <row r="2996" spans="10:10" x14ac:dyDescent="0.4">
      <c r="J2996" s="140"/>
    </row>
    <row r="2997" spans="10:10" x14ac:dyDescent="0.4">
      <c r="J2997" s="140"/>
    </row>
    <row r="2998" spans="10:10" x14ac:dyDescent="0.4">
      <c r="J2998" s="140"/>
    </row>
    <row r="2999" spans="10:10" x14ac:dyDescent="0.4">
      <c r="J2999" s="140"/>
    </row>
    <row r="3000" spans="10:10" x14ac:dyDescent="0.4">
      <c r="J3000" s="140"/>
    </row>
    <row r="3001" spans="10:10" x14ac:dyDescent="0.4">
      <c r="J3001" s="140"/>
    </row>
    <row r="3002" spans="10:10" x14ac:dyDescent="0.4">
      <c r="J3002" s="140"/>
    </row>
    <row r="3003" spans="10:10" x14ac:dyDescent="0.4">
      <c r="J3003" s="140"/>
    </row>
    <row r="3004" spans="10:10" x14ac:dyDescent="0.4">
      <c r="J3004" s="140"/>
    </row>
    <row r="3005" spans="10:10" x14ac:dyDescent="0.4">
      <c r="J3005" s="140"/>
    </row>
    <row r="3006" spans="10:10" x14ac:dyDescent="0.4">
      <c r="J3006" s="140"/>
    </row>
    <row r="3007" spans="10:10" x14ac:dyDescent="0.4">
      <c r="J3007" s="140"/>
    </row>
    <row r="3008" spans="10:10" x14ac:dyDescent="0.4">
      <c r="J3008" s="140"/>
    </row>
    <row r="3009" spans="10:10" x14ac:dyDescent="0.4">
      <c r="J3009" s="140"/>
    </row>
    <row r="3010" spans="10:10" x14ac:dyDescent="0.4">
      <c r="J3010" s="140"/>
    </row>
    <row r="3011" spans="10:10" x14ac:dyDescent="0.4">
      <c r="J3011" s="140"/>
    </row>
    <row r="3012" spans="10:10" x14ac:dyDescent="0.4">
      <c r="J3012" s="140"/>
    </row>
    <row r="3013" spans="10:10" x14ac:dyDescent="0.4">
      <c r="J3013" s="140"/>
    </row>
    <row r="3014" spans="10:10" x14ac:dyDescent="0.4">
      <c r="J3014" s="140"/>
    </row>
    <row r="3015" spans="10:10" x14ac:dyDescent="0.4">
      <c r="J3015" s="140"/>
    </row>
    <row r="3016" spans="10:10" x14ac:dyDescent="0.4">
      <c r="J3016" s="140"/>
    </row>
    <row r="3017" spans="10:10" x14ac:dyDescent="0.4">
      <c r="J3017" s="140"/>
    </row>
    <row r="3018" spans="10:10" x14ac:dyDescent="0.4">
      <c r="J3018" s="140"/>
    </row>
    <row r="3019" spans="10:10" x14ac:dyDescent="0.4">
      <c r="J3019" s="140"/>
    </row>
    <row r="3020" spans="10:10" x14ac:dyDescent="0.4">
      <c r="J3020" s="140"/>
    </row>
    <row r="3021" spans="10:10" x14ac:dyDescent="0.4">
      <c r="J3021" s="140"/>
    </row>
    <row r="3022" spans="10:10" x14ac:dyDescent="0.4">
      <c r="J3022" s="140"/>
    </row>
    <row r="3023" spans="10:10" x14ac:dyDescent="0.4">
      <c r="J3023" s="140"/>
    </row>
    <row r="3024" spans="10:10" x14ac:dyDescent="0.4">
      <c r="J3024" s="140"/>
    </row>
    <row r="3025" spans="10:10" x14ac:dyDescent="0.4">
      <c r="J3025" s="140"/>
    </row>
    <row r="3026" spans="10:10" x14ac:dyDescent="0.4">
      <c r="J3026" s="140"/>
    </row>
    <row r="3027" spans="10:10" x14ac:dyDescent="0.4">
      <c r="J3027" s="140"/>
    </row>
    <row r="3028" spans="10:10" x14ac:dyDescent="0.4">
      <c r="J3028" s="140"/>
    </row>
    <row r="3029" spans="10:10" x14ac:dyDescent="0.4">
      <c r="J3029" s="140"/>
    </row>
    <row r="3030" spans="10:10" x14ac:dyDescent="0.4">
      <c r="J3030" s="140"/>
    </row>
    <row r="3031" spans="10:10" x14ac:dyDescent="0.4">
      <c r="J3031" s="140"/>
    </row>
    <row r="3032" spans="10:10" x14ac:dyDescent="0.4">
      <c r="J3032" s="140"/>
    </row>
    <row r="3033" spans="10:10" x14ac:dyDescent="0.4">
      <c r="J3033" s="140"/>
    </row>
    <row r="3034" spans="10:10" x14ac:dyDescent="0.4">
      <c r="J3034" s="140"/>
    </row>
    <row r="3035" spans="10:10" x14ac:dyDescent="0.4">
      <c r="J3035" s="140"/>
    </row>
    <row r="3036" spans="10:10" x14ac:dyDescent="0.4">
      <c r="J3036" s="140"/>
    </row>
    <row r="3037" spans="10:10" x14ac:dyDescent="0.4">
      <c r="J3037" s="140"/>
    </row>
    <row r="3038" spans="10:10" x14ac:dyDescent="0.4">
      <c r="J3038" s="140"/>
    </row>
    <row r="3039" spans="10:10" x14ac:dyDescent="0.4">
      <c r="J3039" s="140"/>
    </row>
    <row r="3040" spans="10:10" x14ac:dyDescent="0.4">
      <c r="J3040" s="140"/>
    </row>
    <row r="3041" spans="10:10" x14ac:dyDescent="0.4">
      <c r="J3041" s="140"/>
    </row>
    <row r="3042" spans="10:10" x14ac:dyDescent="0.4">
      <c r="J3042" s="140"/>
    </row>
    <row r="3043" spans="10:10" x14ac:dyDescent="0.4">
      <c r="J3043" s="140"/>
    </row>
    <row r="3044" spans="10:10" x14ac:dyDescent="0.4">
      <c r="J3044" s="140"/>
    </row>
    <row r="3045" spans="10:10" x14ac:dyDescent="0.4">
      <c r="J3045" s="140"/>
    </row>
    <row r="3046" spans="10:10" x14ac:dyDescent="0.4">
      <c r="J3046" s="140"/>
    </row>
    <row r="3047" spans="10:10" x14ac:dyDescent="0.4">
      <c r="J3047" s="140"/>
    </row>
    <row r="3048" spans="10:10" x14ac:dyDescent="0.4">
      <c r="J3048" s="140"/>
    </row>
    <row r="3049" spans="10:10" x14ac:dyDescent="0.4">
      <c r="J3049" s="140"/>
    </row>
    <row r="3050" spans="10:10" x14ac:dyDescent="0.4">
      <c r="J3050" s="140"/>
    </row>
    <row r="3051" spans="10:10" x14ac:dyDescent="0.4">
      <c r="J3051" s="140"/>
    </row>
    <row r="3052" spans="10:10" x14ac:dyDescent="0.4">
      <c r="J3052" s="140"/>
    </row>
    <row r="3053" spans="10:10" x14ac:dyDescent="0.4">
      <c r="J3053" s="140"/>
    </row>
    <row r="3054" spans="10:10" x14ac:dyDescent="0.4">
      <c r="J3054" s="140"/>
    </row>
    <row r="3055" spans="10:10" x14ac:dyDescent="0.4">
      <c r="J3055" s="140"/>
    </row>
    <row r="3056" spans="10:10" x14ac:dyDescent="0.4">
      <c r="J3056" s="140"/>
    </row>
    <row r="3057" spans="10:10" x14ac:dyDescent="0.4">
      <c r="J3057" s="140"/>
    </row>
    <row r="3058" spans="10:10" x14ac:dyDescent="0.4">
      <c r="J3058" s="140"/>
    </row>
    <row r="3059" spans="10:10" x14ac:dyDescent="0.4">
      <c r="J3059" s="140"/>
    </row>
    <row r="3060" spans="10:10" x14ac:dyDescent="0.4">
      <c r="J3060" s="140"/>
    </row>
    <row r="3061" spans="10:10" x14ac:dyDescent="0.4">
      <c r="J3061" s="140"/>
    </row>
    <row r="3062" spans="10:10" x14ac:dyDescent="0.4">
      <c r="J3062" s="140"/>
    </row>
    <row r="3063" spans="10:10" x14ac:dyDescent="0.4">
      <c r="J3063" s="140"/>
    </row>
    <row r="3064" spans="10:10" x14ac:dyDescent="0.4">
      <c r="J3064" s="140"/>
    </row>
    <row r="3065" spans="10:10" x14ac:dyDescent="0.4">
      <c r="J3065" s="140"/>
    </row>
    <row r="3066" spans="10:10" x14ac:dyDescent="0.4">
      <c r="J3066" s="140"/>
    </row>
    <row r="3067" spans="10:10" x14ac:dyDescent="0.4">
      <c r="J3067" s="140"/>
    </row>
    <row r="3068" spans="10:10" x14ac:dyDescent="0.4">
      <c r="J3068" s="140"/>
    </row>
    <row r="3069" spans="10:10" x14ac:dyDescent="0.4">
      <c r="J3069" s="140"/>
    </row>
    <row r="3070" spans="10:10" x14ac:dyDescent="0.4">
      <c r="J3070" s="140"/>
    </row>
    <row r="3071" spans="10:10" x14ac:dyDescent="0.4">
      <c r="J3071" s="140"/>
    </row>
    <row r="3072" spans="10:10" x14ac:dyDescent="0.4">
      <c r="J3072" s="140"/>
    </row>
    <row r="3073" spans="10:10" x14ac:dyDescent="0.4">
      <c r="J3073" s="140"/>
    </row>
    <row r="3074" spans="10:10" x14ac:dyDescent="0.4">
      <c r="J3074" s="140"/>
    </row>
    <row r="3075" spans="10:10" x14ac:dyDescent="0.4">
      <c r="J3075" s="140"/>
    </row>
    <row r="3076" spans="10:10" x14ac:dyDescent="0.4">
      <c r="J3076" s="140"/>
    </row>
    <row r="3077" spans="10:10" x14ac:dyDescent="0.4">
      <c r="J3077" s="140"/>
    </row>
    <row r="3078" spans="10:10" x14ac:dyDescent="0.4">
      <c r="J3078" s="140"/>
    </row>
    <row r="3079" spans="10:10" x14ac:dyDescent="0.4">
      <c r="J3079" s="140"/>
    </row>
    <row r="3080" spans="10:10" x14ac:dyDescent="0.4">
      <c r="J3080" s="140"/>
    </row>
    <row r="3081" spans="10:10" x14ac:dyDescent="0.4">
      <c r="J3081" s="140"/>
    </row>
    <row r="3082" spans="10:10" x14ac:dyDescent="0.4">
      <c r="J3082" s="140"/>
    </row>
    <row r="3083" spans="10:10" x14ac:dyDescent="0.4">
      <c r="J3083" s="140"/>
    </row>
    <row r="3084" spans="10:10" x14ac:dyDescent="0.4">
      <c r="J3084" s="140"/>
    </row>
    <row r="3085" spans="10:10" x14ac:dyDescent="0.4">
      <c r="J3085" s="140"/>
    </row>
    <row r="3086" spans="10:10" x14ac:dyDescent="0.4">
      <c r="J3086" s="140"/>
    </row>
    <row r="3087" spans="10:10" x14ac:dyDescent="0.4">
      <c r="J3087" s="140"/>
    </row>
    <row r="3088" spans="10:10" x14ac:dyDescent="0.4">
      <c r="J3088" s="140"/>
    </row>
    <row r="3089" spans="10:10" x14ac:dyDescent="0.4">
      <c r="J3089" s="140"/>
    </row>
    <row r="3090" spans="10:10" x14ac:dyDescent="0.4">
      <c r="J3090" s="140"/>
    </row>
    <row r="3091" spans="10:10" x14ac:dyDescent="0.4">
      <c r="J3091" s="140"/>
    </row>
    <row r="3092" spans="10:10" x14ac:dyDescent="0.4">
      <c r="J3092" s="140"/>
    </row>
    <row r="3093" spans="10:10" x14ac:dyDescent="0.4">
      <c r="J3093" s="140"/>
    </row>
    <row r="3094" spans="10:10" x14ac:dyDescent="0.4">
      <c r="J3094" s="140"/>
    </row>
    <row r="3095" spans="10:10" x14ac:dyDescent="0.4">
      <c r="J3095" s="140"/>
    </row>
    <row r="3096" spans="10:10" x14ac:dyDescent="0.4">
      <c r="J3096" s="140"/>
    </row>
    <row r="3097" spans="10:10" x14ac:dyDescent="0.4">
      <c r="J3097" s="140"/>
    </row>
    <row r="3098" spans="10:10" x14ac:dyDescent="0.4">
      <c r="J3098" s="140"/>
    </row>
    <row r="3099" spans="10:10" x14ac:dyDescent="0.4">
      <c r="J3099" s="140"/>
    </row>
    <row r="3100" spans="10:10" x14ac:dyDescent="0.4">
      <c r="J3100" s="140"/>
    </row>
    <row r="3101" spans="10:10" x14ac:dyDescent="0.4">
      <c r="J3101" s="140"/>
    </row>
    <row r="3102" spans="10:10" x14ac:dyDescent="0.4">
      <c r="J3102" s="140"/>
    </row>
    <row r="3103" spans="10:10" x14ac:dyDescent="0.4">
      <c r="J3103" s="140"/>
    </row>
    <row r="3104" spans="10:10" x14ac:dyDescent="0.4">
      <c r="J3104" s="140"/>
    </row>
    <row r="3105" spans="10:10" x14ac:dyDescent="0.4">
      <c r="J3105" s="140"/>
    </row>
    <row r="3106" spans="10:10" x14ac:dyDescent="0.4">
      <c r="J3106" s="140"/>
    </row>
    <row r="3107" spans="10:10" x14ac:dyDescent="0.4">
      <c r="J3107" s="140"/>
    </row>
    <row r="3108" spans="10:10" x14ac:dyDescent="0.4">
      <c r="J3108" s="140"/>
    </row>
    <row r="3109" spans="10:10" x14ac:dyDescent="0.4">
      <c r="J3109" s="140"/>
    </row>
    <row r="3110" spans="10:10" x14ac:dyDescent="0.4">
      <c r="J3110" s="140"/>
    </row>
    <row r="3111" spans="10:10" x14ac:dyDescent="0.4">
      <c r="J3111" s="140"/>
    </row>
    <row r="3112" spans="10:10" x14ac:dyDescent="0.4">
      <c r="J3112" s="140"/>
    </row>
    <row r="3113" spans="10:10" x14ac:dyDescent="0.4">
      <c r="J3113" s="140"/>
    </row>
    <row r="3114" spans="10:10" x14ac:dyDescent="0.4">
      <c r="J3114" s="140"/>
    </row>
    <row r="3115" spans="10:10" x14ac:dyDescent="0.4">
      <c r="J3115" s="140"/>
    </row>
    <row r="3116" spans="10:10" x14ac:dyDescent="0.4">
      <c r="J3116" s="140"/>
    </row>
    <row r="3117" spans="10:10" x14ac:dyDescent="0.4">
      <c r="J3117" s="140"/>
    </row>
    <row r="3118" spans="10:10" x14ac:dyDescent="0.4">
      <c r="J3118" s="140"/>
    </row>
    <row r="3119" spans="10:10" x14ac:dyDescent="0.4">
      <c r="J3119" s="140"/>
    </row>
    <row r="3120" spans="10:10" x14ac:dyDescent="0.4">
      <c r="J3120" s="140"/>
    </row>
    <row r="3121" spans="10:10" x14ac:dyDescent="0.4">
      <c r="J3121" s="140"/>
    </row>
    <row r="3122" spans="10:10" x14ac:dyDescent="0.4">
      <c r="J3122" s="140"/>
    </row>
    <row r="3123" spans="10:10" x14ac:dyDescent="0.4">
      <c r="J3123" s="140"/>
    </row>
    <row r="3124" spans="10:10" x14ac:dyDescent="0.4">
      <c r="J3124" s="140"/>
    </row>
    <row r="3125" spans="10:10" x14ac:dyDescent="0.4">
      <c r="J3125" s="140"/>
    </row>
    <row r="3126" spans="10:10" x14ac:dyDescent="0.4">
      <c r="J3126" s="140"/>
    </row>
    <row r="3127" spans="10:10" x14ac:dyDescent="0.4">
      <c r="J3127" s="140"/>
    </row>
    <row r="3128" spans="10:10" x14ac:dyDescent="0.4">
      <c r="J3128" s="140"/>
    </row>
    <row r="3129" spans="10:10" x14ac:dyDescent="0.4">
      <c r="J3129" s="140"/>
    </row>
    <row r="3130" spans="10:10" x14ac:dyDescent="0.4">
      <c r="J3130" s="140"/>
    </row>
    <row r="3131" spans="10:10" x14ac:dyDescent="0.4">
      <c r="J3131" s="140"/>
    </row>
    <row r="3132" spans="10:10" x14ac:dyDescent="0.4">
      <c r="J3132" s="140"/>
    </row>
    <row r="3133" spans="10:10" x14ac:dyDescent="0.4">
      <c r="J3133" s="140"/>
    </row>
    <row r="3134" spans="10:10" x14ac:dyDescent="0.4">
      <c r="J3134" s="140"/>
    </row>
    <row r="3135" spans="10:10" x14ac:dyDescent="0.4">
      <c r="J3135" s="140"/>
    </row>
    <row r="3136" spans="10:10" x14ac:dyDescent="0.4">
      <c r="J3136" s="140"/>
    </row>
    <row r="3137" spans="10:10" x14ac:dyDescent="0.4">
      <c r="J3137" s="140"/>
    </row>
    <row r="3138" spans="10:10" x14ac:dyDescent="0.4">
      <c r="J3138" s="140"/>
    </row>
    <row r="3139" spans="10:10" x14ac:dyDescent="0.4">
      <c r="J3139" s="140"/>
    </row>
    <row r="3140" spans="10:10" x14ac:dyDescent="0.4">
      <c r="J3140" s="140"/>
    </row>
    <row r="3141" spans="10:10" x14ac:dyDescent="0.4">
      <c r="J3141" s="140"/>
    </row>
    <row r="3142" spans="10:10" x14ac:dyDescent="0.4">
      <c r="J3142" s="140"/>
    </row>
    <row r="3143" spans="10:10" x14ac:dyDescent="0.4">
      <c r="J3143" s="140"/>
    </row>
    <row r="3144" spans="10:10" x14ac:dyDescent="0.4">
      <c r="J3144" s="140"/>
    </row>
    <row r="3145" spans="10:10" x14ac:dyDescent="0.4">
      <c r="J3145" s="140"/>
    </row>
    <row r="3146" spans="10:10" x14ac:dyDescent="0.4">
      <c r="J3146" s="140"/>
    </row>
    <row r="3147" spans="10:10" x14ac:dyDescent="0.4">
      <c r="J3147" s="140"/>
    </row>
    <row r="3148" spans="10:10" x14ac:dyDescent="0.4">
      <c r="J3148" s="140"/>
    </row>
    <row r="3149" spans="10:10" x14ac:dyDescent="0.4">
      <c r="J3149" s="140"/>
    </row>
    <row r="3150" spans="10:10" x14ac:dyDescent="0.4">
      <c r="J3150" s="140"/>
    </row>
    <row r="3151" spans="10:10" x14ac:dyDescent="0.4">
      <c r="J3151" s="140"/>
    </row>
    <row r="3152" spans="10:10" x14ac:dyDescent="0.4">
      <c r="J3152" s="140"/>
    </row>
    <row r="3153" spans="10:10" x14ac:dyDescent="0.4">
      <c r="J3153" s="140"/>
    </row>
    <row r="3154" spans="10:10" x14ac:dyDescent="0.4">
      <c r="J3154" s="140"/>
    </row>
    <row r="3155" spans="10:10" x14ac:dyDescent="0.4">
      <c r="J3155" s="140"/>
    </row>
    <row r="3156" spans="10:10" x14ac:dyDescent="0.4">
      <c r="J3156" s="140"/>
    </row>
    <row r="3157" spans="10:10" x14ac:dyDescent="0.4">
      <c r="J3157" s="140"/>
    </row>
    <row r="3158" spans="10:10" x14ac:dyDescent="0.4">
      <c r="J3158" s="140"/>
    </row>
    <row r="3159" spans="10:10" x14ac:dyDescent="0.4">
      <c r="J3159" s="140"/>
    </row>
    <row r="3160" spans="10:10" x14ac:dyDescent="0.4">
      <c r="J3160" s="140"/>
    </row>
    <row r="3161" spans="10:10" x14ac:dyDescent="0.4">
      <c r="J3161" s="140"/>
    </row>
    <row r="3162" spans="10:10" x14ac:dyDescent="0.4">
      <c r="J3162" s="140"/>
    </row>
    <row r="3163" spans="10:10" x14ac:dyDescent="0.4">
      <c r="J3163" s="140"/>
    </row>
    <row r="3164" spans="10:10" x14ac:dyDescent="0.4">
      <c r="J3164" s="140"/>
    </row>
    <row r="3165" spans="10:10" x14ac:dyDescent="0.4">
      <c r="J3165" s="140"/>
    </row>
    <row r="3166" spans="10:10" x14ac:dyDescent="0.4">
      <c r="J3166" s="140"/>
    </row>
    <row r="3167" spans="10:10" x14ac:dyDescent="0.4">
      <c r="J3167" s="140"/>
    </row>
    <row r="3168" spans="10:10" x14ac:dyDescent="0.4">
      <c r="J3168" s="140"/>
    </row>
    <row r="3169" spans="10:10" x14ac:dyDescent="0.4">
      <c r="J3169" s="140"/>
    </row>
    <row r="3170" spans="10:10" x14ac:dyDescent="0.4">
      <c r="J3170" s="140"/>
    </row>
    <row r="3171" spans="10:10" x14ac:dyDescent="0.4">
      <c r="J3171" s="140"/>
    </row>
    <row r="3172" spans="10:10" x14ac:dyDescent="0.4">
      <c r="J3172" s="140"/>
    </row>
    <row r="3173" spans="10:10" x14ac:dyDescent="0.4">
      <c r="J3173" s="140"/>
    </row>
    <row r="3174" spans="10:10" x14ac:dyDescent="0.4">
      <c r="J3174" s="140"/>
    </row>
    <row r="3175" spans="10:10" x14ac:dyDescent="0.4">
      <c r="J3175" s="140"/>
    </row>
    <row r="3176" spans="10:10" x14ac:dyDescent="0.4">
      <c r="J3176" s="140"/>
    </row>
    <row r="3177" spans="10:10" x14ac:dyDescent="0.4">
      <c r="J3177" s="140"/>
    </row>
    <row r="3178" spans="10:10" x14ac:dyDescent="0.4">
      <c r="J3178" s="140"/>
    </row>
    <row r="3179" spans="10:10" x14ac:dyDescent="0.4">
      <c r="J3179" s="140"/>
    </row>
    <row r="3180" spans="10:10" x14ac:dyDescent="0.4">
      <c r="J3180" s="140"/>
    </row>
    <row r="3181" spans="10:10" x14ac:dyDescent="0.4">
      <c r="J3181" s="140"/>
    </row>
    <row r="3182" spans="10:10" x14ac:dyDescent="0.4">
      <c r="J3182" s="140"/>
    </row>
    <row r="3183" spans="10:10" x14ac:dyDescent="0.4">
      <c r="J3183" s="140"/>
    </row>
    <row r="3184" spans="10:10" x14ac:dyDescent="0.4">
      <c r="J3184" s="140"/>
    </row>
    <row r="3185" spans="10:10" x14ac:dyDescent="0.4">
      <c r="J3185" s="140"/>
    </row>
    <row r="3186" spans="10:10" x14ac:dyDescent="0.4">
      <c r="J3186" s="140"/>
    </row>
    <row r="3187" spans="10:10" x14ac:dyDescent="0.4">
      <c r="J3187" s="140"/>
    </row>
    <row r="3188" spans="10:10" x14ac:dyDescent="0.4">
      <c r="J3188" s="140"/>
    </row>
    <row r="3189" spans="10:10" x14ac:dyDescent="0.4">
      <c r="J3189" s="140"/>
    </row>
    <row r="3190" spans="10:10" x14ac:dyDescent="0.4">
      <c r="J3190" s="140"/>
    </row>
    <row r="3191" spans="10:10" x14ac:dyDescent="0.4">
      <c r="J3191" s="140"/>
    </row>
    <row r="3192" spans="10:10" x14ac:dyDescent="0.4">
      <c r="J3192" s="140"/>
    </row>
    <row r="3193" spans="10:10" x14ac:dyDescent="0.4">
      <c r="J3193" s="140"/>
    </row>
    <row r="3194" spans="10:10" x14ac:dyDescent="0.4">
      <c r="J3194" s="140"/>
    </row>
    <row r="3195" spans="10:10" x14ac:dyDescent="0.4">
      <c r="J3195" s="140"/>
    </row>
    <row r="3196" spans="10:10" x14ac:dyDescent="0.4">
      <c r="J3196" s="140"/>
    </row>
    <row r="3197" spans="10:10" x14ac:dyDescent="0.4">
      <c r="J3197" s="140"/>
    </row>
    <row r="3198" spans="10:10" x14ac:dyDescent="0.4">
      <c r="J3198" s="140"/>
    </row>
    <row r="3199" spans="10:10" x14ac:dyDescent="0.4">
      <c r="J3199" s="140"/>
    </row>
    <row r="3200" spans="10:10" x14ac:dyDescent="0.4">
      <c r="J3200" s="140"/>
    </row>
    <row r="3201" spans="10:10" x14ac:dyDescent="0.4">
      <c r="J3201" s="140"/>
    </row>
    <row r="3202" spans="10:10" x14ac:dyDescent="0.4">
      <c r="J3202" s="140"/>
    </row>
    <row r="3203" spans="10:10" x14ac:dyDescent="0.4">
      <c r="J3203" s="140"/>
    </row>
    <row r="3204" spans="10:10" x14ac:dyDescent="0.4">
      <c r="J3204" s="140"/>
    </row>
    <row r="3205" spans="10:10" x14ac:dyDescent="0.4">
      <c r="J3205" s="140"/>
    </row>
    <row r="3206" spans="10:10" x14ac:dyDescent="0.4">
      <c r="J3206" s="140"/>
    </row>
    <row r="3207" spans="10:10" x14ac:dyDescent="0.4">
      <c r="J3207" s="140"/>
    </row>
    <row r="3208" spans="10:10" x14ac:dyDescent="0.4">
      <c r="J3208" s="140"/>
    </row>
    <row r="3209" spans="10:10" x14ac:dyDescent="0.4">
      <c r="J3209" s="140"/>
    </row>
    <row r="3210" spans="10:10" x14ac:dyDescent="0.4">
      <c r="J3210" s="140"/>
    </row>
    <row r="3211" spans="10:10" x14ac:dyDescent="0.4">
      <c r="J3211" s="140"/>
    </row>
    <row r="3212" spans="10:10" x14ac:dyDescent="0.4">
      <c r="J3212" s="140"/>
    </row>
    <row r="3213" spans="10:10" x14ac:dyDescent="0.4">
      <c r="J3213" s="140"/>
    </row>
    <row r="3214" spans="10:10" x14ac:dyDescent="0.4">
      <c r="J3214" s="140"/>
    </row>
    <row r="3215" spans="10:10" x14ac:dyDescent="0.4">
      <c r="J3215" s="140"/>
    </row>
    <row r="3216" spans="10:10" x14ac:dyDescent="0.4">
      <c r="J3216" s="140"/>
    </row>
    <row r="3217" spans="10:10" x14ac:dyDescent="0.4">
      <c r="J3217" s="140"/>
    </row>
    <row r="3218" spans="10:10" x14ac:dyDescent="0.4">
      <c r="J3218" s="140"/>
    </row>
    <row r="3219" spans="10:10" x14ac:dyDescent="0.4">
      <c r="J3219" s="140"/>
    </row>
    <row r="3220" spans="10:10" x14ac:dyDescent="0.4">
      <c r="J3220" s="140"/>
    </row>
    <row r="3221" spans="10:10" x14ac:dyDescent="0.4">
      <c r="J3221" s="140"/>
    </row>
    <row r="3222" spans="10:10" x14ac:dyDescent="0.4">
      <c r="J3222" s="140"/>
    </row>
    <row r="3223" spans="10:10" x14ac:dyDescent="0.4">
      <c r="J3223" s="140"/>
    </row>
    <row r="3224" spans="10:10" x14ac:dyDescent="0.4">
      <c r="J3224" s="140"/>
    </row>
    <row r="3225" spans="10:10" x14ac:dyDescent="0.4">
      <c r="J3225" s="140"/>
    </row>
    <row r="3226" spans="10:10" x14ac:dyDescent="0.4">
      <c r="J3226" s="140"/>
    </row>
    <row r="3227" spans="10:10" x14ac:dyDescent="0.4">
      <c r="J3227" s="140"/>
    </row>
    <row r="3228" spans="10:10" x14ac:dyDescent="0.4">
      <c r="J3228" s="140"/>
    </row>
    <row r="3229" spans="10:10" x14ac:dyDescent="0.4">
      <c r="J3229" s="140"/>
    </row>
    <row r="3230" spans="10:10" x14ac:dyDescent="0.4">
      <c r="J3230" s="140"/>
    </row>
    <row r="3231" spans="10:10" x14ac:dyDescent="0.4">
      <c r="J3231" s="140"/>
    </row>
    <row r="3232" spans="10:10" x14ac:dyDescent="0.4">
      <c r="J3232" s="140"/>
    </row>
    <row r="3233" spans="10:10" x14ac:dyDescent="0.4">
      <c r="J3233" s="140"/>
    </row>
    <row r="3234" spans="10:10" x14ac:dyDescent="0.4">
      <c r="J3234" s="140"/>
    </row>
    <row r="3235" spans="10:10" x14ac:dyDescent="0.4">
      <c r="J3235" s="140"/>
    </row>
    <row r="3236" spans="10:10" x14ac:dyDescent="0.4">
      <c r="J3236" s="140"/>
    </row>
    <row r="3237" spans="10:10" x14ac:dyDescent="0.4">
      <c r="J3237" s="140"/>
    </row>
    <row r="3238" spans="10:10" x14ac:dyDescent="0.4">
      <c r="J3238" s="140"/>
    </row>
    <row r="3239" spans="10:10" x14ac:dyDescent="0.4">
      <c r="J3239" s="140"/>
    </row>
    <row r="3240" spans="10:10" x14ac:dyDescent="0.4">
      <c r="J3240" s="140"/>
    </row>
    <row r="3241" spans="10:10" x14ac:dyDescent="0.4">
      <c r="J3241" s="140"/>
    </row>
    <row r="3242" spans="10:10" x14ac:dyDescent="0.4">
      <c r="J3242" s="140"/>
    </row>
    <row r="3243" spans="10:10" x14ac:dyDescent="0.4">
      <c r="J3243" s="140"/>
    </row>
    <row r="3244" spans="10:10" x14ac:dyDescent="0.4">
      <c r="J3244" s="140"/>
    </row>
    <row r="3245" spans="10:10" x14ac:dyDescent="0.4">
      <c r="J3245" s="140"/>
    </row>
    <row r="3246" spans="10:10" x14ac:dyDescent="0.4">
      <c r="J3246" s="140"/>
    </row>
    <row r="3247" spans="10:10" x14ac:dyDescent="0.4">
      <c r="J3247" s="140"/>
    </row>
    <row r="3248" spans="10:10" x14ac:dyDescent="0.4">
      <c r="J3248" s="140"/>
    </row>
    <row r="3249" spans="10:10" x14ac:dyDescent="0.4">
      <c r="J3249" s="140"/>
    </row>
    <row r="3250" spans="10:10" x14ac:dyDescent="0.4">
      <c r="J3250" s="140"/>
    </row>
    <row r="3251" spans="10:10" x14ac:dyDescent="0.4">
      <c r="J3251" s="140"/>
    </row>
    <row r="3252" spans="10:10" x14ac:dyDescent="0.4">
      <c r="J3252" s="140"/>
    </row>
    <row r="3253" spans="10:10" x14ac:dyDescent="0.4">
      <c r="J3253" s="140"/>
    </row>
    <row r="3254" spans="10:10" x14ac:dyDescent="0.4">
      <c r="J3254" s="140"/>
    </row>
    <row r="3255" spans="10:10" x14ac:dyDescent="0.4">
      <c r="J3255" s="140"/>
    </row>
    <row r="3256" spans="10:10" x14ac:dyDescent="0.4">
      <c r="J3256" s="140"/>
    </row>
    <row r="3257" spans="10:10" x14ac:dyDescent="0.4">
      <c r="J3257" s="140"/>
    </row>
    <row r="3258" spans="10:10" x14ac:dyDescent="0.4">
      <c r="J3258" s="140"/>
    </row>
    <row r="3259" spans="10:10" x14ac:dyDescent="0.4">
      <c r="J3259" s="140"/>
    </row>
    <row r="3260" spans="10:10" x14ac:dyDescent="0.4">
      <c r="J3260" s="140"/>
    </row>
    <row r="3261" spans="10:10" x14ac:dyDescent="0.4">
      <c r="J3261" s="140"/>
    </row>
    <row r="3262" spans="10:10" x14ac:dyDescent="0.4">
      <c r="J3262" s="140"/>
    </row>
    <row r="3263" spans="10:10" x14ac:dyDescent="0.4">
      <c r="J3263" s="140"/>
    </row>
    <row r="3264" spans="10:10" x14ac:dyDescent="0.4">
      <c r="J3264" s="140"/>
    </row>
    <row r="3265" spans="10:10" x14ac:dyDescent="0.4">
      <c r="J3265" s="140"/>
    </row>
    <row r="3266" spans="10:10" x14ac:dyDescent="0.4">
      <c r="J3266" s="140"/>
    </row>
    <row r="3267" spans="10:10" x14ac:dyDescent="0.4">
      <c r="J3267" s="140"/>
    </row>
    <row r="3268" spans="10:10" x14ac:dyDescent="0.4">
      <c r="J3268" s="140"/>
    </row>
    <row r="3269" spans="10:10" x14ac:dyDescent="0.4">
      <c r="J3269" s="140"/>
    </row>
    <row r="3270" spans="10:10" x14ac:dyDescent="0.4">
      <c r="J3270" s="140"/>
    </row>
    <row r="3271" spans="10:10" x14ac:dyDescent="0.4">
      <c r="J3271" s="140"/>
    </row>
    <row r="3272" spans="10:10" x14ac:dyDescent="0.4">
      <c r="J3272" s="140"/>
    </row>
    <row r="3273" spans="10:10" x14ac:dyDescent="0.4">
      <c r="J3273" s="140"/>
    </row>
    <row r="3274" spans="10:10" x14ac:dyDescent="0.4">
      <c r="J3274" s="140"/>
    </row>
    <row r="3275" spans="10:10" x14ac:dyDescent="0.4">
      <c r="J3275" s="140"/>
    </row>
    <row r="3276" spans="10:10" x14ac:dyDescent="0.4">
      <c r="J3276" s="140"/>
    </row>
    <row r="3277" spans="10:10" x14ac:dyDescent="0.4">
      <c r="J3277" s="140"/>
    </row>
    <row r="3278" spans="10:10" x14ac:dyDescent="0.4">
      <c r="J3278" s="140"/>
    </row>
    <row r="3279" spans="10:10" x14ac:dyDescent="0.4">
      <c r="J3279" s="140"/>
    </row>
    <row r="3280" spans="10:10" x14ac:dyDescent="0.4">
      <c r="J3280" s="140"/>
    </row>
    <row r="3281" spans="10:10" x14ac:dyDescent="0.4">
      <c r="J3281" s="140"/>
    </row>
    <row r="3282" spans="10:10" x14ac:dyDescent="0.4">
      <c r="J3282" s="140"/>
    </row>
    <row r="3283" spans="10:10" x14ac:dyDescent="0.4">
      <c r="J3283" s="140"/>
    </row>
    <row r="3284" spans="10:10" x14ac:dyDescent="0.4">
      <c r="J3284" s="140"/>
    </row>
    <row r="3285" spans="10:10" x14ac:dyDescent="0.4">
      <c r="J3285" s="140"/>
    </row>
    <row r="3286" spans="10:10" x14ac:dyDescent="0.4">
      <c r="J3286" s="140"/>
    </row>
    <row r="3287" spans="10:10" x14ac:dyDescent="0.4">
      <c r="J3287" s="140"/>
    </row>
    <row r="3288" spans="10:10" x14ac:dyDescent="0.4">
      <c r="J3288" s="140"/>
    </row>
    <row r="3289" spans="10:10" x14ac:dyDescent="0.4">
      <c r="J3289" s="140"/>
    </row>
    <row r="3290" spans="10:10" x14ac:dyDescent="0.4">
      <c r="J3290" s="140"/>
    </row>
    <row r="3291" spans="10:10" x14ac:dyDescent="0.4">
      <c r="J3291" s="140"/>
    </row>
    <row r="3292" spans="10:10" x14ac:dyDescent="0.4">
      <c r="J3292" s="140"/>
    </row>
    <row r="3293" spans="10:10" x14ac:dyDescent="0.4">
      <c r="J3293" s="140"/>
    </row>
    <row r="3294" spans="10:10" x14ac:dyDescent="0.4">
      <c r="J3294" s="140"/>
    </row>
    <row r="3295" spans="10:10" x14ac:dyDescent="0.4">
      <c r="J3295" s="140"/>
    </row>
    <row r="3296" spans="10:10" x14ac:dyDescent="0.4">
      <c r="J3296" s="140"/>
    </row>
    <row r="3297" spans="10:10" x14ac:dyDescent="0.4">
      <c r="J3297" s="140"/>
    </row>
    <row r="3298" spans="10:10" x14ac:dyDescent="0.4">
      <c r="J3298" s="140"/>
    </row>
    <row r="3299" spans="10:10" x14ac:dyDescent="0.4">
      <c r="J3299" s="140"/>
    </row>
    <row r="3300" spans="10:10" x14ac:dyDescent="0.4">
      <c r="J3300" s="140"/>
    </row>
    <row r="3301" spans="10:10" x14ac:dyDescent="0.4">
      <c r="J3301" s="140"/>
    </row>
    <row r="3302" spans="10:10" x14ac:dyDescent="0.4">
      <c r="J3302" s="140"/>
    </row>
    <row r="3303" spans="10:10" x14ac:dyDescent="0.4">
      <c r="J3303" s="140"/>
    </row>
    <row r="3304" spans="10:10" x14ac:dyDescent="0.4">
      <c r="J3304" s="140"/>
    </row>
    <row r="3305" spans="10:10" x14ac:dyDescent="0.4">
      <c r="J3305" s="140"/>
    </row>
    <row r="3306" spans="10:10" x14ac:dyDescent="0.4">
      <c r="J3306" s="140"/>
    </row>
    <row r="3307" spans="10:10" x14ac:dyDescent="0.4">
      <c r="J3307" s="140"/>
    </row>
    <row r="3308" spans="10:10" x14ac:dyDescent="0.4">
      <c r="J3308" s="140"/>
    </row>
    <row r="3309" spans="10:10" x14ac:dyDescent="0.4">
      <c r="J3309" s="140"/>
    </row>
    <row r="3310" spans="10:10" x14ac:dyDescent="0.4">
      <c r="J3310" s="140"/>
    </row>
    <row r="3311" spans="10:10" x14ac:dyDescent="0.4">
      <c r="J3311" s="140"/>
    </row>
    <row r="3312" spans="10:10" x14ac:dyDescent="0.4">
      <c r="J3312" s="140"/>
    </row>
    <row r="3313" spans="10:10" x14ac:dyDescent="0.4">
      <c r="J3313" s="140"/>
    </row>
    <row r="3314" spans="10:10" x14ac:dyDescent="0.4">
      <c r="J3314" s="140"/>
    </row>
    <row r="3315" spans="10:10" x14ac:dyDescent="0.4">
      <c r="J3315" s="140"/>
    </row>
    <row r="3316" spans="10:10" x14ac:dyDescent="0.4">
      <c r="J3316" s="140"/>
    </row>
    <row r="3317" spans="10:10" x14ac:dyDescent="0.4">
      <c r="J3317" s="140"/>
    </row>
    <row r="3318" spans="10:10" x14ac:dyDescent="0.4">
      <c r="J3318" s="140"/>
    </row>
    <row r="3319" spans="10:10" x14ac:dyDescent="0.4">
      <c r="J3319" s="140"/>
    </row>
    <row r="3320" spans="10:10" x14ac:dyDescent="0.4">
      <c r="J3320" s="140"/>
    </row>
    <row r="3321" spans="10:10" x14ac:dyDescent="0.4">
      <c r="J3321" s="140"/>
    </row>
    <row r="3322" spans="10:10" x14ac:dyDescent="0.4">
      <c r="J3322" s="140"/>
    </row>
    <row r="3323" spans="10:10" x14ac:dyDescent="0.4">
      <c r="J3323" s="140"/>
    </row>
    <row r="3324" spans="10:10" x14ac:dyDescent="0.4">
      <c r="J3324" s="140"/>
    </row>
    <row r="3325" spans="10:10" x14ac:dyDescent="0.4">
      <c r="J3325" s="140"/>
    </row>
    <row r="3326" spans="10:10" x14ac:dyDescent="0.4">
      <c r="J3326" s="140"/>
    </row>
    <row r="3327" spans="10:10" x14ac:dyDescent="0.4">
      <c r="J3327" s="140"/>
    </row>
    <row r="3328" spans="10:10" x14ac:dyDescent="0.4">
      <c r="J3328" s="140"/>
    </row>
    <row r="3329" spans="10:10" x14ac:dyDescent="0.4">
      <c r="J3329" s="140"/>
    </row>
    <row r="3330" spans="10:10" x14ac:dyDescent="0.4">
      <c r="J3330" s="140"/>
    </row>
    <row r="3331" spans="10:10" x14ac:dyDescent="0.4">
      <c r="J3331" s="140"/>
    </row>
    <row r="3332" spans="10:10" x14ac:dyDescent="0.4">
      <c r="J3332" s="140"/>
    </row>
    <row r="3333" spans="10:10" x14ac:dyDescent="0.4">
      <c r="J3333" s="140"/>
    </row>
    <row r="3334" spans="10:10" x14ac:dyDescent="0.4">
      <c r="J3334" s="140"/>
    </row>
    <row r="3335" spans="10:10" x14ac:dyDescent="0.4">
      <c r="J3335" s="140"/>
    </row>
    <row r="3336" spans="10:10" x14ac:dyDescent="0.4">
      <c r="J3336" s="140"/>
    </row>
    <row r="3337" spans="10:10" x14ac:dyDescent="0.4">
      <c r="J3337" s="140"/>
    </row>
    <row r="3338" spans="10:10" x14ac:dyDescent="0.4">
      <c r="J3338" s="140"/>
    </row>
    <row r="3339" spans="10:10" x14ac:dyDescent="0.4">
      <c r="J3339" s="140"/>
    </row>
    <row r="3340" spans="10:10" x14ac:dyDescent="0.4">
      <c r="J3340" s="140"/>
    </row>
    <row r="3341" spans="10:10" x14ac:dyDescent="0.4">
      <c r="J3341" s="140"/>
    </row>
    <row r="3342" spans="10:10" x14ac:dyDescent="0.4">
      <c r="J3342" s="140"/>
    </row>
    <row r="3343" spans="10:10" x14ac:dyDescent="0.4">
      <c r="J3343" s="140"/>
    </row>
    <row r="3344" spans="10:10" x14ac:dyDescent="0.4">
      <c r="J3344" s="140"/>
    </row>
    <row r="3345" spans="10:10" x14ac:dyDescent="0.4">
      <c r="J3345" s="140"/>
    </row>
    <row r="3346" spans="10:10" x14ac:dyDescent="0.4">
      <c r="J3346" s="140"/>
    </row>
    <row r="3347" spans="10:10" x14ac:dyDescent="0.4">
      <c r="J3347" s="140"/>
    </row>
    <row r="3348" spans="10:10" x14ac:dyDescent="0.4">
      <c r="J3348" s="140"/>
    </row>
    <row r="3349" spans="10:10" x14ac:dyDescent="0.4">
      <c r="J3349" s="140"/>
    </row>
    <row r="3350" spans="10:10" x14ac:dyDescent="0.4">
      <c r="J3350" s="140"/>
    </row>
    <row r="3351" spans="10:10" x14ac:dyDescent="0.4">
      <c r="J3351" s="140"/>
    </row>
    <row r="3352" spans="10:10" x14ac:dyDescent="0.4">
      <c r="J3352" s="140"/>
    </row>
    <row r="3353" spans="10:10" x14ac:dyDescent="0.4">
      <c r="J3353" s="140"/>
    </row>
    <row r="3354" spans="10:10" x14ac:dyDescent="0.4">
      <c r="J3354" s="140"/>
    </row>
    <row r="3355" spans="10:10" x14ac:dyDescent="0.4">
      <c r="J3355" s="140"/>
    </row>
    <row r="3356" spans="10:10" x14ac:dyDescent="0.4">
      <c r="J3356" s="140"/>
    </row>
    <row r="3357" spans="10:10" x14ac:dyDescent="0.4">
      <c r="J3357" s="140"/>
    </row>
    <row r="3358" spans="10:10" x14ac:dyDescent="0.4">
      <c r="J3358" s="140"/>
    </row>
    <row r="3359" spans="10:10" x14ac:dyDescent="0.4">
      <c r="J3359" s="140"/>
    </row>
    <row r="3360" spans="10:10" x14ac:dyDescent="0.4">
      <c r="J3360" s="140"/>
    </row>
    <row r="3361" spans="10:10" x14ac:dyDescent="0.4">
      <c r="J3361" s="140"/>
    </row>
    <row r="3362" spans="10:10" x14ac:dyDescent="0.4">
      <c r="J3362" s="140"/>
    </row>
    <row r="3363" spans="10:10" x14ac:dyDescent="0.4">
      <c r="J3363" s="140"/>
    </row>
    <row r="3364" spans="10:10" x14ac:dyDescent="0.4">
      <c r="J3364" s="140"/>
    </row>
    <row r="3365" spans="10:10" x14ac:dyDescent="0.4">
      <c r="J3365" s="140"/>
    </row>
    <row r="3366" spans="10:10" x14ac:dyDescent="0.4">
      <c r="J3366" s="140"/>
    </row>
    <row r="3367" spans="10:10" x14ac:dyDescent="0.4">
      <c r="J3367" s="140"/>
    </row>
    <row r="3368" spans="10:10" x14ac:dyDescent="0.4">
      <c r="J3368" s="140"/>
    </row>
    <row r="3369" spans="10:10" x14ac:dyDescent="0.4">
      <c r="J3369" s="140"/>
    </row>
    <row r="3370" spans="10:10" x14ac:dyDescent="0.4">
      <c r="J3370" s="140"/>
    </row>
    <row r="3371" spans="10:10" x14ac:dyDescent="0.4">
      <c r="J3371" s="140"/>
    </row>
    <row r="3372" spans="10:10" x14ac:dyDescent="0.4">
      <c r="J3372" s="140"/>
    </row>
    <row r="3373" spans="10:10" x14ac:dyDescent="0.4">
      <c r="J3373" s="140"/>
    </row>
    <row r="3374" spans="10:10" x14ac:dyDescent="0.4">
      <c r="J3374" s="140"/>
    </row>
    <row r="3375" spans="10:10" x14ac:dyDescent="0.4">
      <c r="J3375" s="140"/>
    </row>
    <row r="3376" spans="10:10" x14ac:dyDescent="0.4">
      <c r="J3376" s="140"/>
    </row>
    <row r="3377" spans="10:10" x14ac:dyDescent="0.4">
      <c r="J3377" s="140"/>
    </row>
    <row r="3378" spans="10:10" x14ac:dyDescent="0.4">
      <c r="J3378" s="140"/>
    </row>
    <row r="3379" spans="10:10" x14ac:dyDescent="0.4">
      <c r="J3379" s="140"/>
    </row>
    <row r="3380" spans="10:10" x14ac:dyDescent="0.4">
      <c r="J3380" s="140"/>
    </row>
    <row r="3381" spans="10:10" x14ac:dyDescent="0.4">
      <c r="J3381" s="140"/>
    </row>
    <row r="3382" spans="10:10" x14ac:dyDescent="0.4">
      <c r="J3382" s="140"/>
    </row>
    <row r="3383" spans="10:10" x14ac:dyDescent="0.4">
      <c r="J3383" s="140"/>
    </row>
    <row r="3384" spans="10:10" x14ac:dyDescent="0.4">
      <c r="J3384" s="140"/>
    </row>
    <row r="3385" spans="10:10" x14ac:dyDescent="0.4">
      <c r="J3385" s="140"/>
    </row>
    <row r="3386" spans="10:10" x14ac:dyDescent="0.4">
      <c r="J3386" s="140"/>
    </row>
    <row r="3387" spans="10:10" x14ac:dyDescent="0.4">
      <c r="J3387" s="140"/>
    </row>
    <row r="3388" spans="10:10" x14ac:dyDescent="0.4">
      <c r="J3388" s="140"/>
    </row>
    <row r="3389" spans="10:10" x14ac:dyDescent="0.4">
      <c r="J3389" s="140"/>
    </row>
    <row r="3390" spans="10:10" x14ac:dyDescent="0.4">
      <c r="J3390" s="140"/>
    </row>
    <row r="3391" spans="10:10" x14ac:dyDescent="0.4">
      <c r="J3391" s="140"/>
    </row>
    <row r="3392" spans="10:10" x14ac:dyDescent="0.4">
      <c r="J3392" s="140"/>
    </row>
    <row r="3393" spans="10:10" x14ac:dyDescent="0.4">
      <c r="J3393" s="140"/>
    </row>
    <row r="3394" spans="10:10" x14ac:dyDescent="0.4">
      <c r="J3394" s="140"/>
    </row>
    <row r="3395" spans="10:10" x14ac:dyDescent="0.4">
      <c r="J3395" s="140"/>
    </row>
    <row r="3396" spans="10:10" x14ac:dyDescent="0.4">
      <c r="J3396" s="140"/>
    </row>
    <row r="3397" spans="10:10" x14ac:dyDescent="0.4">
      <c r="J3397" s="140"/>
    </row>
    <row r="3398" spans="10:10" x14ac:dyDescent="0.4">
      <c r="J3398" s="140"/>
    </row>
    <row r="3399" spans="10:10" x14ac:dyDescent="0.4">
      <c r="J3399" s="140"/>
    </row>
    <row r="3400" spans="10:10" x14ac:dyDescent="0.4">
      <c r="J3400" s="140"/>
    </row>
    <row r="3401" spans="10:10" x14ac:dyDescent="0.4">
      <c r="J3401" s="140"/>
    </row>
    <row r="3402" spans="10:10" x14ac:dyDescent="0.4">
      <c r="J3402" s="140"/>
    </row>
    <row r="3403" spans="10:10" x14ac:dyDescent="0.4">
      <c r="J3403" s="140"/>
    </row>
    <row r="3404" spans="10:10" x14ac:dyDescent="0.4">
      <c r="J3404" s="140"/>
    </row>
    <row r="3405" spans="10:10" x14ac:dyDescent="0.4">
      <c r="J3405" s="140"/>
    </row>
    <row r="3406" spans="10:10" x14ac:dyDescent="0.4">
      <c r="J3406" s="140"/>
    </row>
    <row r="3407" spans="10:10" x14ac:dyDescent="0.4">
      <c r="J3407" s="140"/>
    </row>
    <row r="3408" spans="10:10" x14ac:dyDescent="0.4">
      <c r="J3408" s="140"/>
    </row>
    <row r="3409" spans="10:10" x14ac:dyDescent="0.4">
      <c r="J3409" s="140"/>
    </row>
    <row r="3410" spans="10:10" x14ac:dyDescent="0.4">
      <c r="J3410" s="140"/>
    </row>
    <row r="3411" spans="10:10" x14ac:dyDescent="0.4">
      <c r="J3411" s="140"/>
    </row>
    <row r="3412" spans="10:10" x14ac:dyDescent="0.4">
      <c r="J3412" s="140"/>
    </row>
    <row r="3413" spans="10:10" x14ac:dyDescent="0.4">
      <c r="J3413" s="140"/>
    </row>
    <row r="3414" spans="10:10" x14ac:dyDescent="0.4">
      <c r="J3414" s="140"/>
    </row>
    <row r="3415" spans="10:10" x14ac:dyDescent="0.4">
      <c r="J3415" s="140"/>
    </row>
    <row r="3416" spans="10:10" x14ac:dyDescent="0.4">
      <c r="J3416" s="140"/>
    </row>
    <row r="3417" spans="10:10" x14ac:dyDescent="0.4">
      <c r="J3417" s="140"/>
    </row>
    <row r="3418" spans="10:10" x14ac:dyDescent="0.4">
      <c r="J3418" s="140"/>
    </row>
    <row r="3419" spans="10:10" x14ac:dyDescent="0.4">
      <c r="J3419" s="140"/>
    </row>
    <row r="3420" spans="10:10" x14ac:dyDescent="0.4">
      <c r="J3420" s="140"/>
    </row>
    <row r="3421" spans="10:10" x14ac:dyDescent="0.4">
      <c r="J3421" s="140"/>
    </row>
    <row r="3422" spans="10:10" x14ac:dyDescent="0.4">
      <c r="J3422" s="140"/>
    </row>
    <row r="3423" spans="10:10" x14ac:dyDescent="0.4">
      <c r="J3423" s="140"/>
    </row>
    <row r="3424" spans="10:10" x14ac:dyDescent="0.4">
      <c r="J3424" s="140"/>
    </row>
    <row r="3425" spans="10:10" x14ac:dyDescent="0.4">
      <c r="J3425" s="140"/>
    </row>
    <row r="3426" spans="10:10" x14ac:dyDescent="0.4">
      <c r="J3426" s="140"/>
    </row>
    <row r="3427" spans="10:10" x14ac:dyDescent="0.4">
      <c r="J3427" s="140"/>
    </row>
    <row r="3428" spans="10:10" x14ac:dyDescent="0.4">
      <c r="J3428" s="140"/>
    </row>
    <row r="3429" spans="10:10" x14ac:dyDescent="0.4">
      <c r="J3429" s="140"/>
    </row>
    <row r="3430" spans="10:10" x14ac:dyDescent="0.4">
      <c r="J3430" s="140"/>
    </row>
    <row r="3431" spans="10:10" x14ac:dyDescent="0.4">
      <c r="J3431" s="140"/>
    </row>
    <row r="3432" spans="10:10" x14ac:dyDescent="0.4">
      <c r="J3432" s="140"/>
    </row>
    <row r="3433" spans="10:10" x14ac:dyDescent="0.4">
      <c r="J3433" s="140"/>
    </row>
    <row r="3434" spans="10:10" x14ac:dyDescent="0.4">
      <c r="J3434" s="140"/>
    </row>
    <row r="3435" spans="10:10" x14ac:dyDescent="0.4">
      <c r="J3435" s="140"/>
    </row>
    <row r="3436" spans="10:10" x14ac:dyDescent="0.4">
      <c r="J3436" s="140"/>
    </row>
    <row r="3437" spans="10:10" x14ac:dyDescent="0.4">
      <c r="J3437" s="140"/>
    </row>
    <row r="3438" spans="10:10" x14ac:dyDescent="0.4">
      <c r="J3438" s="140"/>
    </row>
    <row r="3439" spans="10:10" x14ac:dyDescent="0.4">
      <c r="J3439" s="140"/>
    </row>
    <row r="3440" spans="10:10" x14ac:dyDescent="0.4">
      <c r="J3440" s="140"/>
    </row>
    <row r="3441" spans="10:10" x14ac:dyDescent="0.4">
      <c r="J3441" s="140"/>
    </row>
    <row r="3442" spans="10:10" x14ac:dyDescent="0.4">
      <c r="J3442" s="140"/>
    </row>
    <row r="3443" spans="10:10" x14ac:dyDescent="0.4">
      <c r="J3443" s="140"/>
    </row>
    <row r="3444" spans="10:10" x14ac:dyDescent="0.4">
      <c r="J3444" s="140"/>
    </row>
    <row r="3445" spans="10:10" x14ac:dyDescent="0.4">
      <c r="J3445" s="140"/>
    </row>
    <row r="3446" spans="10:10" x14ac:dyDescent="0.4">
      <c r="J3446" s="140"/>
    </row>
    <row r="3447" spans="10:10" x14ac:dyDescent="0.4">
      <c r="J3447" s="140"/>
    </row>
    <row r="3448" spans="10:10" x14ac:dyDescent="0.4">
      <c r="J3448" s="140"/>
    </row>
    <row r="3449" spans="10:10" x14ac:dyDescent="0.4">
      <c r="J3449" s="140"/>
    </row>
    <row r="3450" spans="10:10" x14ac:dyDescent="0.4">
      <c r="J3450" s="140"/>
    </row>
    <row r="3451" spans="10:10" x14ac:dyDescent="0.4">
      <c r="J3451" s="140"/>
    </row>
    <row r="3452" spans="10:10" x14ac:dyDescent="0.4">
      <c r="J3452" s="140"/>
    </row>
    <row r="3453" spans="10:10" x14ac:dyDescent="0.4">
      <c r="J3453" s="140"/>
    </row>
    <row r="3454" spans="10:10" x14ac:dyDescent="0.4">
      <c r="J3454" s="140"/>
    </row>
    <row r="3455" spans="10:10" x14ac:dyDescent="0.4">
      <c r="J3455" s="140"/>
    </row>
    <row r="3456" spans="10:10" x14ac:dyDescent="0.4">
      <c r="J3456" s="140"/>
    </row>
    <row r="3457" spans="10:10" x14ac:dyDescent="0.4">
      <c r="J3457" s="140"/>
    </row>
    <row r="3458" spans="10:10" x14ac:dyDescent="0.4">
      <c r="J3458" s="140"/>
    </row>
    <row r="3459" spans="10:10" x14ac:dyDescent="0.4">
      <c r="J3459" s="140"/>
    </row>
    <row r="3460" spans="10:10" x14ac:dyDescent="0.4">
      <c r="J3460" s="140"/>
    </row>
    <row r="3461" spans="10:10" x14ac:dyDescent="0.4">
      <c r="J3461" s="140"/>
    </row>
    <row r="3462" spans="10:10" x14ac:dyDescent="0.4">
      <c r="J3462" s="140"/>
    </row>
    <row r="3463" spans="10:10" x14ac:dyDescent="0.4">
      <c r="J3463" s="140"/>
    </row>
    <row r="3464" spans="10:10" x14ac:dyDescent="0.4">
      <c r="J3464" s="140"/>
    </row>
    <row r="3465" spans="10:10" x14ac:dyDescent="0.4">
      <c r="J3465" s="140"/>
    </row>
    <row r="3466" spans="10:10" x14ac:dyDescent="0.4">
      <c r="J3466" s="140"/>
    </row>
    <row r="3467" spans="10:10" x14ac:dyDescent="0.4">
      <c r="J3467" s="140"/>
    </row>
    <row r="3468" spans="10:10" x14ac:dyDescent="0.4">
      <c r="J3468" s="140"/>
    </row>
    <row r="3469" spans="10:10" x14ac:dyDescent="0.4">
      <c r="J3469" s="140"/>
    </row>
    <row r="3470" spans="10:10" x14ac:dyDescent="0.4">
      <c r="J3470" s="140"/>
    </row>
    <row r="3471" spans="10:10" x14ac:dyDescent="0.4">
      <c r="J3471" s="140"/>
    </row>
    <row r="3472" spans="10:10" x14ac:dyDescent="0.4">
      <c r="J3472" s="140"/>
    </row>
    <row r="3473" spans="10:10" x14ac:dyDescent="0.4">
      <c r="J3473" s="140"/>
    </row>
    <row r="3474" spans="10:10" x14ac:dyDescent="0.4">
      <c r="J3474" s="140"/>
    </row>
    <row r="3475" spans="10:10" x14ac:dyDescent="0.4">
      <c r="J3475" s="140"/>
    </row>
    <row r="3476" spans="10:10" x14ac:dyDescent="0.4">
      <c r="J3476" s="140"/>
    </row>
    <row r="3477" spans="10:10" x14ac:dyDescent="0.4">
      <c r="J3477" s="140"/>
    </row>
    <row r="3478" spans="10:10" x14ac:dyDescent="0.4">
      <c r="J3478" s="140"/>
    </row>
    <row r="3479" spans="10:10" x14ac:dyDescent="0.4">
      <c r="J3479" s="140"/>
    </row>
    <row r="3480" spans="10:10" x14ac:dyDescent="0.4">
      <c r="J3480" s="140"/>
    </row>
    <row r="3481" spans="10:10" x14ac:dyDescent="0.4">
      <c r="J3481" s="140"/>
    </row>
    <row r="3482" spans="10:10" x14ac:dyDescent="0.4">
      <c r="J3482" s="140"/>
    </row>
    <row r="3483" spans="10:10" x14ac:dyDescent="0.4">
      <c r="J3483" s="140"/>
    </row>
    <row r="3484" spans="10:10" x14ac:dyDescent="0.4">
      <c r="J3484" s="140"/>
    </row>
    <row r="3485" spans="10:10" x14ac:dyDescent="0.4">
      <c r="J3485" s="140"/>
    </row>
    <row r="3486" spans="10:10" x14ac:dyDescent="0.4">
      <c r="J3486" s="140"/>
    </row>
    <row r="3487" spans="10:10" x14ac:dyDescent="0.4">
      <c r="J3487" s="140"/>
    </row>
    <row r="3488" spans="10:10" x14ac:dyDescent="0.4">
      <c r="J3488" s="140"/>
    </row>
    <row r="3489" spans="10:10" x14ac:dyDescent="0.4">
      <c r="J3489" s="140"/>
    </row>
    <row r="3490" spans="10:10" x14ac:dyDescent="0.4">
      <c r="J3490" s="140"/>
    </row>
    <row r="3491" spans="10:10" x14ac:dyDescent="0.4">
      <c r="J3491" s="140"/>
    </row>
    <row r="3492" spans="10:10" x14ac:dyDescent="0.4">
      <c r="J3492" s="140"/>
    </row>
    <row r="3493" spans="10:10" x14ac:dyDescent="0.4">
      <c r="J3493" s="140"/>
    </row>
    <row r="3494" spans="10:10" x14ac:dyDescent="0.4">
      <c r="J3494" s="140"/>
    </row>
    <row r="3495" spans="10:10" x14ac:dyDescent="0.4">
      <c r="J3495" s="140"/>
    </row>
    <row r="3496" spans="10:10" x14ac:dyDescent="0.4">
      <c r="J3496" s="140"/>
    </row>
    <row r="3497" spans="10:10" x14ac:dyDescent="0.4">
      <c r="J3497" s="140"/>
    </row>
    <row r="3498" spans="10:10" x14ac:dyDescent="0.4">
      <c r="J3498" s="140"/>
    </row>
    <row r="3499" spans="10:10" x14ac:dyDescent="0.4">
      <c r="J3499" s="140"/>
    </row>
    <row r="3500" spans="10:10" x14ac:dyDescent="0.4">
      <c r="J3500" s="140"/>
    </row>
    <row r="3501" spans="10:10" x14ac:dyDescent="0.4">
      <c r="J3501" s="140"/>
    </row>
    <row r="3502" spans="10:10" x14ac:dyDescent="0.4">
      <c r="J3502" s="140"/>
    </row>
    <row r="3503" spans="10:10" x14ac:dyDescent="0.4">
      <c r="J3503" s="140"/>
    </row>
    <row r="3504" spans="10:10" x14ac:dyDescent="0.4">
      <c r="J3504" s="140"/>
    </row>
    <row r="3505" spans="10:10" x14ac:dyDescent="0.4">
      <c r="J3505" s="140"/>
    </row>
    <row r="3506" spans="10:10" x14ac:dyDescent="0.4">
      <c r="J3506" s="140"/>
    </row>
    <row r="3507" spans="10:10" x14ac:dyDescent="0.4">
      <c r="J3507" s="140"/>
    </row>
    <row r="3508" spans="10:10" x14ac:dyDescent="0.4">
      <c r="J3508" s="140"/>
    </row>
    <row r="3509" spans="10:10" x14ac:dyDescent="0.4">
      <c r="J3509" s="140"/>
    </row>
    <row r="3510" spans="10:10" x14ac:dyDescent="0.4">
      <c r="J3510" s="140"/>
    </row>
    <row r="3511" spans="10:10" x14ac:dyDescent="0.4">
      <c r="J3511" s="140"/>
    </row>
    <row r="3512" spans="10:10" x14ac:dyDescent="0.4">
      <c r="J3512" s="140"/>
    </row>
    <row r="3513" spans="10:10" x14ac:dyDescent="0.4">
      <c r="J3513" s="140"/>
    </row>
    <row r="3514" spans="10:10" x14ac:dyDescent="0.4">
      <c r="J3514" s="140"/>
    </row>
    <row r="3515" spans="10:10" x14ac:dyDescent="0.4">
      <c r="J3515" s="140"/>
    </row>
    <row r="3516" spans="10:10" x14ac:dyDescent="0.4">
      <c r="J3516" s="140"/>
    </row>
    <row r="3517" spans="10:10" x14ac:dyDescent="0.4">
      <c r="J3517" s="140"/>
    </row>
    <row r="3518" spans="10:10" x14ac:dyDescent="0.4">
      <c r="J3518" s="140"/>
    </row>
    <row r="3519" spans="10:10" x14ac:dyDescent="0.4">
      <c r="J3519" s="140"/>
    </row>
    <row r="3520" spans="10:10" x14ac:dyDescent="0.4">
      <c r="J3520" s="140"/>
    </row>
    <row r="3521" spans="10:10" x14ac:dyDescent="0.4">
      <c r="J3521" s="140"/>
    </row>
    <row r="3522" spans="10:10" x14ac:dyDescent="0.4">
      <c r="J3522" s="140"/>
    </row>
    <row r="3523" spans="10:10" x14ac:dyDescent="0.4">
      <c r="J3523" s="140"/>
    </row>
    <row r="3524" spans="10:10" x14ac:dyDescent="0.4">
      <c r="J3524" s="140"/>
    </row>
    <row r="3525" spans="10:10" x14ac:dyDescent="0.4">
      <c r="J3525" s="140"/>
    </row>
    <row r="3526" spans="10:10" x14ac:dyDescent="0.4">
      <c r="J3526" s="140"/>
    </row>
    <row r="3527" spans="10:10" x14ac:dyDescent="0.4">
      <c r="J3527" s="140"/>
    </row>
    <row r="3528" spans="10:10" x14ac:dyDescent="0.4">
      <c r="J3528" s="140"/>
    </row>
    <row r="3529" spans="10:10" x14ac:dyDescent="0.4">
      <c r="J3529" s="140"/>
    </row>
    <row r="3530" spans="10:10" x14ac:dyDescent="0.4">
      <c r="J3530" s="140"/>
    </row>
    <row r="3531" spans="10:10" x14ac:dyDescent="0.4">
      <c r="J3531" s="140"/>
    </row>
    <row r="3532" spans="10:10" x14ac:dyDescent="0.4">
      <c r="J3532" s="140"/>
    </row>
    <row r="3533" spans="10:10" x14ac:dyDescent="0.4">
      <c r="J3533" s="140"/>
    </row>
    <row r="3534" spans="10:10" x14ac:dyDescent="0.4">
      <c r="J3534" s="140"/>
    </row>
    <row r="3535" spans="10:10" x14ac:dyDescent="0.4">
      <c r="J3535" s="140"/>
    </row>
    <row r="3536" spans="10:10" x14ac:dyDescent="0.4">
      <c r="J3536" s="140"/>
    </row>
    <row r="3537" spans="10:10" x14ac:dyDescent="0.4">
      <c r="J3537" s="140"/>
    </row>
    <row r="3538" spans="10:10" x14ac:dyDescent="0.4">
      <c r="J3538" s="140"/>
    </row>
    <row r="3539" spans="10:10" x14ac:dyDescent="0.4">
      <c r="J3539" s="140"/>
    </row>
    <row r="3540" spans="10:10" x14ac:dyDescent="0.4">
      <c r="J3540" s="140"/>
    </row>
    <row r="3541" spans="10:10" x14ac:dyDescent="0.4">
      <c r="J3541" s="140"/>
    </row>
    <row r="3542" spans="10:10" x14ac:dyDescent="0.4">
      <c r="J3542" s="140"/>
    </row>
    <row r="3543" spans="10:10" x14ac:dyDescent="0.4">
      <c r="J3543" s="140"/>
    </row>
    <row r="3544" spans="10:10" x14ac:dyDescent="0.4">
      <c r="J3544" s="140"/>
    </row>
    <row r="3545" spans="10:10" x14ac:dyDescent="0.4">
      <c r="J3545" s="140"/>
    </row>
    <row r="3546" spans="10:10" x14ac:dyDescent="0.4">
      <c r="J3546" s="140"/>
    </row>
    <row r="3547" spans="10:10" x14ac:dyDescent="0.4">
      <c r="J3547" s="140"/>
    </row>
    <row r="3548" spans="10:10" x14ac:dyDescent="0.4">
      <c r="J3548" s="140"/>
    </row>
    <row r="3549" spans="10:10" x14ac:dyDescent="0.4">
      <c r="J3549" s="140"/>
    </row>
    <row r="3550" spans="10:10" x14ac:dyDescent="0.4">
      <c r="J3550" s="140"/>
    </row>
    <row r="3551" spans="10:10" x14ac:dyDescent="0.4">
      <c r="J3551" s="140"/>
    </row>
    <row r="3552" spans="10:10" x14ac:dyDescent="0.4">
      <c r="J3552" s="140"/>
    </row>
    <row r="3553" spans="10:10" x14ac:dyDescent="0.4">
      <c r="J3553" s="140"/>
    </row>
    <row r="3554" spans="10:10" x14ac:dyDescent="0.4">
      <c r="J3554" s="140"/>
    </row>
    <row r="3555" spans="10:10" x14ac:dyDescent="0.4">
      <c r="J3555" s="140"/>
    </row>
    <row r="3556" spans="10:10" x14ac:dyDescent="0.4">
      <c r="J3556" s="140"/>
    </row>
    <row r="3557" spans="10:10" x14ac:dyDescent="0.4">
      <c r="J3557" s="140"/>
    </row>
    <row r="3558" spans="10:10" x14ac:dyDescent="0.4">
      <c r="J3558" s="140"/>
    </row>
    <row r="3559" spans="10:10" x14ac:dyDescent="0.4">
      <c r="J3559" s="140"/>
    </row>
    <row r="3560" spans="10:10" x14ac:dyDescent="0.4">
      <c r="J3560" s="140"/>
    </row>
    <row r="3561" spans="10:10" x14ac:dyDescent="0.4">
      <c r="J3561" s="140"/>
    </row>
    <row r="3562" spans="10:10" x14ac:dyDescent="0.4">
      <c r="J3562" s="140"/>
    </row>
    <row r="3563" spans="10:10" x14ac:dyDescent="0.4">
      <c r="J3563" s="140"/>
    </row>
    <row r="3564" spans="10:10" x14ac:dyDescent="0.4">
      <c r="J3564" s="140"/>
    </row>
    <row r="3565" spans="10:10" x14ac:dyDescent="0.4">
      <c r="J3565" s="140"/>
    </row>
    <row r="3566" spans="10:10" x14ac:dyDescent="0.4">
      <c r="J3566" s="140"/>
    </row>
    <row r="3567" spans="10:10" x14ac:dyDescent="0.4">
      <c r="J3567" s="140"/>
    </row>
    <row r="3568" spans="10:10" x14ac:dyDescent="0.4">
      <c r="J3568" s="140"/>
    </row>
    <row r="3569" spans="10:10" x14ac:dyDescent="0.4">
      <c r="J3569" s="140"/>
    </row>
    <row r="3570" spans="10:10" x14ac:dyDescent="0.4">
      <c r="J3570" s="140"/>
    </row>
    <row r="3571" spans="10:10" x14ac:dyDescent="0.4">
      <c r="J3571" s="140"/>
    </row>
    <row r="3572" spans="10:10" x14ac:dyDescent="0.4">
      <c r="J3572" s="140"/>
    </row>
    <row r="3573" spans="10:10" x14ac:dyDescent="0.4">
      <c r="J3573" s="140"/>
    </row>
    <row r="3574" spans="10:10" x14ac:dyDescent="0.4">
      <c r="J3574" s="140"/>
    </row>
    <row r="3575" spans="10:10" x14ac:dyDescent="0.4">
      <c r="J3575" s="140"/>
    </row>
    <row r="3576" spans="10:10" x14ac:dyDescent="0.4">
      <c r="J3576" s="140"/>
    </row>
    <row r="3577" spans="10:10" x14ac:dyDescent="0.4">
      <c r="J3577" s="140"/>
    </row>
    <row r="3578" spans="10:10" x14ac:dyDescent="0.4">
      <c r="J3578" s="140"/>
    </row>
    <row r="3579" spans="10:10" x14ac:dyDescent="0.4">
      <c r="J3579" s="140"/>
    </row>
    <row r="3580" spans="10:10" x14ac:dyDescent="0.4">
      <c r="J3580" s="140"/>
    </row>
    <row r="3581" spans="10:10" x14ac:dyDescent="0.4">
      <c r="J3581" s="140"/>
    </row>
    <row r="3582" spans="10:10" x14ac:dyDescent="0.4">
      <c r="J3582" s="140"/>
    </row>
    <row r="3583" spans="10:10" x14ac:dyDescent="0.4">
      <c r="J3583" s="140"/>
    </row>
    <row r="3584" spans="10:10" x14ac:dyDescent="0.4">
      <c r="J3584" s="140"/>
    </row>
    <row r="3585" spans="10:10" x14ac:dyDescent="0.4">
      <c r="J3585" s="140"/>
    </row>
    <row r="3586" spans="10:10" x14ac:dyDescent="0.4">
      <c r="J3586" s="140"/>
    </row>
    <row r="3587" spans="10:10" x14ac:dyDescent="0.4">
      <c r="J3587" s="140"/>
    </row>
    <row r="3588" spans="10:10" x14ac:dyDescent="0.4">
      <c r="J3588" s="140"/>
    </row>
    <row r="3589" spans="10:10" x14ac:dyDescent="0.4">
      <c r="J3589" s="140"/>
    </row>
    <row r="3590" spans="10:10" x14ac:dyDescent="0.4">
      <c r="J3590" s="140"/>
    </row>
    <row r="3591" spans="10:10" x14ac:dyDescent="0.4">
      <c r="J3591" s="140"/>
    </row>
    <row r="3592" spans="10:10" x14ac:dyDescent="0.4">
      <c r="J3592" s="140"/>
    </row>
    <row r="3593" spans="10:10" x14ac:dyDescent="0.4">
      <c r="J3593" s="140"/>
    </row>
    <row r="3594" spans="10:10" x14ac:dyDescent="0.4">
      <c r="J3594" s="140"/>
    </row>
    <row r="3595" spans="10:10" x14ac:dyDescent="0.4">
      <c r="J3595" s="140"/>
    </row>
    <row r="3596" spans="10:10" x14ac:dyDescent="0.4">
      <c r="J3596" s="140"/>
    </row>
    <row r="3597" spans="10:10" x14ac:dyDescent="0.4">
      <c r="J3597" s="140"/>
    </row>
    <row r="3598" spans="10:10" x14ac:dyDescent="0.4">
      <c r="J3598" s="140"/>
    </row>
    <row r="3599" spans="10:10" x14ac:dyDescent="0.4">
      <c r="J3599" s="140"/>
    </row>
    <row r="3600" spans="10:10" x14ac:dyDescent="0.4">
      <c r="J3600" s="140"/>
    </row>
    <row r="3601" spans="10:10" x14ac:dyDescent="0.4">
      <c r="J3601" s="140"/>
    </row>
    <row r="3602" spans="10:10" x14ac:dyDescent="0.4">
      <c r="J3602" s="140"/>
    </row>
    <row r="3603" spans="10:10" x14ac:dyDescent="0.4">
      <c r="J3603" s="140"/>
    </row>
    <row r="3604" spans="10:10" x14ac:dyDescent="0.4">
      <c r="J3604" s="140"/>
    </row>
    <row r="3605" spans="10:10" x14ac:dyDescent="0.4">
      <c r="J3605" s="140"/>
    </row>
    <row r="3606" spans="10:10" x14ac:dyDescent="0.4">
      <c r="J3606" s="140"/>
    </row>
    <row r="3607" spans="10:10" x14ac:dyDescent="0.4">
      <c r="J3607" s="140"/>
    </row>
    <row r="3608" spans="10:10" x14ac:dyDescent="0.4">
      <c r="J3608" s="140"/>
    </row>
    <row r="3609" spans="10:10" x14ac:dyDescent="0.4">
      <c r="J3609" s="140"/>
    </row>
    <row r="3610" spans="10:10" x14ac:dyDescent="0.4">
      <c r="J3610" s="140"/>
    </row>
    <row r="3611" spans="10:10" x14ac:dyDescent="0.4">
      <c r="J3611" s="140"/>
    </row>
    <row r="3612" spans="10:10" x14ac:dyDescent="0.4">
      <c r="J3612" s="140"/>
    </row>
    <row r="3613" spans="10:10" x14ac:dyDescent="0.4">
      <c r="J3613" s="140"/>
    </row>
    <row r="3614" spans="10:10" x14ac:dyDescent="0.4">
      <c r="J3614" s="140"/>
    </row>
    <row r="3615" spans="10:10" x14ac:dyDescent="0.4">
      <c r="J3615" s="140"/>
    </row>
    <row r="3616" spans="10:10" x14ac:dyDescent="0.4">
      <c r="J3616" s="140"/>
    </row>
    <row r="3617" spans="10:10" x14ac:dyDescent="0.4">
      <c r="J3617" s="140"/>
    </row>
    <row r="3618" spans="10:10" x14ac:dyDescent="0.4">
      <c r="J3618" s="140"/>
    </row>
    <row r="3619" spans="10:10" x14ac:dyDescent="0.4">
      <c r="J3619" s="140"/>
    </row>
    <row r="3620" spans="10:10" x14ac:dyDescent="0.4">
      <c r="J3620" s="140"/>
    </row>
    <row r="3621" spans="10:10" x14ac:dyDescent="0.4">
      <c r="J3621" s="140"/>
    </row>
    <row r="3622" spans="10:10" x14ac:dyDescent="0.4">
      <c r="J3622" s="140"/>
    </row>
    <row r="3623" spans="10:10" x14ac:dyDescent="0.4">
      <c r="J3623" s="140"/>
    </row>
    <row r="3624" spans="10:10" x14ac:dyDescent="0.4">
      <c r="J3624" s="140"/>
    </row>
    <row r="3625" spans="10:10" x14ac:dyDescent="0.4">
      <c r="J3625" s="140"/>
    </row>
    <row r="3626" spans="10:10" x14ac:dyDescent="0.4">
      <c r="J3626" s="140"/>
    </row>
    <row r="3627" spans="10:10" x14ac:dyDescent="0.4">
      <c r="J3627" s="140"/>
    </row>
    <row r="3628" spans="10:10" x14ac:dyDescent="0.4">
      <c r="J3628" s="140"/>
    </row>
    <row r="3629" spans="10:10" x14ac:dyDescent="0.4">
      <c r="J3629" s="140"/>
    </row>
    <row r="3630" spans="10:10" x14ac:dyDescent="0.4">
      <c r="J3630" s="140"/>
    </row>
    <row r="3631" spans="10:10" x14ac:dyDescent="0.4">
      <c r="J3631" s="140"/>
    </row>
    <row r="3632" spans="10:10" x14ac:dyDescent="0.4">
      <c r="J3632" s="140"/>
    </row>
    <row r="3633" spans="10:10" x14ac:dyDescent="0.4">
      <c r="J3633" s="140"/>
    </row>
    <row r="3634" spans="10:10" x14ac:dyDescent="0.4">
      <c r="J3634" s="140"/>
    </row>
    <row r="3635" spans="10:10" x14ac:dyDescent="0.4">
      <c r="J3635" s="140"/>
    </row>
    <row r="3636" spans="10:10" x14ac:dyDescent="0.4">
      <c r="J3636" s="140"/>
    </row>
    <row r="3637" spans="10:10" x14ac:dyDescent="0.4">
      <c r="J3637" s="140"/>
    </row>
    <row r="3638" spans="10:10" x14ac:dyDescent="0.4">
      <c r="J3638" s="140"/>
    </row>
    <row r="3639" spans="10:10" x14ac:dyDescent="0.4">
      <c r="J3639" s="140"/>
    </row>
    <row r="3640" spans="10:10" x14ac:dyDescent="0.4">
      <c r="J3640" s="140"/>
    </row>
    <row r="3641" spans="10:10" x14ac:dyDescent="0.4">
      <c r="J3641" s="140"/>
    </row>
    <row r="3642" spans="10:10" x14ac:dyDescent="0.4">
      <c r="J3642" s="140"/>
    </row>
    <row r="3643" spans="10:10" x14ac:dyDescent="0.4">
      <c r="J3643" s="140"/>
    </row>
    <row r="3644" spans="10:10" x14ac:dyDescent="0.4">
      <c r="J3644" s="140"/>
    </row>
    <row r="3645" spans="10:10" x14ac:dyDescent="0.4">
      <c r="J3645" s="140"/>
    </row>
    <row r="3646" spans="10:10" x14ac:dyDescent="0.4">
      <c r="J3646" s="140"/>
    </row>
    <row r="3647" spans="10:10" x14ac:dyDescent="0.4">
      <c r="J3647" s="140"/>
    </row>
    <row r="3648" spans="10:10" x14ac:dyDescent="0.4">
      <c r="J3648" s="140"/>
    </row>
    <row r="3649" spans="10:10" x14ac:dyDescent="0.4">
      <c r="J3649" s="140"/>
    </row>
    <row r="3650" spans="10:10" x14ac:dyDescent="0.4">
      <c r="J3650" s="140"/>
    </row>
    <row r="3651" spans="10:10" x14ac:dyDescent="0.4">
      <c r="J3651" s="140"/>
    </row>
    <row r="3652" spans="10:10" x14ac:dyDescent="0.4">
      <c r="J3652" s="140"/>
    </row>
    <row r="3653" spans="10:10" x14ac:dyDescent="0.4">
      <c r="J3653" s="140"/>
    </row>
    <row r="3654" spans="10:10" x14ac:dyDescent="0.4">
      <c r="J3654" s="140"/>
    </row>
    <row r="3655" spans="10:10" x14ac:dyDescent="0.4">
      <c r="J3655" s="140"/>
    </row>
    <row r="3656" spans="10:10" x14ac:dyDescent="0.4">
      <c r="J3656" s="140"/>
    </row>
    <row r="3657" spans="10:10" x14ac:dyDescent="0.4">
      <c r="J3657" s="140"/>
    </row>
    <row r="3658" spans="10:10" x14ac:dyDescent="0.4">
      <c r="J3658" s="140"/>
    </row>
    <row r="3659" spans="10:10" x14ac:dyDescent="0.4">
      <c r="J3659" s="140"/>
    </row>
    <row r="3660" spans="10:10" x14ac:dyDescent="0.4">
      <c r="J3660" s="140"/>
    </row>
    <row r="3661" spans="10:10" x14ac:dyDescent="0.4">
      <c r="J3661" s="140"/>
    </row>
    <row r="3662" spans="10:10" x14ac:dyDescent="0.4">
      <c r="J3662" s="140"/>
    </row>
    <row r="3663" spans="10:10" x14ac:dyDescent="0.4">
      <c r="J3663" s="140"/>
    </row>
    <row r="3664" spans="10:10" x14ac:dyDescent="0.4">
      <c r="J3664" s="140"/>
    </row>
    <row r="3665" spans="10:10" x14ac:dyDescent="0.4">
      <c r="J3665" s="140"/>
    </row>
    <row r="3666" spans="10:10" x14ac:dyDescent="0.4">
      <c r="J3666" s="140"/>
    </row>
    <row r="3667" spans="10:10" x14ac:dyDescent="0.4">
      <c r="J3667" s="140"/>
    </row>
    <row r="3668" spans="10:10" x14ac:dyDescent="0.4">
      <c r="J3668" s="140"/>
    </row>
    <row r="3669" spans="10:10" x14ac:dyDescent="0.4">
      <c r="J3669" s="140"/>
    </row>
    <row r="3670" spans="10:10" x14ac:dyDescent="0.4">
      <c r="J3670" s="140"/>
    </row>
    <row r="3671" spans="10:10" x14ac:dyDescent="0.4">
      <c r="J3671" s="140"/>
    </row>
    <row r="3672" spans="10:10" x14ac:dyDescent="0.4">
      <c r="J3672" s="140"/>
    </row>
    <row r="3673" spans="10:10" x14ac:dyDescent="0.4">
      <c r="J3673" s="140"/>
    </row>
    <row r="3674" spans="10:10" x14ac:dyDescent="0.4">
      <c r="J3674" s="140"/>
    </row>
    <row r="3675" spans="10:10" x14ac:dyDescent="0.4">
      <c r="J3675" s="140"/>
    </row>
    <row r="3676" spans="10:10" x14ac:dyDescent="0.4">
      <c r="J3676" s="140"/>
    </row>
    <row r="3677" spans="10:10" x14ac:dyDescent="0.4">
      <c r="J3677" s="140"/>
    </row>
    <row r="3678" spans="10:10" x14ac:dyDescent="0.4">
      <c r="J3678" s="140"/>
    </row>
    <row r="3679" spans="10:10" x14ac:dyDescent="0.4">
      <c r="J3679" s="140"/>
    </row>
    <row r="3680" spans="10:10" x14ac:dyDescent="0.4">
      <c r="J3680" s="140"/>
    </row>
    <row r="3681" spans="10:10" x14ac:dyDescent="0.4">
      <c r="J3681" s="140"/>
    </row>
    <row r="3682" spans="10:10" x14ac:dyDescent="0.4">
      <c r="J3682" s="140"/>
    </row>
    <row r="3683" spans="10:10" x14ac:dyDescent="0.4">
      <c r="J3683" s="140"/>
    </row>
    <row r="3684" spans="10:10" x14ac:dyDescent="0.4">
      <c r="J3684" s="140"/>
    </row>
    <row r="3685" spans="10:10" x14ac:dyDescent="0.4">
      <c r="J3685" s="140"/>
    </row>
    <row r="3686" spans="10:10" x14ac:dyDescent="0.4">
      <c r="J3686" s="140"/>
    </row>
    <row r="3687" spans="10:10" x14ac:dyDescent="0.4">
      <c r="J3687" s="140"/>
    </row>
    <row r="3688" spans="10:10" x14ac:dyDescent="0.4">
      <c r="J3688" s="140"/>
    </row>
    <row r="3689" spans="10:10" x14ac:dyDescent="0.4">
      <c r="J3689" s="140"/>
    </row>
    <row r="3690" spans="10:10" x14ac:dyDescent="0.4">
      <c r="J3690" s="140"/>
    </row>
    <row r="3691" spans="10:10" x14ac:dyDescent="0.4">
      <c r="J3691" s="140"/>
    </row>
    <row r="3692" spans="10:10" x14ac:dyDescent="0.4">
      <c r="J3692" s="140"/>
    </row>
    <row r="3693" spans="10:10" x14ac:dyDescent="0.4">
      <c r="J3693" s="140"/>
    </row>
    <row r="3694" spans="10:10" x14ac:dyDescent="0.4">
      <c r="J3694" s="140"/>
    </row>
    <row r="3695" spans="10:10" x14ac:dyDescent="0.4">
      <c r="J3695" s="140"/>
    </row>
    <row r="3696" spans="10:10" x14ac:dyDescent="0.4">
      <c r="J3696" s="140"/>
    </row>
    <row r="3697" spans="10:10" x14ac:dyDescent="0.4">
      <c r="J3697" s="140"/>
    </row>
    <row r="3698" spans="10:10" x14ac:dyDescent="0.4">
      <c r="J3698" s="140"/>
    </row>
    <row r="3699" spans="10:10" x14ac:dyDescent="0.4">
      <c r="J3699" s="140"/>
    </row>
    <row r="3700" spans="10:10" x14ac:dyDescent="0.4">
      <c r="J3700" s="140"/>
    </row>
    <row r="3701" spans="10:10" x14ac:dyDescent="0.4">
      <c r="J3701" s="140"/>
    </row>
    <row r="3702" spans="10:10" x14ac:dyDescent="0.4">
      <c r="J3702" s="140"/>
    </row>
    <row r="3703" spans="10:10" x14ac:dyDescent="0.4">
      <c r="J3703" s="140"/>
    </row>
    <row r="3704" spans="10:10" x14ac:dyDescent="0.4">
      <c r="J3704" s="140"/>
    </row>
    <row r="3705" spans="10:10" x14ac:dyDescent="0.4">
      <c r="J3705" s="140"/>
    </row>
    <row r="3706" spans="10:10" x14ac:dyDescent="0.4">
      <c r="J3706" s="140"/>
    </row>
    <row r="3707" spans="10:10" x14ac:dyDescent="0.4">
      <c r="J3707" s="140"/>
    </row>
    <row r="3708" spans="10:10" x14ac:dyDescent="0.4">
      <c r="J3708" s="140"/>
    </row>
    <row r="3709" spans="10:10" x14ac:dyDescent="0.4">
      <c r="J3709" s="140"/>
    </row>
    <row r="3710" spans="10:10" x14ac:dyDescent="0.4">
      <c r="J3710" s="140"/>
    </row>
    <row r="3711" spans="10:10" x14ac:dyDescent="0.4">
      <c r="J3711" s="140"/>
    </row>
    <row r="3712" spans="10:10" x14ac:dyDescent="0.4">
      <c r="J3712" s="140"/>
    </row>
    <row r="3713" spans="10:10" x14ac:dyDescent="0.4">
      <c r="J3713" s="140"/>
    </row>
    <row r="3714" spans="10:10" x14ac:dyDescent="0.4">
      <c r="J3714" s="140"/>
    </row>
    <row r="3715" spans="10:10" x14ac:dyDescent="0.4">
      <c r="J3715" s="140"/>
    </row>
    <row r="3716" spans="10:10" x14ac:dyDescent="0.4">
      <c r="J3716" s="140"/>
    </row>
    <row r="3717" spans="10:10" x14ac:dyDescent="0.4">
      <c r="J3717" s="140"/>
    </row>
    <row r="3718" spans="10:10" x14ac:dyDescent="0.4">
      <c r="J3718" s="140"/>
    </row>
    <row r="3719" spans="10:10" x14ac:dyDescent="0.4">
      <c r="J3719" s="140"/>
    </row>
    <row r="3720" spans="10:10" x14ac:dyDescent="0.4">
      <c r="J3720" s="140"/>
    </row>
    <row r="3721" spans="10:10" x14ac:dyDescent="0.4">
      <c r="J3721" s="140"/>
    </row>
    <row r="3722" spans="10:10" x14ac:dyDescent="0.4">
      <c r="J3722" s="140"/>
    </row>
    <row r="3723" spans="10:10" x14ac:dyDescent="0.4">
      <c r="J3723" s="140"/>
    </row>
    <row r="3724" spans="10:10" x14ac:dyDescent="0.4">
      <c r="J3724" s="140"/>
    </row>
    <row r="3725" spans="10:10" x14ac:dyDescent="0.4">
      <c r="J3725" s="140"/>
    </row>
    <row r="3726" spans="10:10" x14ac:dyDescent="0.4">
      <c r="J3726" s="140"/>
    </row>
    <row r="3727" spans="10:10" x14ac:dyDescent="0.4">
      <c r="J3727" s="140"/>
    </row>
    <row r="3728" spans="10:10" x14ac:dyDescent="0.4">
      <c r="J3728" s="140"/>
    </row>
    <row r="3729" spans="10:10" x14ac:dyDescent="0.4">
      <c r="J3729" s="140"/>
    </row>
    <row r="3730" spans="10:10" x14ac:dyDescent="0.4">
      <c r="J3730" s="140"/>
    </row>
    <row r="3731" spans="10:10" x14ac:dyDescent="0.4">
      <c r="J3731" s="140"/>
    </row>
    <row r="3732" spans="10:10" x14ac:dyDescent="0.4">
      <c r="J3732" s="140"/>
    </row>
    <row r="3733" spans="10:10" x14ac:dyDescent="0.4">
      <c r="J3733" s="140"/>
    </row>
    <row r="3734" spans="10:10" x14ac:dyDescent="0.4">
      <c r="J3734" s="140"/>
    </row>
    <row r="3735" spans="10:10" x14ac:dyDescent="0.4">
      <c r="J3735" s="140"/>
    </row>
    <row r="3736" spans="10:10" x14ac:dyDescent="0.4">
      <c r="J3736" s="140"/>
    </row>
    <row r="3737" spans="10:10" x14ac:dyDescent="0.4">
      <c r="J3737" s="140"/>
    </row>
    <row r="3738" spans="10:10" x14ac:dyDescent="0.4">
      <c r="J3738" s="140"/>
    </row>
    <row r="3739" spans="10:10" x14ac:dyDescent="0.4">
      <c r="J3739" s="140"/>
    </row>
    <row r="3740" spans="10:10" x14ac:dyDescent="0.4">
      <c r="J3740" s="140"/>
    </row>
    <row r="3741" spans="10:10" x14ac:dyDescent="0.4">
      <c r="J3741" s="140"/>
    </row>
    <row r="3742" spans="10:10" x14ac:dyDescent="0.4">
      <c r="J3742" s="140"/>
    </row>
    <row r="3743" spans="10:10" x14ac:dyDescent="0.4">
      <c r="J3743" s="140"/>
    </row>
    <row r="3744" spans="10:10" x14ac:dyDescent="0.4">
      <c r="J3744" s="140"/>
    </row>
    <row r="3745" spans="10:10" x14ac:dyDescent="0.4">
      <c r="J3745" s="140"/>
    </row>
    <row r="3746" spans="10:10" x14ac:dyDescent="0.4">
      <c r="J3746" s="140"/>
    </row>
    <row r="3747" spans="10:10" x14ac:dyDescent="0.4">
      <c r="J3747" s="140"/>
    </row>
    <row r="3748" spans="10:10" x14ac:dyDescent="0.4">
      <c r="J3748" s="140"/>
    </row>
    <row r="3749" spans="10:10" x14ac:dyDescent="0.4">
      <c r="J3749" s="140"/>
    </row>
    <row r="3750" spans="10:10" x14ac:dyDescent="0.4">
      <c r="J3750" s="140"/>
    </row>
    <row r="3751" spans="10:10" x14ac:dyDescent="0.4">
      <c r="J3751" s="140"/>
    </row>
    <row r="3752" spans="10:10" x14ac:dyDescent="0.4">
      <c r="J3752" s="140"/>
    </row>
    <row r="3753" spans="10:10" x14ac:dyDescent="0.4">
      <c r="J3753" s="140"/>
    </row>
    <row r="3754" spans="10:10" x14ac:dyDescent="0.4">
      <c r="J3754" s="140"/>
    </row>
    <row r="3755" spans="10:10" x14ac:dyDescent="0.4">
      <c r="J3755" s="140"/>
    </row>
    <row r="3756" spans="10:10" x14ac:dyDescent="0.4">
      <c r="J3756" s="140"/>
    </row>
    <row r="3757" spans="10:10" x14ac:dyDescent="0.4">
      <c r="J3757" s="140"/>
    </row>
    <row r="3758" spans="10:10" x14ac:dyDescent="0.4">
      <c r="J3758" s="140"/>
    </row>
    <row r="3759" spans="10:10" x14ac:dyDescent="0.4">
      <c r="J3759" s="140"/>
    </row>
    <row r="3760" spans="10:10" x14ac:dyDescent="0.4">
      <c r="J3760" s="140"/>
    </row>
    <row r="3761" spans="10:10" x14ac:dyDescent="0.4">
      <c r="J3761" s="140"/>
    </row>
    <row r="3762" spans="10:10" x14ac:dyDescent="0.4">
      <c r="J3762" s="140"/>
    </row>
    <row r="3763" spans="10:10" x14ac:dyDescent="0.4">
      <c r="J3763" s="140"/>
    </row>
    <row r="3764" spans="10:10" x14ac:dyDescent="0.4">
      <c r="J3764" s="140"/>
    </row>
    <row r="3765" spans="10:10" x14ac:dyDescent="0.4">
      <c r="J3765" s="140"/>
    </row>
    <row r="3766" spans="10:10" x14ac:dyDescent="0.4">
      <c r="J3766" s="140"/>
    </row>
    <row r="3767" spans="10:10" x14ac:dyDescent="0.4">
      <c r="J3767" s="140"/>
    </row>
    <row r="3768" spans="10:10" x14ac:dyDescent="0.4">
      <c r="J3768" s="140"/>
    </row>
    <row r="3769" spans="10:10" x14ac:dyDescent="0.4">
      <c r="J3769" s="140"/>
    </row>
    <row r="3770" spans="10:10" x14ac:dyDescent="0.4">
      <c r="J3770" s="140"/>
    </row>
    <row r="3771" spans="10:10" x14ac:dyDescent="0.4">
      <c r="J3771" s="140"/>
    </row>
    <row r="3772" spans="10:10" x14ac:dyDescent="0.4">
      <c r="J3772" s="140"/>
    </row>
    <row r="3773" spans="10:10" x14ac:dyDescent="0.4">
      <c r="J3773" s="140"/>
    </row>
    <row r="3774" spans="10:10" x14ac:dyDescent="0.4">
      <c r="J3774" s="140"/>
    </row>
    <row r="3775" spans="10:10" x14ac:dyDescent="0.4">
      <c r="J3775" s="140"/>
    </row>
    <row r="3776" spans="10:10" x14ac:dyDescent="0.4">
      <c r="J3776" s="140"/>
    </row>
    <row r="3777" spans="10:10" x14ac:dyDescent="0.4">
      <c r="J3777" s="140"/>
    </row>
    <row r="3778" spans="10:10" x14ac:dyDescent="0.4">
      <c r="J3778" s="140"/>
    </row>
    <row r="3779" spans="10:10" x14ac:dyDescent="0.4">
      <c r="J3779" s="140"/>
    </row>
    <row r="3780" spans="10:10" x14ac:dyDescent="0.4">
      <c r="J3780" s="140"/>
    </row>
    <row r="3781" spans="10:10" x14ac:dyDescent="0.4">
      <c r="J3781" s="140"/>
    </row>
    <row r="3782" spans="10:10" x14ac:dyDescent="0.4">
      <c r="J3782" s="140"/>
    </row>
    <row r="3783" spans="10:10" x14ac:dyDescent="0.4">
      <c r="J3783" s="140"/>
    </row>
    <row r="3784" spans="10:10" x14ac:dyDescent="0.4">
      <c r="J3784" s="140"/>
    </row>
    <row r="3785" spans="10:10" x14ac:dyDescent="0.4">
      <c r="J3785" s="140"/>
    </row>
    <row r="3786" spans="10:10" x14ac:dyDescent="0.4">
      <c r="J3786" s="140"/>
    </row>
    <row r="3787" spans="10:10" x14ac:dyDescent="0.4">
      <c r="J3787" s="140"/>
    </row>
    <row r="3788" spans="10:10" x14ac:dyDescent="0.4">
      <c r="J3788" s="140"/>
    </row>
    <row r="3789" spans="10:10" x14ac:dyDescent="0.4">
      <c r="J3789" s="140"/>
    </row>
    <row r="3790" spans="10:10" x14ac:dyDescent="0.4">
      <c r="J3790" s="140"/>
    </row>
    <row r="3791" spans="10:10" x14ac:dyDescent="0.4">
      <c r="J3791" s="140"/>
    </row>
    <row r="3792" spans="10:10" x14ac:dyDescent="0.4">
      <c r="J3792" s="140"/>
    </row>
    <row r="3793" spans="10:10" x14ac:dyDescent="0.4">
      <c r="J3793" s="140"/>
    </row>
    <row r="3794" spans="10:10" x14ac:dyDescent="0.4">
      <c r="J3794" s="140"/>
    </row>
    <row r="3795" spans="10:10" x14ac:dyDescent="0.4">
      <c r="J3795" s="140"/>
    </row>
    <row r="3796" spans="10:10" x14ac:dyDescent="0.4">
      <c r="J3796" s="140"/>
    </row>
    <row r="3797" spans="10:10" x14ac:dyDescent="0.4">
      <c r="J3797" s="140"/>
    </row>
    <row r="3798" spans="10:10" x14ac:dyDescent="0.4">
      <c r="J3798" s="140"/>
    </row>
    <row r="3799" spans="10:10" x14ac:dyDescent="0.4">
      <c r="J3799" s="140"/>
    </row>
    <row r="3800" spans="10:10" x14ac:dyDescent="0.4">
      <c r="J3800" s="140"/>
    </row>
    <row r="3801" spans="10:10" x14ac:dyDescent="0.4">
      <c r="J3801" s="140"/>
    </row>
    <row r="3802" spans="10:10" x14ac:dyDescent="0.4">
      <c r="J3802" s="140"/>
    </row>
    <row r="3803" spans="10:10" x14ac:dyDescent="0.4">
      <c r="J3803" s="140"/>
    </row>
    <row r="3804" spans="10:10" x14ac:dyDescent="0.4">
      <c r="J3804" s="140"/>
    </row>
    <row r="3805" spans="10:10" x14ac:dyDescent="0.4">
      <c r="J3805" s="140"/>
    </row>
    <row r="3806" spans="10:10" x14ac:dyDescent="0.4">
      <c r="J3806" s="140"/>
    </row>
    <row r="3807" spans="10:10" x14ac:dyDescent="0.4">
      <c r="J3807" s="140"/>
    </row>
    <row r="3808" spans="10:10" x14ac:dyDescent="0.4">
      <c r="J3808" s="140"/>
    </row>
    <row r="3809" spans="10:10" x14ac:dyDescent="0.4">
      <c r="J3809" s="140"/>
    </row>
    <row r="3810" spans="10:10" x14ac:dyDescent="0.4">
      <c r="J3810" s="140"/>
    </row>
    <row r="3811" spans="10:10" x14ac:dyDescent="0.4">
      <c r="J3811" s="140"/>
    </row>
    <row r="3812" spans="10:10" x14ac:dyDescent="0.4">
      <c r="J3812" s="140"/>
    </row>
    <row r="3813" spans="10:10" x14ac:dyDescent="0.4">
      <c r="J3813" s="140"/>
    </row>
    <row r="3814" spans="10:10" x14ac:dyDescent="0.4">
      <c r="J3814" s="140"/>
    </row>
    <row r="3815" spans="10:10" x14ac:dyDescent="0.4">
      <c r="J3815" s="140"/>
    </row>
    <row r="3816" spans="10:10" x14ac:dyDescent="0.4">
      <c r="J3816" s="140"/>
    </row>
    <row r="3817" spans="10:10" x14ac:dyDescent="0.4">
      <c r="J3817" s="140"/>
    </row>
    <row r="3818" spans="10:10" x14ac:dyDescent="0.4">
      <c r="J3818" s="140"/>
    </row>
    <row r="3819" spans="10:10" x14ac:dyDescent="0.4">
      <c r="J3819" s="140"/>
    </row>
    <row r="3820" spans="10:10" x14ac:dyDescent="0.4">
      <c r="J3820" s="140"/>
    </row>
    <row r="3821" spans="10:10" x14ac:dyDescent="0.4">
      <c r="J3821" s="140"/>
    </row>
    <row r="3822" spans="10:10" x14ac:dyDescent="0.4">
      <c r="J3822" s="140"/>
    </row>
    <row r="3823" spans="10:10" x14ac:dyDescent="0.4">
      <c r="J3823" s="140"/>
    </row>
    <row r="3824" spans="10:10" x14ac:dyDescent="0.4">
      <c r="J3824" s="140"/>
    </row>
    <row r="3825" spans="10:10" x14ac:dyDescent="0.4">
      <c r="J3825" s="140"/>
    </row>
    <row r="3826" spans="10:10" x14ac:dyDescent="0.4">
      <c r="J3826" s="140"/>
    </row>
    <row r="3827" spans="10:10" x14ac:dyDescent="0.4">
      <c r="J3827" s="140"/>
    </row>
    <row r="3828" spans="10:10" x14ac:dyDescent="0.4">
      <c r="J3828" s="140"/>
    </row>
    <row r="3829" spans="10:10" x14ac:dyDescent="0.4">
      <c r="J3829" s="140"/>
    </row>
    <row r="3830" spans="10:10" x14ac:dyDescent="0.4">
      <c r="J3830" s="140"/>
    </row>
    <row r="3831" spans="10:10" x14ac:dyDescent="0.4">
      <c r="J3831" s="140"/>
    </row>
    <row r="3832" spans="10:10" x14ac:dyDescent="0.4">
      <c r="J3832" s="140"/>
    </row>
    <row r="3833" spans="10:10" x14ac:dyDescent="0.4">
      <c r="J3833" s="140"/>
    </row>
    <row r="3834" spans="10:10" x14ac:dyDescent="0.4">
      <c r="J3834" s="140"/>
    </row>
    <row r="3835" spans="10:10" x14ac:dyDescent="0.4">
      <c r="J3835" s="140"/>
    </row>
    <row r="3836" spans="10:10" x14ac:dyDescent="0.4">
      <c r="J3836" s="140"/>
    </row>
    <row r="3837" spans="10:10" x14ac:dyDescent="0.4">
      <c r="J3837" s="140"/>
    </row>
    <row r="3838" spans="10:10" x14ac:dyDescent="0.4">
      <c r="J3838" s="140"/>
    </row>
    <row r="3839" spans="10:10" x14ac:dyDescent="0.4">
      <c r="J3839" s="140"/>
    </row>
    <row r="3840" spans="10:10" x14ac:dyDescent="0.4">
      <c r="J3840" s="140"/>
    </row>
    <row r="3841" spans="10:10" x14ac:dyDescent="0.4">
      <c r="J3841" s="140"/>
    </row>
    <row r="3842" spans="10:10" x14ac:dyDescent="0.4">
      <c r="J3842" s="140"/>
    </row>
    <row r="3843" spans="10:10" x14ac:dyDescent="0.4">
      <c r="J3843" s="140"/>
    </row>
    <row r="3844" spans="10:10" x14ac:dyDescent="0.4">
      <c r="J3844" s="140"/>
    </row>
    <row r="3845" spans="10:10" x14ac:dyDescent="0.4">
      <c r="J3845" s="140"/>
    </row>
    <row r="3846" spans="10:10" x14ac:dyDescent="0.4">
      <c r="J3846" s="140"/>
    </row>
    <row r="3847" spans="10:10" x14ac:dyDescent="0.4">
      <c r="J3847" s="140"/>
    </row>
    <row r="3848" spans="10:10" x14ac:dyDescent="0.4">
      <c r="J3848" s="140"/>
    </row>
    <row r="3849" spans="10:10" x14ac:dyDescent="0.4">
      <c r="J3849" s="140"/>
    </row>
    <row r="3850" spans="10:10" x14ac:dyDescent="0.4">
      <c r="J3850" s="140"/>
    </row>
    <row r="3851" spans="10:10" x14ac:dyDescent="0.4">
      <c r="J3851" s="140"/>
    </row>
    <row r="3852" spans="10:10" x14ac:dyDescent="0.4">
      <c r="J3852" s="140"/>
    </row>
    <row r="3853" spans="10:10" x14ac:dyDescent="0.4">
      <c r="J3853" s="140"/>
    </row>
    <row r="3854" spans="10:10" x14ac:dyDescent="0.4">
      <c r="J3854" s="140"/>
    </row>
    <row r="3855" spans="10:10" x14ac:dyDescent="0.4">
      <c r="J3855" s="140"/>
    </row>
    <row r="3856" spans="10:10" x14ac:dyDescent="0.4">
      <c r="J3856" s="140"/>
    </row>
    <row r="3857" spans="10:10" x14ac:dyDescent="0.4">
      <c r="J3857" s="140"/>
    </row>
    <row r="3858" spans="10:10" x14ac:dyDescent="0.4">
      <c r="J3858" s="140"/>
    </row>
    <row r="3859" spans="10:10" x14ac:dyDescent="0.4">
      <c r="J3859" s="140"/>
    </row>
    <row r="3860" spans="10:10" x14ac:dyDescent="0.4">
      <c r="J3860" s="140"/>
    </row>
    <row r="3861" spans="10:10" x14ac:dyDescent="0.4">
      <c r="J3861" s="140"/>
    </row>
    <row r="3862" spans="10:10" x14ac:dyDescent="0.4">
      <c r="J3862" s="140"/>
    </row>
    <row r="3863" spans="10:10" x14ac:dyDescent="0.4">
      <c r="J3863" s="140"/>
    </row>
    <row r="3864" spans="10:10" x14ac:dyDescent="0.4">
      <c r="J3864" s="140"/>
    </row>
    <row r="3865" spans="10:10" x14ac:dyDescent="0.4">
      <c r="J3865" s="140"/>
    </row>
    <row r="3866" spans="10:10" x14ac:dyDescent="0.4">
      <c r="J3866" s="140"/>
    </row>
    <row r="3867" spans="10:10" x14ac:dyDescent="0.4">
      <c r="J3867" s="140"/>
    </row>
    <row r="3868" spans="10:10" x14ac:dyDescent="0.4">
      <c r="J3868" s="140"/>
    </row>
    <row r="3869" spans="10:10" x14ac:dyDescent="0.4">
      <c r="J3869" s="140"/>
    </row>
    <row r="3870" spans="10:10" x14ac:dyDescent="0.4">
      <c r="J3870" s="140"/>
    </row>
    <row r="3871" spans="10:10" x14ac:dyDescent="0.4">
      <c r="J3871" s="140"/>
    </row>
    <row r="3872" spans="10:10" x14ac:dyDescent="0.4">
      <c r="J3872" s="140"/>
    </row>
    <row r="3873" spans="10:10" x14ac:dyDescent="0.4">
      <c r="J3873" s="140"/>
    </row>
    <row r="3874" spans="10:10" x14ac:dyDescent="0.4">
      <c r="J3874" s="140"/>
    </row>
    <row r="3875" spans="10:10" x14ac:dyDescent="0.4">
      <c r="J3875" s="140"/>
    </row>
    <row r="3876" spans="10:10" x14ac:dyDescent="0.4">
      <c r="J3876" s="140"/>
    </row>
    <row r="3877" spans="10:10" x14ac:dyDescent="0.4">
      <c r="J3877" s="140"/>
    </row>
    <row r="3878" spans="10:10" x14ac:dyDescent="0.4">
      <c r="J3878" s="140"/>
    </row>
    <row r="3879" spans="10:10" x14ac:dyDescent="0.4">
      <c r="J3879" s="140"/>
    </row>
    <row r="3880" spans="10:10" x14ac:dyDescent="0.4">
      <c r="J3880" s="140"/>
    </row>
    <row r="3881" spans="10:10" x14ac:dyDescent="0.4">
      <c r="J3881" s="140"/>
    </row>
    <row r="3882" spans="10:10" x14ac:dyDescent="0.4">
      <c r="J3882" s="140"/>
    </row>
    <row r="3883" spans="10:10" x14ac:dyDescent="0.4">
      <c r="J3883" s="140"/>
    </row>
    <row r="3884" spans="10:10" x14ac:dyDescent="0.4">
      <c r="J3884" s="140"/>
    </row>
    <row r="3885" spans="10:10" x14ac:dyDescent="0.4">
      <c r="J3885" s="140"/>
    </row>
    <row r="3886" spans="10:10" x14ac:dyDescent="0.4">
      <c r="J3886" s="140"/>
    </row>
    <row r="3887" spans="10:10" x14ac:dyDescent="0.4">
      <c r="J3887" s="140"/>
    </row>
    <row r="3888" spans="10:10" x14ac:dyDescent="0.4">
      <c r="J3888" s="140"/>
    </row>
    <row r="3889" spans="10:10" x14ac:dyDescent="0.4">
      <c r="J3889" s="140"/>
    </row>
    <row r="3890" spans="10:10" x14ac:dyDescent="0.4">
      <c r="J3890" s="140"/>
    </row>
    <row r="3891" spans="10:10" x14ac:dyDescent="0.4">
      <c r="J3891" s="140"/>
    </row>
    <row r="3892" spans="10:10" x14ac:dyDescent="0.4">
      <c r="J3892" s="140"/>
    </row>
    <row r="3893" spans="10:10" x14ac:dyDescent="0.4">
      <c r="J3893" s="140"/>
    </row>
    <row r="3894" spans="10:10" x14ac:dyDescent="0.4">
      <c r="J3894" s="140"/>
    </row>
    <row r="3895" spans="10:10" x14ac:dyDescent="0.4">
      <c r="J3895" s="140"/>
    </row>
    <row r="3896" spans="10:10" x14ac:dyDescent="0.4">
      <c r="J3896" s="140"/>
    </row>
    <row r="3897" spans="10:10" x14ac:dyDescent="0.4">
      <c r="J3897" s="140"/>
    </row>
    <row r="3898" spans="10:10" x14ac:dyDescent="0.4">
      <c r="J3898" s="140"/>
    </row>
    <row r="3899" spans="10:10" x14ac:dyDescent="0.4">
      <c r="J3899" s="140"/>
    </row>
    <row r="3900" spans="10:10" x14ac:dyDescent="0.4">
      <c r="J3900" s="140"/>
    </row>
    <row r="3901" spans="10:10" x14ac:dyDescent="0.4">
      <c r="J3901" s="140"/>
    </row>
    <row r="3902" spans="10:10" x14ac:dyDescent="0.4">
      <c r="J3902" s="140"/>
    </row>
    <row r="3903" spans="10:10" x14ac:dyDescent="0.4">
      <c r="J3903" s="140"/>
    </row>
    <row r="3904" spans="10:10" x14ac:dyDescent="0.4">
      <c r="J3904" s="140"/>
    </row>
    <row r="3905" spans="10:10" x14ac:dyDescent="0.4">
      <c r="J3905" s="140"/>
    </row>
    <row r="3906" spans="10:10" x14ac:dyDescent="0.4">
      <c r="J3906" s="140"/>
    </row>
    <row r="3907" spans="10:10" x14ac:dyDescent="0.4">
      <c r="J3907" s="140"/>
    </row>
    <row r="3908" spans="10:10" x14ac:dyDescent="0.4">
      <c r="J3908" s="140"/>
    </row>
    <row r="3909" spans="10:10" x14ac:dyDescent="0.4">
      <c r="J3909" s="140"/>
    </row>
    <row r="3910" spans="10:10" x14ac:dyDescent="0.4">
      <c r="J3910" s="140"/>
    </row>
    <row r="3911" spans="10:10" x14ac:dyDescent="0.4">
      <c r="J3911" s="140"/>
    </row>
    <row r="3912" spans="10:10" x14ac:dyDescent="0.4">
      <c r="J3912" s="140"/>
    </row>
    <row r="3913" spans="10:10" x14ac:dyDescent="0.4">
      <c r="J3913" s="140"/>
    </row>
    <row r="3914" spans="10:10" x14ac:dyDescent="0.4">
      <c r="J3914" s="140"/>
    </row>
    <row r="3915" spans="10:10" x14ac:dyDescent="0.4">
      <c r="J3915" s="140"/>
    </row>
    <row r="3916" spans="10:10" x14ac:dyDescent="0.4">
      <c r="J3916" s="140"/>
    </row>
    <row r="3917" spans="10:10" x14ac:dyDescent="0.4">
      <c r="J3917" s="140"/>
    </row>
    <row r="3918" spans="10:10" x14ac:dyDescent="0.4">
      <c r="J3918" s="140"/>
    </row>
    <row r="3919" spans="10:10" x14ac:dyDescent="0.4">
      <c r="J3919" s="140"/>
    </row>
    <row r="3920" spans="10:10" x14ac:dyDescent="0.4">
      <c r="J3920" s="140"/>
    </row>
    <row r="3921" spans="10:10" x14ac:dyDescent="0.4">
      <c r="J3921" s="140"/>
    </row>
    <row r="3922" spans="10:10" x14ac:dyDescent="0.4">
      <c r="J3922" s="140"/>
    </row>
    <row r="3923" spans="10:10" x14ac:dyDescent="0.4">
      <c r="J3923" s="140"/>
    </row>
    <row r="3924" spans="10:10" x14ac:dyDescent="0.4">
      <c r="J3924" s="140"/>
    </row>
    <row r="3925" spans="10:10" x14ac:dyDescent="0.4">
      <c r="J3925" s="140"/>
    </row>
    <row r="3926" spans="10:10" x14ac:dyDescent="0.4">
      <c r="J3926" s="140"/>
    </row>
    <row r="3927" spans="10:10" x14ac:dyDescent="0.4">
      <c r="J3927" s="140"/>
    </row>
    <row r="3928" spans="10:10" x14ac:dyDescent="0.4">
      <c r="J3928" s="140"/>
    </row>
    <row r="3929" spans="10:10" x14ac:dyDescent="0.4">
      <c r="J3929" s="140"/>
    </row>
    <row r="3930" spans="10:10" x14ac:dyDescent="0.4">
      <c r="J3930" s="140"/>
    </row>
    <row r="3931" spans="10:10" x14ac:dyDescent="0.4">
      <c r="J3931" s="140"/>
    </row>
    <row r="3932" spans="10:10" x14ac:dyDescent="0.4">
      <c r="J3932" s="140"/>
    </row>
    <row r="3933" spans="10:10" x14ac:dyDescent="0.4">
      <c r="J3933" s="140"/>
    </row>
    <row r="3934" spans="10:10" x14ac:dyDescent="0.4">
      <c r="J3934" s="140"/>
    </row>
    <row r="3935" spans="10:10" x14ac:dyDescent="0.4">
      <c r="J3935" s="140"/>
    </row>
    <row r="3936" spans="10:10" x14ac:dyDescent="0.4">
      <c r="J3936" s="140"/>
    </row>
    <row r="3937" spans="10:10" x14ac:dyDescent="0.4">
      <c r="J3937" s="140"/>
    </row>
    <row r="3938" spans="10:10" x14ac:dyDescent="0.4">
      <c r="J3938" s="140"/>
    </row>
    <row r="3939" spans="10:10" x14ac:dyDescent="0.4">
      <c r="J3939" s="140"/>
    </row>
    <row r="3940" spans="10:10" x14ac:dyDescent="0.4">
      <c r="J3940" s="140"/>
    </row>
    <row r="3941" spans="10:10" x14ac:dyDescent="0.4">
      <c r="J3941" s="140"/>
    </row>
    <row r="3942" spans="10:10" x14ac:dyDescent="0.4">
      <c r="J3942" s="140"/>
    </row>
    <row r="3943" spans="10:10" x14ac:dyDescent="0.4">
      <c r="J3943" s="140"/>
    </row>
    <row r="3944" spans="10:10" x14ac:dyDescent="0.4">
      <c r="J3944" s="140"/>
    </row>
    <row r="3945" spans="10:10" x14ac:dyDescent="0.4">
      <c r="J3945" s="140"/>
    </row>
    <row r="3946" spans="10:10" x14ac:dyDescent="0.4">
      <c r="J3946" s="140"/>
    </row>
    <row r="3947" spans="10:10" x14ac:dyDescent="0.4">
      <c r="J3947" s="140"/>
    </row>
    <row r="3948" spans="10:10" x14ac:dyDescent="0.4">
      <c r="J3948" s="140"/>
    </row>
    <row r="3949" spans="10:10" x14ac:dyDescent="0.4">
      <c r="J3949" s="140"/>
    </row>
    <row r="3950" spans="10:10" x14ac:dyDescent="0.4">
      <c r="J3950" s="140"/>
    </row>
    <row r="3951" spans="10:10" x14ac:dyDescent="0.4">
      <c r="J3951" s="140"/>
    </row>
    <row r="3952" spans="10:10" x14ac:dyDescent="0.4">
      <c r="J3952" s="140"/>
    </row>
    <row r="3953" spans="10:10" x14ac:dyDescent="0.4">
      <c r="J3953" s="140"/>
    </row>
    <row r="3954" spans="10:10" x14ac:dyDescent="0.4">
      <c r="J3954" s="140"/>
    </row>
    <row r="3955" spans="10:10" x14ac:dyDescent="0.4">
      <c r="J3955" s="140"/>
    </row>
    <row r="3956" spans="10:10" x14ac:dyDescent="0.4">
      <c r="J3956" s="140"/>
    </row>
    <row r="3957" spans="10:10" x14ac:dyDescent="0.4">
      <c r="J3957" s="140"/>
    </row>
    <row r="3958" spans="10:10" x14ac:dyDescent="0.4">
      <c r="J3958" s="140"/>
    </row>
    <row r="3959" spans="10:10" x14ac:dyDescent="0.4">
      <c r="J3959" s="140"/>
    </row>
    <row r="3960" spans="10:10" x14ac:dyDescent="0.4">
      <c r="J3960" s="140"/>
    </row>
    <row r="3961" spans="10:10" x14ac:dyDescent="0.4">
      <c r="J3961" s="140"/>
    </row>
    <row r="3962" spans="10:10" x14ac:dyDescent="0.4">
      <c r="J3962" s="140"/>
    </row>
    <row r="3963" spans="10:10" x14ac:dyDescent="0.4">
      <c r="J3963" s="140"/>
    </row>
    <row r="3964" spans="10:10" x14ac:dyDescent="0.4">
      <c r="J3964" s="140"/>
    </row>
    <row r="3965" spans="10:10" x14ac:dyDescent="0.4">
      <c r="J3965" s="140"/>
    </row>
    <row r="3966" spans="10:10" x14ac:dyDescent="0.4">
      <c r="J3966" s="140"/>
    </row>
    <row r="3967" spans="10:10" x14ac:dyDescent="0.4">
      <c r="J3967" s="140"/>
    </row>
    <row r="3968" spans="10:10" x14ac:dyDescent="0.4">
      <c r="J3968" s="140"/>
    </row>
    <row r="3969" spans="10:10" x14ac:dyDescent="0.4">
      <c r="J3969" s="140"/>
    </row>
    <row r="3970" spans="10:10" x14ac:dyDescent="0.4">
      <c r="J3970" s="140"/>
    </row>
    <row r="3971" spans="10:10" x14ac:dyDescent="0.4">
      <c r="J3971" s="140"/>
    </row>
    <row r="3972" spans="10:10" x14ac:dyDescent="0.4">
      <c r="J3972" s="140"/>
    </row>
    <row r="3973" spans="10:10" x14ac:dyDescent="0.4">
      <c r="J3973" s="140"/>
    </row>
    <row r="3974" spans="10:10" x14ac:dyDescent="0.4">
      <c r="J3974" s="140"/>
    </row>
    <row r="3975" spans="10:10" x14ac:dyDescent="0.4">
      <c r="J3975" s="140"/>
    </row>
    <row r="3976" spans="10:10" x14ac:dyDescent="0.4">
      <c r="J3976" s="140"/>
    </row>
    <row r="3977" spans="10:10" x14ac:dyDescent="0.4">
      <c r="J3977" s="140"/>
    </row>
    <row r="3978" spans="10:10" x14ac:dyDescent="0.4">
      <c r="J3978" s="140"/>
    </row>
    <row r="3979" spans="10:10" x14ac:dyDescent="0.4">
      <c r="J3979" s="140"/>
    </row>
    <row r="3980" spans="10:10" x14ac:dyDescent="0.4">
      <c r="J3980" s="140"/>
    </row>
    <row r="3981" spans="10:10" x14ac:dyDescent="0.4">
      <c r="J3981" s="140"/>
    </row>
    <row r="3982" spans="10:10" x14ac:dyDescent="0.4">
      <c r="J3982" s="140"/>
    </row>
    <row r="3983" spans="10:10" x14ac:dyDescent="0.4">
      <c r="J3983" s="140"/>
    </row>
    <row r="3984" spans="10:10" x14ac:dyDescent="0.4">
      <c r="J3984" s="140"/>
    </row>
    <row r="3985" spans="10:10" x14ac:dyDescent="0.4">
      <c r="J3985" s="140"/>
    </row>
    <row r="3986" spans="10:10" x14ac:dyDescent="0.4">
      <c r="J3986" s="140"/>
    </row>
    <row r="3987" spans="10:10" x14ac:dyDescent="0.4">
      <c r="J3987" s="140"/>
    </row>
    <row r="3988" spans="10:10" x14ac:dyDescent="0.4">
      <c r="J3988" s="140"/>
    </row>
    <row r="3989" spans="10:10" x14ac:dyDescent="0.4">
      <c r="J3989" s="140"/>
    </row>
    <row r="3990" spans="10:10" x14ac:dyDescent="0.4">
      <c r="J3990" s="140"/>
    </row>
    <row r="3991" spans="10:10" x14ac:dyDescent="0.4">
      <c r="J3991" s="140"/>
    </row>
    <row r="3992" spans="10:10" x14ac:dyDescent="0.4">
      <c r="J3992" s="140"/>
    </row>
    <row r="3993" spans="10:10" x14ac:dyDescent="0.4">
      <c r="J3993" s="140"/>
    </row>
    <row r="3994" spans="10:10" x14ac:dyDescent="0.4">
      <c r="J3994" s="140"/>
    </row>
    <row r="3995" spans="10:10" x14ac:dyDescent="0.4">
      <c r="J3995" s="140"/>
    </row>
    <row r="3996" spans="10:10" x14ac:dyDescent="0.4">
      <c r="J3996" s="140"/>
    </row>
    <row r="3997" spans="10:10" x14ac:dyDescent="0.4">
      <c r="J3997" s="140"/>
    </row>
    <row r="3998" spans="10:10" x14ac:dyDescent="0.4">
      <c r="J3998" s="140"/>
    </row>
    <row r="3999" spans="10:10" x14ac:dyDescent="0.4">
      <c r="J3999" s="140"/>
    </row>
    <row r="4000" spans="10:10" x14ac:dyDescent="0.4">
      <c r="J4000" s="140"/>
    </row>
    <row r="4001" spans="10:10" x14ac:dyDescent="0.4">
      <c r="J4001" s="140"/>
    </row>
    <row r="4002" spans="10:10" x14ac:dyDescent="0.4">
      <c r="J4002" s="140"/>
    </row>
    <row r="4003" spans="10:10" x14ac:dyDescent="0.4">
      <c r="J4003" s="140"/>
    </row>
    <row r="4004" spans="10:10" x14ac:dyDescent="0.4">
      <c r="J4004" s="140"/>
    </row>
    <row r="4005" spans="10:10" x14ac:dyDescent="0.4">
      <c r="J4005" s="140"/>
    </row>
    <row r="4006" spans="10:10" x14ac:dyDescent="0.4">
      <c r="J4006" s="140"/>
    </row>
    <row r="4007" spans="10:10" x14ac:dyDescent="0.4">
      <c r="J4007" s="140"/>
    </row>
    <row r="4008" spans="10:10" x14ac:dyDescent="0.4">
      <c r="J4008" s="140"/>
    </row>
    <row r="4009" spans="10:10" x14ac:dyDescent="0.4">
      <c r="J4009" s="140"/>
    </row>
    <row r="4010" spans="10:10" x14ac:dyDescent="0.4">
      <c r="J4010" s="140"/>
    </row>
    <row r="4011" spans="10:10" x14ac:dyDescent="0.4">
      <c r="J4011" s="140"/>
    </row>
    <row r="4012" spans="10:10" x14ac:dyDescent="0.4">
      <c r="J4012" s="140"/>
    </row>
    <row r="4013" spans="10:10" x14ac:dyDescent="0.4">
      <c r="J4013" s="140"/>
    </row>
    <row r="4014" spans="10:10" x14ac:dyDescent="0.4">
      <c r="J4014" s="140"/>
    </row>
    <row r="4015" spans="10:10" x14ac:dyDescent="0.4">
      <c r="J4015" s="140"/>
    </row>
    <row r="4016" spans="10:10" x14ac:dyDescent="0.4">
      <c r="J4016" s="140"/>
    </row>
    <row r="4017" spans="10:10" x14ac:dyDescent="0.4">
      <c r="J4017" s="140"/>
    </row>
    <row r="4018" spans="10:10" x14ac:dyDescent="0.4">
      <c r="J4018" s="140"/>
    </row>
    <row r="4019" spans="10:10" x14ac:dyDescent="0.4">
      <c r="J4019" s="140"/>
    </row>
    <row r="4020" spans="10:10" x14ac:dyDescent="0.4">
      <c r="J4020" s="140"/>
    </row>
    <row r="4021" spans="10:10" x14ac:dyDescent="0.4">
      <c r="J4021" s="140"/>
    </row>
    <row r="4022" spans="10:10" x14ac:dyDescent="0.4">
      <c r="J4022" s="140"/>
    </row>
    <row r="4023" spans="10:10" x14ac:dyDescent="0.4">
      <c r="J4023" s="140"/>
    </row>
    <row r="4024" spans="10:10" x14ac:dyDescent="0.4">
      <c r="J4024" s="140"/>
    </row>
    <row r="4025" spans="10:10" x14ac:dyDescent="0.4">
      <c r="J4025" s="140"/>
    </row>
    <row r="4026" spans="10:10" x14ac:dyDescent="0.4">
      <c r="J4026" s="140"/>
    </row>
    <row r="4027" spans="10:10" x14ac:dyDescent="0.4">
      <c r="J4027" s="140"/>
    </row>
    <row r="4028" spans="10:10" x14ac:dyDescent="0.4">
      <c r="J4028" s="140"/>
    </row>
    <row r="4029" spans="10:10" x14ac:dyDescent="0.4">
      <c r="J4029" s="140"/>
    </row>
    <row r="4030" spans="10:10" x14ac:dyDescent="0.4">
      <c r="J4030" s="140"/>
    </row>
    <row r="4031" spans="10:10" x14ac:dyDescent="0.4">
      <c r="J4031" s="140"/>
    </row>
    <row r="4032" spans="10:10" x14ac:dyDescent="0.4">
      <c r="J4032" s="140"/>
    </row>
    <row r="4033" spans="10:10" x14ac:dyDescent="0.4">
      <c r="J4033" s="140"/>
    </row>
    <row r="4034" spans="10:10" x14ac:dyDescent="0.4">
      <c r="J4034" s="140"/>
    </row>
    <row r="4035" spans="10:10" x14ac:dyDescent="0.4">
      <c r="J4035" s="140"/>
    </row>
    <row r="4036" spans="10:10" x14ac:dyDescent="0.4">
      <c r="J4036" s="140"/>
    </row>
    <row r="4037" spans="10:10" x14ac:dyDescent="0.4">
      <c r="J4037" s="140"/>
    </row>
    <row r="4038" spans="10:10" x14ac:dyDescent="0.4">
      <c r="J4038" s="140"/>
    </row>
    <row r="4039" spans="10:10" x14ac:dyDescent="0.4">
      <c r="J4039" s="140"/>
    </row>
    <row r="4040" spans="10:10" x14ac:dyDescent="0.4">
      <c r="J4040" s="140"/>
    </row>
    <row r="4041" spans="10:10" x14ac:dyDescent="0.4">
      <c r="J4041" s="140"/>
    </row>
    <row r="4042" spans="10:10" x14ac:dyDescent="0.4">
      <c r="J4042" s="140"/>
    </row>
    <row r="4043" spans="10:10" x14ac:dyDescent="0.4">
      <c r="J4043" s="140"/>
    </row>
    <row r="4044" spans="10:10" x14ac:dyDescent="0.4">
      <c r="J4044" s="140"/>
    </row>
    <row r="4045" spans="10:10" x14ac:dyDescent="0.4">
      <c r="J4045" s="140"/>
    </row>
    <row r="4046" spans="10:10" x14ac:dyDescent="0.4">
      <c r="J4046" s="140"/>
    </row>
    <row r="4047" spans="10:10" x14ac:dyDescent="0.4">
      <c r="J4047" s="140"/>
    </row>
    <row r="4048" spans="10:10" x14ac:dyDescent="0.4">
      <c r="J4048" s="140"/>
    </row>
    <row r="4049" spans="10:10" x14ac:dyDescent="0.4">
      <c r="J4049" s="140"/>
    </row>
    <row r="4050" spans="10:10" x14ac:dyDescent="0.4">
      <c r="J4050" s="140"/>
    </row>
    <row r="4051" spans="10:10" x14ac:dyDescent="0.4">
      <c r="J4051" s="140"/>
    </row>
    <row r="4052" spans="10:10" x14ac:dyDescent="0.4">
      <c r="J4052" s="140"/>
    </row>
    <row r="4053" spans="10:10" x14ac:dyDescent="0.4">
      <c r="J4053" s="140"/>
    </row>
    <row r="4054" spans="10:10" x14ac:dyDescent="0.4">
      <c r="J4054" s="140"/>
    </row>
    <row r="4055" spans="10:10" x14ac:dyDescent="0.4">
      <c r="J4055" s="140"/>
    </row>
    <row r="4056" spans="10:10" x14ac:dyDescent="0.4">
      <c r="J4056" s="140"/>
    </row>
    <row r="4057" spans="10:10" x14ac:dyDescent="0.4">
      <c r="J4057" s="140"/>
    </row>
    <row r="4058" spans="10:10" x14ac:dyDescent="0.4">
      <c r="J4058" s="140"/>
    </row>
    <row r="4059" spans="10:10" x14ac:dyDescent="0.4">
      <c r="J4059" s="140"/>
    </row>
    <row r="4060" spans="10:10" x14ac:dyDescent="0.4">
      <c r="J4060" s="140"/>
    </row>
    <row r="4061" spans="10:10" x14ac:dyDescent="0.4">
      <c r="J4061" s="140"/>
    </row>
    <row r="4062" spans="10:10" x14ac:dyDescent="0.4">
      <c r="J4062" s="140"/>
    </row>
    <row r="4063" spans="10:10" x14ac:dyDescent="0.4">
      <c r="J4063" s="140"/>
    </row>
    <row r="4064" spans="10:10" x14ac:dyDescent="0.4">
      <c r="J4064" s="140"/>
    </row>
    <row r="4065" spans="10:10" x14ac:dyDescent="0.4">
      <c r="J4065" s="140"/>
    </row>
    <row r="4066" spans="10:10" x14ac:dyDescent="0.4">
      <c r="J4066" s="140"/>
    </row>
    <row r="4067" spans="10:10" x14ac:dyDescent="0.4">
      <c r="J4067" s="140"/>
    </row>
    <row r="4068" spans="10:10" x14ac:dyDescent="0.4">
      <c r="J4068" s="140"/>
    </row>
    <row r="4069" spans="10:10" x14ac:dyDescent="0.4">
      <c r="J4069" s="140"/>
    </row>
    <row r="4070" spans="10:10" x14ac:dyDescent="0.4">
      <c r="J4070" s="140"/>
    </row>
    <row r="4071" spans="10:10" x14ac:dyDescent="0.4">
      <c r="J4071" s="140"/>
    </row>
    <row r="4072" spans="10:10" x14ac:dyDescent="0.4">
      <c r="J4072" s="140"/>
    </row>
    <row r="4073" spans="10:10" x14ac:dyDescent="0.4">
      <c r="J4073" s="140"/>
    </row>
    <row r="4074" spans="10:10" x14ac:dyDescent="0.4">
      <c r="J4074" s="140"/>
    </row>
    <row r="4075" spans="10:10" x14ac:dyDescent="0.4">
      <c r="J4075" s="140"/>
    </row>
    <row r="4076" spans="10:10" x14ac:dyDescent="0.4">
      <c r="J4076" s="140"/>
    </row>
    <row r="4077" spans="10:10" x14ac:dyDescent="0.4">
      <c r="J4077" s="140"/>
    </row>
    <row r="4078" spans="10:10" x14ac:dyDescent="0.4">
      <c r="J4078" s="140"/>
    </row>
    <row r="4079" spans="10:10" x14ac:dyDescent="0.4">
      <c r="J4079" s="140"/>
    </row>
    <row r="4080" spans="10:10" x14ac:dyDescent="0.4">
      <c r="J4080" s="140"/>
    </row>
    <row r="4081" spans="10:10" x14ac:dyDescent="0.4">
      <c r="J4081" s="140"/>
    </row>
    <row r="4082" spans="10:10" x14ac:dyDescent="0.4">
      <c r="J4082" s="140"/>
    </row>
    <row r="4083" spans="10:10" x14ac:dyDescent="0.4">
      <c r="J4083" s="140"/>
    </row>
    <row r="4084" spans="10:10" x14ac:dyDescent="0.4">
      <c r="J4084" s="140"/>
    </row>
    <row r="4085" spans="10:10" x14ac:dyDescent="0.4">
      <c r="J4085" s="140"/>
    </row>
    <row r="4086" spans="10:10" x14ac:dyDescent="0.4">
      <c r="J4086" s="140"/>
    </row>
    <row r="4087" spans="10:10" x14ac:dyDescent="0.4">
      <c r="J4087" s="140"/>
    </row>
    <row r="4088" spans="10:10" x14ac:dyDescent="0.4">
      <c r="J4088" s="140"/>
    </row>
    <row r="4089" spans="10:10" x14ac:dyDescent="0.4">
      <c r="J4089" s="140"/>
    </row>
    <row r="4090" spans="10:10" x14ac:dyDescent="0.4">
      <c r="J4090" s="140"/>
    </row>
    <row r="4091" spans="10:10" x14ac:dyDescent="0.4">
      <c r="J4091" s="140"/>
    </row>
    <row r="4092" spans="10:10" x14ac:dyDescent="0.4">
      <c r="J4092" s="140"/>
    </row>
    <row r="4093" spans="10:10" x14ac:dyDescent="0.4">
      <c r="J4093" s="140"/>
    </row>
    <row r="4094" spans="10:10" x14ac:dyDescent="0.4">
      <c r="J4094" s="140"/>
    </row>
    <row r="4095" spans="10:10" x14ac:dyDescent="0.4">
      <c r="J4095" s="140"/>
    </row>
    <row r="4096" spans="10:10" x14ac:dyDescent="0.4">
      <c r="J4096" s="140"/>
    </row>
    <row r="4097" spans="10:10" x14ac:dyDescent="0.4">
      <c r="J4097" s="140"/>
    </row>
    <row r="4098" spans="10:10" x14ac:dyDescent="0.4">
      <c r="J4098" s="140"/>
    </row>
    <row r="4099" spans="10:10" x14ac:dyDescent="0.4">
      <c r="J4099" s="140"/>
    </row>
    <row r="4100" spans="10:10" x14ac:dyDescent="0.4">
      <c r="J4100" s="140"/>
    </row>
    <row r="4101" spans="10:10" x14ac:dyDescent="0.4">
      <c r="J4101" s="140"/>
    </row>
    <row r="4102" spans="10:10" x14ac:dyDescent="0.4">
      <c r="J4102" s="140"/>
    </row>
    <row r="4103" spans="10:10" x14ac:dyDescent="0.4">
      <c r="J4103" s="140"/>
    </row>
    <row r="4104" spans="10:10" x14ac:dyDescent="0.4">
      <c r="J4104" s="140"/>
    </row>
    <row r="4105" spans="10:10" x14ac:dyDescent="0.4">
      <c r="J4105" s="140"/>
    </row>
    <row r="4106" spans="10:10" x14ac:dyDescent="0.4">
      <c r="J4106" s="140"/>
    </row>
    <row r="4107" spans="10:10" x14ac:dyDescent="0.4">
      <c r="J4107" s="140"/>
    </row>
    <row r="4108" spans="10:10" x14ac:dyDescent="0.4">
      <c r="J4108" s="140"/>
    </row>
    <row r="4109" spans="10:10" x14ac:dyDescent="0.4">
      <c r="J4109" s="140"/>
    </row>
    <row r="4110" spans="10:10" x14ac:dyDescent="0.4">
      <c r="J4110" s="140"/>
    </row>
    <row r="4111" spans="10:10" x14ac:dyDescent="0.4">
      <c r="J4111" s="140"/>
    </row>
    <row r="4112" spans="10:10" x14ac:dyDescent="0.4">
      <c r="J4112" s="140"/>
    </row>
    <row r="4113" spans="10:10" x14ac:dyDescent="0.4">
      <c r="J4113" s="140"/>
    </row>
    <row r="4114" spans="10:10" x14ac:dyDescent="0.4">
      <c r="J4114" s="140"/>
    </row>
    <row r="4115" spans="10:10" x14ac:dyDescent="0.4">
      <c r="J4115" s="140"/>
    </row>
    <row r="4116" spans="10:10" x14ac:dyDescent="0.4">
      <c r="J4116" s="140"/>
    </row>
    <row r="4117" spans="10:10" x14ac:dyDescent="0.4">
      <c r="J4117" s="140"/>
    </row>
    <row r="4118" spans="10:10" x14ac:dyDescent="0.4">
      <c r="J4118" s="140"/>
    </row>
    <row r="4119" spans="10:10" x14ac:dyDescent="0.4">
      <c r="J4119" s="140"/>
    </row>
    <row r="4120" spans="10:10" x14ac:dyDescent="0.4">
      <c r="J4120" s="140"/>
    </row>
    <row r="4121" spans="10:10" x14ac:dyDescent="0.4">
      <c r="J4121" s="140"/>
    </row>
    <row r="4122" spans="10:10" x14ac:dyDescent="0.4">
      <c r="J4122" s="140"/>
    </row>
    <row r="4123" spans="10:10" x14ac:dyDescent="0.4">
      <c r="J4123" s="140"/>
    </row>
    <row r="4124" spans="10:10" x14ac:dyDescent="0.4">
      <c r="J4124" s="140"/>
    </row>
    <row r="4125" spans="10:10" x14ac:dyDescent="0.4">
      <c r="J4125" s="140"/>
    </row>
    <row r="4126" spans="10:10" x14ac:dyDescent="0.4">
      <c r="J4126" s="140"/>
    </row>
    <row r="4127" spans="10:10" x14ac:dyDescent="0.4">
      <c r="J4127" s="140"/>
    </row>
    <row r="4128" spans="10:10" x14ac:dyDescent="0.4">
      <c r="J4128" s="140"/>
    </row>
    <row r="4129" spans="10:10" x14ac:dyDescent="0.4">
      <c r="J4129" s="140"/>
    </row>
    <row r="4130" spans="10:10" x14ac:dyDescent="0.4">
      <c r="J4130" s="140"/>
    </row>
    <row r="4131" spans="10:10" x14ac:dyDescent="0.4">
      <c r="J4131" s="140"/>
    </row>
    <row r="4132" spans="10:10" x14ac:dyDescent="0.4">
      <c r="J4132" s="140"/>
    </row>
    <row r="4133" spans="10:10" x14ac:dyDescent="0.4">
      <c r="J4133" s="140"/>
    </row>
    <row r="4134" spans="10:10" x14ac:dyDescent="0.4">
      <c r="J4134" s="140"/>
    </row>
    <row r="4135" spans="10:10" x14ac:dyDescent="0.4">
      <c r="J4135" s="140"/>
    </row>
    <row r="4136" spans="10:10" x14ac:dyDescent="0.4">
      <c r="J4136" s="140"/>
    </row>
    <row r="4137" spans="10:10" x14ac:dyDescent="0.4">
      <c r="J4137" s="140"/>
    </row>
    <row r="4138" spans="10:10" x14ac:dyDescent="0.4">
      <c r="J4138" s="140"/>
    </row>
    <row r="4139" spans="10:10" x14ac:dyDescent="0.4">
      <c r="J4139" s="140"/>
    </row>
    <row r="4140" spans="10:10" x14ac:dyDescent="0.4">
      <c r="J4140" s="140"/>
    </row>
    <row r="4141" spans="10:10" x14ac:dyDescent="0.4">
      <c r="J4141" s="140"/>
    </row>
    <row r="4142" spans="10:10" x14ac:dyDescent="0.4">
      <c r="J4142" s="140"/>
    </row>
    <row r="4143" spans="10:10" x14ac:dyDescent="0.4">
      <c r="J4143" s="140"/>
    </row>
    <row r="4144" spans="10:10" x14ac:dyDescent="0.4">
      <c r="J4144" s="140"/>
    </row>
    <row r="4145" spans="10:10" x14ac:dyDescent="0.4">
      <c r="J4145" s="140"/>
    </row>
    <row r="4146" spans="10:10" x14ac:dyDescent="0.4">
      <c r="J4146" s="140"/>
    </row>
    <row r="4147" spans="10:10" x14ac:dyDescent="0.4">
      <c r="J4147" s="140"/>
    </row>
    <row r="4148" spans="10:10" x14ac:dyDescent="0.4">
      <c r="J4148" s="140"/>
    </row>
    <row r="4149" spans="10:10" x14ac:dyDescent="0.4">
      <c r="J4149" s="140"/>
    </row>
    <row r="4150" spans="10:10" x14ac:dyDescent="0.4">
      <c r="J4150" s="140"/>
    </row>
    <row r="4151" spans="10:10" x14ac:dyDescent="0.4">
      <c r="J4151" s="140"/>
    </row>
    <row r="4152" spans="10:10" x14ac:dyDescent="0.4">
      <c r="J4152" s="140"/>
    </row>
    <row r="4153" spans="10:10" x14ac:dyDescent="0.4">
      <c r="J4153" s="140"/>
    </row>
    <row r="4154" spans="10:10" x14ac:dyDescent="0.4">
      <c r="J4154" s="140"/>
    </row>
    <row r="4155" spans="10:10" x14ac:dyDescent="0.4">
      <c r="J4155" s="140"/>
    </row>
    <row r="4156" spans="10:10" x14ac:dyDescent="0.4">
      <c r="J4156" s="140"/>
    </row>
    <row r="4157" spans="10:10" x14ac:dyDescent="0.4">
      <c r="J4157" s="140"/>
    </row>
    <row r="4158" spans="10:10" x14ac:dyDescent="0.4">
      <c r="J4158" s="140"/>
    </row>
    <row r="4159" spans="10:10" x14ac:dyDescent="0.4">
      <c r="J4159" s="140"/>
    </row>
    <row r="4160" spans="10:10" x14ac:dyDescent="0.4">
      <c r="J4160" s="140"/>
    </row>
    <row r="4161" spans="10:10" x14ac:dyDescent="0.4">
      <c r="J4161" s="140"/>
    </row>
    <row r="4162" spans="10:10" x14ac:dyDescent="0.4">
      <c r="J4162" s="140"/>
    </row>
    <row r="4163" spans="10:10" x14ac:dyDescent="0.4">
      <c r="J4163" s="140"/>
    </row>
    <row r="4164" spans="10:10" x14ac:dyDescent="0.4">
      <c r="J4164" s="140"/>
    </row>
    <row r="4165" spans="10:10" x14ac:dyDescent="0.4">
      <c r="J4165" s="140"/>
    </row>
    <row r="4166" spans="10:10" x14ac:dyDescent="0.4">
      <c r="J4166" s="140"/>
    </row>
    <row r="4167" spans="10:10" x14ac:dyDescent="0.4">
      <c r="J4167" s="140"/>
    </row>
    <row r="4168" spans="10:10" x14ac:dyDescent="0.4">
      <c r="J4168" s="140"/>
    </row>
    <row r="4169" spans="10:10" x14ac:dyDescent="0.4">
      <c r="J4169" s="140"/>
    </row>
    <row r="4170" spans="10:10" x14ac:dyDescent="0.4">
      <c r="J4170" s="140"/>
    </row>
    <row r="4171" spans="10:10" x14ac:dyDescent="0.4">
      <c r="J4171" s="140"/>
    </row>
    <row r="4172" spans="10:10" x14ac:dyDescent="0.4">
      <c r="J4172" s="140"/>
    </row>
    <row r="4173" spans="10:10" x14ac:dyDescent="0.4">
      <c r="J4173" s="140"/>
    </row>
    <row r="4174" spans="10:10" x14ac:dyDescent="0.4">
      <c r="J4174" s="140"/>
    </row>
    <row r="4175" spans="10:10" x14ac:dyDescent="0.4">
      <c r="J4175" s="140"/>
    </row>
    <row r="4176" spans="10:10" x14ac:dyDescent="0.4">
      <c r="J4176" s="140"/>
    </row>
    <row r="4177" spans="10:10" x14ac:dyDescent="0.4">
      <c r="J4177" s="140"/>
    </row>
    <row r="4178" spans="10:10" x14ac:dyDescent="0.4">
      <c r="J4178" s="140"/>
    </row>
    <row r="4179" spans="10:10" x14ac:dyDescent="0.4">
      <c r="J4179" s="140"/>
    </row>
    <row r="4180" spans="10:10" x14ac:dyDescent="0.4">
      <c r="J4180" s="140"/>
    </row>
    <row r="4181" spans="10:10" x14ac:dyDescent="0.4">
      <c r="J4181" s="140"/>
    </row>
    <row r="4182" spans="10:10" x14ac:dyDescent="0.4">
      <c r="J4182" s="140"/>
    </row>
    <row r="4183" spans="10:10" x14ac:dyDescent="0.4">
      <c r="J4183" s="140"/>
    </row>
    <row r="4184" spans="10:10" x14ac:dyDescent="0.4">
      <c r="J4184" s="140"/>
    </row>
    <row r="4185" spans="10:10" x14ac:dyDescent="0.4">
      <c r="J4185" s="140"/>
    </row>
    <row r="4186" spans="10:10" x14ac:dyDescent="0.4">
      <c r="J4186" s="140"/>
    </row>
    <row r="4187" spans="10:10" x14ac:dyDescent="0.4">
      <c r="J4187" s="140"/>
    </row>
    <row r="4188" spans="10:10" x14ac:dyDescent="0.4">
      <c r="J4188" s="140"/>
    </row>
    <row r="4189" spans="10:10" x14ac:dyDescent="0.4">
      <c r="J4189" s="140"/>
    </row>
    <row r="4190" spans="10:10" x14ac:dyDescent="0.4">
      <c r="J4190" s="140"/>
    </row>
    <row r="4191" spans="10:10" x14ac:dyDescent="0.4">
      <c r="J4191" s="140"/>
    </row>
    <row r="4192" spans="10:10" x14ac:dyDescent="0.4">
      <c r="J4192" s="140"/>
    </row>
    <row r="4193" spans="10:10" x14ac:dyDescent="0.4">
      <c r="J4193" s="140"/>
    </row>
    <row r="4194" spans="10:10" x14ac:dyDescent="0.4">
      <c r="J4194" s="140"/>
    </row>
    <row r="4195" spans="10:10" x14ac:dyDescent="0.4">
      <c r="J4195" s="140"/>
    </row>
    <row r="4196" spans="10:10" x14ac:dyDescent="0.4">
      <c r="J4196" s="140"/>
    </row>
    <row r="4197" spans="10:10" x14ac:dyDescent="0.4">
      <c r="J4197" s="140"/>
    </row>
    <row r="4198" spans="10:10" x14ac:dyDescent="0.4">
      <c r="J4198" s="140"/>
    </row>
    <row r="4199" spans="10:10" x14ac:dyDescent="0.4">
      <c r="J4199" s="140"/>
    </row>
    <row r="4200" spans="10:10" x14ac:dyDescent="0.4">
      <c r="J4200" s="140"/>
    </row>
    <row r="4201" spans="10:10" x14ac:dyDescent="0.4">
      <c r="J4201" s="140"/>
    </row>
    <row r="4202" spans="10:10" x14ac:dyDescent="0.4">
      <c r="J4202" s="140"/>
    </row>
    <row r="4203" spans="10:10" x14ac:dyDescent="0.4">
      <c r="J4203" s="140"/>
    </row>
    <row r="4204" spans="10:10" x14ac:dyDescent="0.4">
      <c r="J4204" s="140"/>
    </row>
    <row r="4205" spans="10:10" x14ac:dyDescent="0.4">
      <c r="J4205" s="140"/>
    </row>
    <row r="4206" spans="10:10" x14ac:dyDescent="0.4">
      <c r="J4206" s="140"/>
    </row>
    <row r="4207" spans="10:10" x14ac:dyDescent="0.4">
      <c r="J4207" s="140"/>
    </row>
    <row r="4208" spans="10:10" x14ac:dyDescent="0.4">
      <c r="J4208" s="140"/>
    </row>
    <row r="4209" spans="10:10" x14ac:dyDescent="0.4">
      <c r="J4209" s="140"/>
    </row>
    <row r="4210" spans="10:10" x14ac:dyDescent="0.4">
      <c r="J4210" s="140"/>
    </row>
    <row r="4211" spans="10:10" x14ac:dyDescent="0.4">
      <c r="J4211" s="140"/>
    </row>
    <row r="4212" spans="10:10" x14ac:dyDescent="0.4">
      <c r="J4212" s="140"/>
    </row>
    <row r="4213" spans="10:10" x14ac:dyDescent="0.4">
      <c r="J4213" s="140"/>
    </row>
    <row r="4214" spans="10:10" x14ac:dyDescent="0.4">
      <c r="J4214" s="140"/>
    </row>
    <row r="4215" spans="10:10" x14ac:dyDescent="0.4">
      <c r="J4215" s="140"/>
    </row>
    <row r="4216" spans="10:10" x14ac:dyDescent="0.4">
      <c r="J4216" s="140"/>
    </row>
    <row r="4217" spans="10:10" x14ac:dyDescent="0.4">
      <c r="J4217" s="140"/>
    </row>
    <row r="4218" spans="10:10" x14ac:dyDescent="0.4">
      <c r="J4218" s="140"/>
    </row>
    <row r="4219" spans="10:10" x14ac:dyDescent="0.4">
      <c r="J4219" s="140"/>
    </row>
    <row r="4220" spans="10:10" x14ac:dyDescent="0.4">
      <c r="J4220" s="140"/>
    </row>
    <row r="4221" spans="10:10" x14ac:dyDescent="0.4">
      <c r="J4221" s="140"/>
    </row>
    <row r="4222" spans="10:10" x14ac:dyDescent="0.4">
      <c r="J4222" s="140"/>
    </row>
    <row r="4223" spans="10:10" x14ac:dyDescent="0.4">
      <c r="J4223" s="140"/>
    </row>
    <row r="4224" spans="10:10" x14ac:dyDescent="0.4">
      <c r="J4224" s="140"/>
    </row>
    <row r="4225" spans="10:10" x14ac:dyDescent="0.4">
      <c r="J4225" s="140"/>
    </row>
    <row r="4226" spans="10:10" x14ac:dyDescent="0.4">
      <c r="J4226" s="140"/>
    </row>
    <row r="4227" spans="10:10" x14ac:dyDescent="0.4">
      <c r="J4227" s="140"/>
    </row>
    <row r="4228" spans="10:10" x14ac:dyDescent="0.4">
      <c r="J4228" s="140"/>
    </row>
    <row r="4229" spans="10:10" x14ac:dyDescent="0.4">
      <c r="J4229" s="140"/>
    </row>
    <row r="4230" spans="10:10" x14ac:dyDescent="0.4">
      <c r="J4230" s="140"/>
    </row>
    <row r="4231" spans="10:10" x14ac:dyDescent="0.4">
      <c r="J4231" s="140"/>
    </row>
    <row r="4232" spans="10:10" x14ac:dyDescent="0.4">
      <c r="J4232" s="140"/>
    </row>
    <row r="4233" spans="10:10" x14ac:dyDescent="0.4">
      <c r="J4233" s="140"/>
    </row>
    <row r="4234" spans="10:10" x14ac:dyDescent="0.4">
      <c r="J4234" s="140"/>
    </row>
    <row r="4235" spans="10:10" x14ac:dyDescent="0.4">
      <c r="J4235" s="140"/>
    </row>
    <row r="4236" spans="10:10" x14ac:dyDescent="0.4">
      <c r="J4236" s="140"/>
    </row>
    <row r="4237" spans="10:10" x14ac:dyDescent="0.4">
      <c r="J4237" s="140"/>
    </row>
    <row r="4238" spans="10:10" x14ac:dyDescent="0.4">
      <c r="J4238" s="140"/>
    </row>
    <row r="4239" spans="10:10" x14ac:dyDescent="0.4">
      <c r="J4239" s="140"/>
    </row>
    <row r="4240" spans="10:10" x14ac:dyDescent="0.4">
      <c r="J4240" s="140"/>
    </row>
    <row r="4241" spans="10:10" x14ac:dyDescent="0.4">
      <c r="J4241" s="140"/>
    </row>
    <row r="4242" spans="10:10" x14ac:dyDescent="0.4">
      <c r="J4242" s="140"/>
    </row>
    <row r="4243" spans="10:10" x14ac:dyDescent="0.4">
      <c r="J4243" s="140"/>
    </row>
    <row r="4244" spans="10:10" x14ac:dyDescent="0.4">
      <c r="J4244" s="140"/>
    </row>
    <row r="4245" spans="10:10" x14ac:dyDescent="0.4">
      <c r="J4245" s="140"/>
    </row>
    <row r="4246" spans="10:10" x14ac:dyDescent="0.4">
      <c r="J4246" s="140"/>
    </row>
    <row r="4247" spans="10:10" x14ac:dyDescent="0.4">
      <c r="J4247" s="140"/>
    </row>
    <row r="4248" spans="10:10" x14ac:dyDescent="0.4">
      <c r="J4248" s="140"/>
    </row>
    <row r="4249" spans="10:10" x14ac:dyDescent="0.4">
      <c r="J4249" s="140"/>
    </row>
    <row r="4250" spans="10:10" x14ac:dyDescent="0.4">
      <c r="J4250" s="140"/>
    </row>
    <row r="4251" spans="10:10" x14ac:dyDescent="0.4">
      <c r="J4251" s="140"/>
    </row>
    <row r="4252" spans="10:10" x14ac:dyDescent="0.4">
      <c r="J4252" s="140"/>
    </row>
    <row r="4253" spans="10:10" x14ac:dyDescent="0.4">
      <c r="J4253" s="140"/>
    </row>
    <row r="4254" spans="10:10" x14ac:dyDescent="0.4">
      <c r="J4254" s="140"/>
    </row>
    <row r="4255" spans="10:10" x14ac:dyDescent="0.4">
      <c r="J4255" s="140"/>
    </row>
    <row r="4256" spans="10:10" x14ac:dyDescent="0.4">
      <c r="J4256" s="140"/>
    </row>
    <row r="4257" spans="10:10" x14ac:dyDescent="0.4">
      <c r="J4257" s="140"/>
    </row>
    <row r="4258" spans="10:10" x14ac:dyDescent="0.4">
      <c r="J4258" s="140"/>
    </row>
    <row r="4259" spans="10:10" x14ac:dyDescent="0.4">
      <c r="J4259" s="140"/>
    </row>
    <row r="4260" spans="10:10" x14ac:dyDescent="0.4">
      <c r="J4260" s="140"/>
    </row>
    <row r="4261" spans="10:10" x14ac:dyDescent="0.4">
      <c r="J4261" s="140"/>
    </row>
    <row r="4262" spans="10:10" x14ac:dyDescent="0.4">
      <c r="J4262" s="140"/>
    </row>
    <row r="4263" spans="10:10" x14ac:dyDescent="0.4">
      <c r="J4263" s="140"/>
    </row>
    <row r="4264" spans="10:10" x14ac:dyDescent="0.4">
      <c r="J4264" s="140"/>
    </row>
    <row r="4265" spans="10:10" x14ac:dyDescent="0.4">
      <c r="J4265" s="140"/>
    </row>
    <row r="4266" spans="10:10" x14ac:dyDescent="0.4">
      <c r="J4266" s="140"/>
    </row>
    <row r="4267" spans="10:10" x14ac:dyDescent="0.4">
      <c r="J4267" s="140"/>
    </row>
    <row r="4268" spans="10:10" x14ac:dyDescent="0.4">
      <c r="J4268" s="140"/>
    </row>
    <row r="4269" spans="10:10" x14ac:dyDescent="0.4">
      <c r="J4269" s="140"/>
    </row>
    <row r="4270" spans="10:10" x14ac:dyDescent="0.4">
      <c r="J4270" s="140"/>
    </row>
    <row r="4271" spans="10:10" x14ac:dyDescent="0.4">
      <c r="J4271" s="140"/>
    </row>
    <row r="4272" spans="10:10" x14ac:dyDescent="0.4">
      <c r="J4272" s="140"/>
    </row>
    <row r="4273" spans="10:10" x14ac:dyDescent="0.4">
      <c r="J4273" s="140"/>
    </row>
    <row r="4274" spans="10:10" x14ac:dyDescent="0.4">
      <c r="J4274" s="140"/>
    </row>
    <row r="4275" spans="10:10" x14ac:dyDescent="0.4">
      <c r="J4275" s="140"/>
    </row>
    <row r="4276" spans="10:10" x14ac:dyDescent="0.4">
      <c r="J4276" s="140"/>
    </row>
    <row r="4277" spans="10:10" x14ac:dyDescent="0.4">
      <c r="J4277" s="140"/>
    </row>
    <row r="4278" spans="10:10" x14ac:dyDescent="0.4">
      <c r="J4278" s="140"/>
    </row>
    <row r="4279" spans="10:10" x14ac:dyDescent="0.4">
      <c r="J4279" s="140"/>
    </row>
    <row r="4280" spans="10:10" x14ac:dyDescent="0.4">
      <c r="J4280" s="140"/>
    </row>
    <row r="4281" spans="10:10" x14ac:dyDescent="0.4">
      <c r="J4281" s="140"/>
    </row>
    <row r="4282" spans="10:10" x14ac:dyDescent="0.4">
      <c r="J4282" s="140"/>
    </row>
    <row r="4283" spans="10:10" x14ac:dyDescent="0.4">
      <c r="J4283" s="140"/>
    </row>
    <row r="4284" spans="10:10" x14ac:dyDescent="0.4">
      <c r="J4284" s="140"/>
    </row>
    <row r="4285" spans="10:10" x14ac:dyDescent="0.4">
      <c r="J4285" s="140"/>
    </row>
    <row r="4286" spans="10:10" x14ac:dyDescent="0.4">
      <c r="J4286" s="140"/>
    </row>
    <row r="4287" spans="10:10" x14ac:dyDescent="0.4">
      <c r="J4287" s="140"/>
    </row>
    <row r="4288" spans="10:10" x14ac:dyDescent="0.4">
      <c r="J4288" s="140"/>
    </row>
    <row r="4289" spans="10:10" x14ac:dyDescent="0.4">
      <c r="J4289" s="140"/>
    </row>
    <row r="4290" spans="10:10" x14ac:dyDescent="0.4">
      <c r="J4290" s="140"/>
    </row>
    <row r="4291" spans="10:10" x14ac:dyDescent="0.4">
      <c r="J4291" s="140"/>
    </row>
    <row r="4292" spans="10:10" x14ac:dyDescent="0.4">
      <c r="J4292" s="140"/>
    </row>
    <row r="4293" spans="10:10" x14ac:dyDescent="0.4">
      <c r="J4293" s="140"/>
    </row>
    <row r="4294" spans="10:10" x14ac:dyDescent="0.4">
      <c r="J4294" s="140"/>
    </row>
    <row r="4295" spans="10:10" x14ac:dyDescent="0.4">
      <c r="J4295" s="140"/>
    </row>
    <row r="4296" spans="10:10" x14ac:dyDescent="0.4">
      <c r="J4296" s="140"/>
    </row>
    <row r="4297" spans="10:10" x14ac:dyDescent="0.4">
      <c r="J4297" s="140"/>
    </row>
    <row r="4298" spans="10:10" x14ac:dyDescent="0.4">
      <c r="J4298" s="140"/>
    </row>
    <row r="4299" spans="10:10" x14ac:dyDescent="0.4">
      <c r="J4299" s="140"/>
    </row>
    <row r="4300" spans="10:10" x14ac:dyDescent="0.4">
      <c r="J4300" s="140"/>
    </row>
    <row r="4301" spans="10:10" x14ac:dyDescent="0.4">
      <c r="J4301" s="140"/>
    </row>
    <row r="4302" spans="10:10" x14ac:dyDescent="0.4">
      <c r="J4302" s="140"/>
    </row>
    <row r="4303" spans="10:10" x14ac:dyDescent="0.4">
      <c r="J4303" s="140"/>
    </row>
    <row r="4304" spans="10:10" x14ac:dyDescent="0.4">
      <c r="J4304" s="140"/>
    </row>
    <row r="4305" spans="10:10" x14ac:dyDescent="0.4">
      <c r="J4305" s="140"/>
    </row>
    <row r="4306" spans="10:10" x14ac:dyDescent="0.4">
      <c r="J4306" s="140"/>
    </row>
    <row r="4307" spans="10:10" x14ac:dyDescent="0.4">
      <c r="J4307" s="140"/>
    </row>
    <row r="4308" spans="10:10" x14ac:dyDescent="0.4">
      <c r="J4308" s="140"/>
    </row>
    <row r="4309" spans="10:10" x14ac:dyDescent="0.4">
      <c r="J4309" s="140"/>
    </row>
    <row r="4310" spans="10:10" x14ac:dyDescent="0.4">
      <c r="J4310" s="140"/>
    </row>
    <row r="4311" spans="10:10" x14ac:dyDescent="0.4">
      <c r="J4311" s="140"/>
    </row>
    <row r="4312" spans="10:10" x14ac:dyDescent="0.4">
      <c r="J4312" s="140"/>
    </row>
    <row r="4313" spans="10:10" x14ac:dyDescent="0.4">
      <c r="J4313" s="140"/>
    </row>
    <row r="4314" spans="10:10" x14ac:dyDescent="0.4">
      <c r="J4314" s="140"/>
    </row>
    <row r="4315" spans="10:10" x14ac:dyDescent="0.4">
      <c r="J4315" s="140"/>
    </row>
    <row r="4316" spans="10:10" x14ac:dyDescent="0.4">
      <c r="J4316" s="140"/>
    </row>
    <row r="4317" spans="10:10" x14ac:dyDescent="0.4">
      <c r="J4317" s="140"/>
    </row>
    <row r="4318" spans="10:10" x14ac:dyDescent="0.4">
      <c r="J4318" s="140"/>
    </row>
    <row r="4319" spans="10:10" x14ac:dyDescent="0.4">
      <c r="J4319" s="140"/>
    </row>
    <row r="4320" spans="10:10" x14ac:dyDescent="0.4">
      <c r="J4320" s="140"/>
    </row>
    <row r="4321" spans="10:10" x14ac:dyDescent="0.4">
      <c r="J4321" s="140"/>
    </row>
    <row r="4322" spans="10:10" x14ac:dyDescent="0.4">
      <c r="J4322" s="140"/>
    </row>
    <row r="4323" spans="10:10" x14ac:dyDescent="0.4">
      <c r="J4323" s="140"/>
    </row>
    <row r="4324" spans="10:10" x14ac:dyDescent="0.4">
      <c r="J4324" s="140"/>
    </row>
    <row r="4325" spans="10:10" x14ac:dyDescent="0.4">
      <c r="J4325" s="140"/>
    </row>
    <row r="4326" spans="10:10" x14ac:dyDescent="0.4">
      <c r="J4326" s="140"/>
    </row>
    <row r="4327" spans="10:10" x14ac:dyDescent="0.4">
      <c r="J4327" s="140"/>
    </row>
    <row r="4328" spans="10:10" x14ac:dyDescent="0.4">
      <c r="J4328" s="140"/>
    </row>
    <row r="4329" spans="10:10" x14ac:dyDescent="0.4">
      <c r="J4329" s="140"/>
    </row>
    <row r="4330" spans="10:10" x14ac:dyDescent="0.4">
      <c r="J4330" s="140"/>
    </row>
    <row r="4331" spans="10:10" x14ac:dyDescent="0.4">
      <c r="J4331" s="140"/>
    </row>
    <row r="4332" spans="10:10" x14ac:dyDescent="0.4">
      <c r="J4332" s="140"/>
    </row>
    <row r="4333" spans="10:10" x14ac:dyDescent="0.4">
      <c r="J4333" s="140"/>
    </row>
    <row r="4334" spans="10:10" x14ac:dyDescent="0.4">
      <c r="J4334" s="140"/>
    </row>
    <row r="4335" spans="10:10" x14ac:dyDescent="0.4">
      <c r="J4335" s="140"/>
    </row>
    <row r="4336" spans="10:10" x14ac:dyDescent="0.4">
      <c r="J4336" s="140"/>
    </row>
    <row r="4337" spans="10:10" x14ac:dyDescent="0.4">
      <c r="J4337" s="140"/>
    </row>
    <row r="4338" spans="10:10" x14ac:dyDescent="0.4">
      <c r="J4338" s="140"/>
    </row>
    <row r="4339" spans="10:10" x14ac:dyDescent="0.4">
      <c r="J4339" s="140"/>
    </row>
    <row r="4340" spans="10:10" x14ac:dyDescent="0.4">
      <c r="J4340" s="140"/>
    </row>
    <row r="4341" spans="10:10" x14ac:dyDescent="0.4">
      <c r="J4341" s="140"/>
    </row>
    <row r="4342" spans="10:10" x14ac:dyDescent="0.4">
      <c r="J4342" s="140"/>
    </row>
    <row r="4343" spans="10:10" x14ac:dyDescent="0.4">
      <c r="J4343" s="140"/>
    </row>
    <row r="4344" spans="10:10" x14ac:dyDescent="0.4">
      <c r="J4344" s="140"/>
    </row>
    <row r="4345" spans="10:10" x14ac:dyDescent="0.4">
      <c r="J4345" s="140"/>
    </row>
    <row r="4346" spans="10:10" x14ac:dyDescent="0.4">
      <c r="J4346" s="140"/>
    </row>
    <row r="4347" spans="10:10" x14ac:dyDescent="0.4">
      <c r="J4347" s="140"/>
    </row>
    <row r="4348" spans="10:10" x14ac:dyDescent="0.4">
      <c r="J4348" s="140"/>
    </row>
    <row r="4349" spans="10:10" x14ac:dyDescent="0.4">
      <c r="J4349" s="140"/>
    </row>
    <row r="4350" spans="10:10" x14ac:dyDescent="0.4">
      <c r="J4350" s="140"/>
    </row>
    <row r="4351" spans="10:10" x14ac:dyDescent="0.4">
      <c r="J4351" s="140"/>
    </row>
    <row r="4352" spans="10:10" x14ac:dyDescent="0.4">
      <c r="J4352" s="140"/>
    </row>
    <row r="4353" spans="10:10" x14ac:dyDescent="0.4">
      <c r="J4353" s="140"/>
    </row>
    <row r="4354" spans="10:10" x14ac:dyDescent="0.4">
      <c r="J4354" s="140"/>
    </row>
    <row r="4355" spans="10:10" x14ac:dyDescent="0.4">
      <c r="J4355" s="140"/>
    </row>
    <row r="4356" spans="10:10" x14ac:dyDescent="0.4">
      <c r="J4356" s="140"/>
    </row>
    <row r="4357" spans="10:10" x14ac:dyDescent="0.4">
      <c r="J4357" s="140"/>
    </row>
    <row r="4358" spans="10:10" x14ac:dyDescent="0.4">
      <c r="J4358" s="140"/>
    </row>
    <row r="4359" spans="10:10" x14ac:dyDescent="0.4">
      <c r="J4359" s="140"/>
    </row>
    <row r="4360" spans="10:10" x14ac:dyDescent="0.4">
      <c r="J4360" s="140"/>
    </row>
    <row r="4361" spans="10:10" x14ac:dyDescent="0.4">
      <c r="J4361" s="140"/>
    </row>
    <row r="4362" spans="10:10" x14ac:dyDescent="0.4">
      <c r="J4362" s="140"/>
    </row>
    <row r="4363" spans="10:10" x14ac:dyDescent="0.4">
      <c r="J4363" s="140"/>
    </row>
    <row r="4364" spans="10:10" x14ac:dyDescent="0.4">
      <c r="J4364" s="140"/>
    </row>
    <row r="4365" spans="10:10" x14ac:dyDescent="0.4">
      <c r="J4365" s="140"/>
    </row>
    <row r="4366" spans="10:10" x14ac:dyDescent="0.4">
      <c r="J4366" s="140"/>
    </row>
    <row r="4367" spans="10:10" x14ac:dyDescent="0.4">
      <c r="J4367" s="140"/>
    </row>
    <row r="4368" spans="10:10" x14ac:dyDescent="0.4">
      <c r="J4368" s="140"/>
    </row>
    <row r="4369" spans="10:10" x14ac:dyDescent="0.4">
      <c r="J4369" s="140"/>
    </row>
    <row r="4370" spans="10:10" x14ac:dyDescent="0.4">
      <c r="J4370" s="140"/>
    </row>
    <row r="4371" spans="10:10" x14ac:dyDescent="0.4">
      <c r="J4371" s="140"/>
    </row>
    <row r="4372" spans="10:10" x14ac:dyDescent="0.4">
      <c r="J4372" s="140"/>
    </row>
    <row r="4373" spans="10:10" x14ac:dyDescent="0.4">
      <c r="J4373" s="140"/>
    </row>
    <row r="4374" spans="10:10" x14ac:dyDescent="0.4">
      <c r="J4374" s="140"/>
    </row>
    <row r="4375" spans="10:10" x14ac:dyDescent="0.4">
      <c r="J4375" s="140"/>
    </row>
    <row r="4376" spans="10:10" x14ac:dyDescent="0.4">
      <c r="J4376" s="140"/>
    </row>
    <row r="4377" spans="10:10" x14ac:dyDescent="0.4">
      <c r="J4377" s="140"/>
    </row>
    <row r="4378" spans="10:10" x14ac:dyDescent="0.4">
      <c r="J4378" s="140"/>
    </row>
    <row r="4379" spans="10:10" x14ac:dyDescent="0.4">
      <c r="J4379" s="140"/>
    </row>
    <row r="4380" spans="10:10" x14ac:dyDescent="0.4">
      <c r="J4380" s="140"/>
    </row>
    <row r="4381" spans="10:10" x14ac:dyDescent="0.4">
      <c r="J4381" s="140"/>
    </row>
    <row r="4382" spans="10:10" x14ac:dyDescent="0.4">
      <c r="J4382" s="140"/>
    </row>
    <row r="4383" spans="10:10" x14ac:dyDescent="0.4">
      <c r="J4383" s="140"/>
    </row>
    <row r="4384" spans="10:10" x14ac:dyDescent="0.4">
      <c r="J4384" s="140"/>
    </row>
    <row r="4385" spans="10:10" x14ac:dyDescent="0.4">
      <c r="J4385" s="140"/>
    </row>
    <row r="4386" spans="10:10" x14ac:dyDescent="0.4">
      <c r="J4386" s="140"/>
    </row>
    <row r="4387" spans="10:10" x14ac:dyDescent="0.4">
      <c r="J4387" s="140"/>
    </row>
    <row r="4388" spans="10:10" x14ac:dyDescent="0.4">
      <c r="J4388" s="140"/>
    </row>
    <row r="4389" spans="10:10" x14ac:dyDescent="0.4">
      <c r="J4389" s="140"/>
    </row>
    <row r="4390" spans="10:10" x14ac:dyDescent="0.4">
      <c r="J4390" s="140"/>
    </row>
    <row r="4391" spans="10:10" x14ac:dyDescent="0.4">
      <c r="J4391" s="140"/>
    </row>
    <row r="4392" spans="10:10" x14ac:dyDescent="0.4">
      <c r="J4392" s="140"/>
    </row>
    <row r="4393" spans="10:10" x14ac:dyDescent="0.4">
      <c r="J4393" s="140"/>
    </row>
    <row r="4394" spans="10:10" x14ac:dyDescent="0.4">
      <c r="J4394" s="140"/>
    </row>
    <row r="4395" spans="10:10" x14ac:dyDescent="0.4">
      <c r="J4395" s="140"/>
    </row>
    <row r="4396" spans="10:10" x14ac:dyDescent="0.4">
      <c r="J4396" s="140"/>
    </row>
    <row r="4397" spans="10:10" x14ac:dyDescent="0.4">
      <c r="J4397" s="140"/>
    </row>
    <row r="4398" spans="10:10" x14ac:dyDescent="0.4">
      <c r="J4398" s="140"/>
    </row>
    <row r="4399" spans="10:10" x14ac:dyDescent="0.4">
      <c r="J4399" s="140"/>
    </row>
    <row r="4400" spans="10:10" x14ac:dyDescent="0.4">
      <c r="J4400" s="140"/>
    </row>
    <row r="4401" spans="10:10" x14ac:dyDescent="0.4">
      <c r="J4401" s="140"/>
    </row>
    <row r="4402" spans="10:10" x14ac:dyDescent="0.4">
      <c r="J4402" s="140"/>
    </row>
    <row r="4403" spans="10:10" x14ac:dyDescent="0.4">
      <c r="J4403" s="140"/>
    </row>
    <row r="4404" spans="10:10" x14ac:dyDescent="0.4">
      <c r="J4404" s="140"/>
    </row>
    <row r="4405" spans="10:10" x14ac:dyDescent="0.4">
      <c r="J4405" s="140"/>
    </row>
    <row r="4406" spans="10:10" x14ac:dyDescent="0.4">
      <c r="J4406" s="140"/>
    </row>
    <row r="4407" spans="10:10" x14ac:dyDescent="0.4">
      <c r="J4407" s="140"/>
    </row>
    <row r="4408" spans="10:10" x14ac:dyDescent="0.4">
      <c r="J4408" s="140"/>
    </row>
    <row r="4409" spans="10:10" x14ac:dyDescent="0.4">
      <c r="J4409" s="140"/>
    </row>
    <row r="4410" spans="10:10" x14ac:dyDescent="0.4">
      <c r="J4410" s="140"/>
    </row>
    <row r="4411" spans="10:10" x14ac:dyDescent="0.4">
      <c r="J4411" s="140"/>
    </row>
    <row r="4412" spans="10:10" x14ac:dyDescent="0.4">
      <c r="J4412" s="140"/>
    </row>
    <row r="4413" spans="10:10" x14ac:dyDescent="0.4">
      <c r="J4413" s="140"/>
    </row>
    <row r="4414" spans="10:10" x14ac:dyDescent="0.4">
      <c r="J4414" s="140"/>
    </row>
    <row r="4415" spans="10:10" x14ac:dyDescent="0.4">
      <c r="J4415" s="140"/>
    </row>
    <row r="4416" spans="10:10" x14ac:dyDescent="0.4">
      <c r="J4416" s="140"/>
    </row>
    <row r="4417" spans="10:10" x14ac:dyDescent="0.4">
      <c r="J4417" s="140"/>
    </row>
    <row r="4418" spans="10:10" x14ac:dyDescent="0.4">
      <c r="J4418" s="140"/>
    </row>
    <row r="4419" spans="10:10" x14ac:dyDescent="0.4">
      <c r="J4419" s="140"/>
    </row>
    <row r="4420" spans="10:10" x14ac:dyDescent="0.4">
      <c r="J4420" s="140"/>
    </row>
    <row r="4421" spans="10:10" x14ac:dyDescent="0.4">
      <c r="J4421" s="140"/>
    </row>
    <row r="4422" spans="10:10" x14ac:dyDescent="0.4">
      <c r="J4422" s="140"/>
    </row>
    <row r="4423" spans="10:10" x14ac:dyDescent="0.4">
      <c r="J4423" s="140"/>
    </row>
    <row r="4424" spans="10:10" x14ac:dyDescent="0.4">
      <c r="J4424" s="140"/>
    </row>
    <row r="4425" spans="10:10" x14ac:dyDescent="0.4">
      <c r="J4425" s="140"/>
    </row>
    <row r="4426" spans="10:10" x14ac:dyDescent="0.4">
      <c r="J4426" s="140"/>
    </row>
    <row r="4427" spans="10:10" x14ac:dyDescent="0.4">
      <c r="J4427" s="140"/>
    </row>
    <row r="4428" spans="10:10" x14ac:dyDescent="0.4">
      <c r="J4428" s="140"/>
    </row>
    <row r="4429" spans="10:10" x14ac:dyDescent="0.4">
      <c r="J4429" s="140"/>
    </row>
    <row r="4430" spans="10:10" x14ac:dyDescent="0.4">
      <c r="J4430" s="140"/>
    </row>
    <row r="4431" spans="10:10" x14ac:dyDescent="0.4">
      <c r="J4431" s="140"/>
    </row>
    <row r="4432" spans="10:10" x14ac:dyDescent="0.4">
      <c r="J4432" s="140"/>
    </row>
    <row r="4433" spans="10:10" x14ac:dyDescent="0.4">
      <c r="J4433" s="140"/>
    </row>
    <row r="4434" spans="10:10" x14ac:dyDescent="0.4">
      <c r="J4434" s="140"/>
    </row>
    <row r="4435" spans="10:10" x14ac:dyDescent="0.4">
      <c r="J4435" s="140"/>
    </row>
    <row r="4436" spans="10:10" x14ac:dyDescent="0.4">
      <c r="J4436" s="140"/>
    </row>
    <row r="4437" spans="10:10" x14ac:dyDescent="0.4">
      <c r="J4437" s="140"/>
    </row>
    <row r="4438" spans="10:10" x14ac:dyDescent="0.4">
      <c r="J4438" s="140"/>
    </row>
    <row r="4439" spans="10:10" x14ac:dyDescent="0.4">
      <c r="J4439" s="140"/>
    </row>
    <row r="4440" spans="10:10" x14ac:dyDescent="0.4">
      <c r="J4440" s="140"/>
    </row>
    <row r="4441" spans="10:10" x14ac:dyDescent="0.4">
      <c r="J4441" s="140"/>
    </row>
    <row r="4442" spans="10:10" x14ac:dyDescent="0.4">
      <c r="J4442" s="140"/>
    </row>
    <row r="4443" spans="10:10" x14ac:dyDescent="0.4">
      <c r="J4443" s="140"/>
    </row>
    <row r="4444" spans="10:10" x14ac:dyDescent="0.4">
      <c r="J4444" s="140"/>
    </row>
    <row r="4445" spans="10:10" x14ac:dyDescent="0.4">
      <c r="J4445" s="140"/>
    </row>
    <row r="4446" spans="10:10" x14ac:dyDescent="0.4">
      <c r="J4446" s="140"/>
    </row>
    <row r="4447" spans="10:10" x14ac:dyDescent="0.4">
      <c r="J4447" s="140"/>
    </row>
    <row r="4448" spans="10:10" x14ac:dyDescent="0.4">
      <c r="J4448" s="140"/>
    </row>
    <row r="4449" spans="10:10" x14ac:dyDescent="0.4">
      <c r="J4449" s="140"/>
    </row>
    <row r="4450" spans="10:10" x14ac:dyDescent="0.4">
      <c r="J4450" s="140"/>
    </row>
    <row r="4451" spans="10:10" x14ac:dyDescent="0.4">
      <c r="J4451" s="140"/>
    </row>
    <row r="4452" spans="10:10" x14ac:dyDescent="0.4">
      <c r="J4452" s="140"/>
    </row>
    <row r="4453" spans="10:10" x14ac:dyDescent="0.4">
      <c r="J4453" s="140"/>
    </row>
    <row r="4454" spans="10:10" x14ac:dyDescent="0.4">
      <c r="J4454" s="140"/>
    </row>
    <row r="4455" spans="10:10" x14ac:dyDescent="0.4">
      <c r="J4455" s="140"/>
    </row>
    <row r="4456" spans="10:10" x14ac:dyDescent="0.4">
      <c r="J4456" s="140"/>
    </row>
    <row r="4457" spans="10:10" x14ac:dyDescent="0.4">
      <c r="J4457" s="140"/>
    </row>
    <row r="4458" spans="10:10" x14ac:dyDescent="0.4">
      <c r="J4458" s="140"/>
    </row>
    <row r="4459" spans="10:10" x14ac:dyDescent="0.4">
      <c r="J4459" s="140"/>
    </row>
    <row r="4460" spans="10:10" x14ac:dyDescent="0.4">
      <c r="J4460" s="140"/>
    </row>
    <row r="4461" spans="10:10" x14ac:dyDescent="0.4">
      <c r="J4461" s="140"/>
    </row>
    <row r="4462" spans="10:10" x14ac:dyDescent="0.4">
      <c r="J4462" s="140"/>
    </row>
    <row r="4463" spans="10:10" x14ac:dyDescent="0.4">
      <c r="J4463" s="140"/>
    </row>
    <row r="4464" spans="10:10" x14ac:dyDescent="0.4">
      <c r="J4464" s="140"/>
    </row>
    <row r="4465" spans="10:10" x14ac:dyDescent="0.4">
      <c r="J4465" s="140"/>
    </row>
    <row r="4466" spans="10:10" x14ac:dyDescent="0.4">
      <c r="J4466" s="140"/>
    </row>
    <row r="4467" spans="10:10" x14ac:dyDescent="0.4">
      <c r="J4467" s="140"/>
    </row>
    <row r="4468" spans="10:10" x14ac:dyDescent="0.4">
      <c r="J4468" s="140"/>
    </row>
    <row r="4469" spans="10:10" x14ac:dyDescent="0.4">
      <c r="J4469" s="140"/>
    </row>
    <row r="4470" spans="10:10" x14ac:dyDescent="0.4">
      <c r="J4470" s="140"/>
    </row>
    <row r="4471" spans="10:10" x14ac:dyDescent="0.4">
      <c r="J4471" s="140"/>
    </row>
    <row r="4472" spans="10:10" x14ac:dyDescent="0.4">
      <c r="J4472" s="140"/>
    </row>
    <row r="4473" spans="10:10" x14ac:dyDescent="0.4">
      <c r="J4473" s="140"/>
    </row>
    <row r="4474" spans="10:10" x14ac:dyDescent="0.4">
      <c r="J4474" s="140"/>
    </row>
    <row r="4475" spans="10:10" x14ac:dyDescent="0.4">
      <c r="J4475" s="140"/>
    </row>
    <row r="4476" spans="10:10" x14ac:dyDescent="0.4">
      <c r="J4476" s="140"/>
    </row>
    <row r="4477" spans="10:10" x14ac:dyDescent="0.4">
      <c r="J4477" s="140"/>
    </row>
    <row r="4478" spans="10:10" x14ac:dyDescent="0.4">
      <c r="J4478" s="140"/>
    </row>
    <row r="4479" spans="10:10" x14ac:dyDescent="0.4">
      <c r="J4479" s="140"/>
    </row>
    <row r="4480" spans="10:10" x14ac:dyDescent="0.4">
      <c r="J4480" s="140"/>
    </row>
    <row r="4481" spans="10:10" x14ac:dyDescent="0.4">
      <c r="J4481" s="140"/>
    </row>
    <row r="4482" spans="10:10" x14ac:dyDescent="0.4">
      <c r="J4482" s="140"/>
    </row>
    <row r="4483" spans="10:10" x14ac:dyDescent="0.4">
      <c r="J4483" s="140"/>
    </row>
    <row r="4484" spans="10:10" x14ac:dyDescent="0.4">
      <c r="J4484" s="140"/>
    </row>
    <row r="4485" spans="10:10" x14ac:dyDescent="0.4">
      <c r="J4485" s="140"/>
    </row>
    <row r="4486" spans="10:10" x14ac:dyDescent="0.4">
      <c r="J4486" s="140"/>
    </row>
    <row r="4487" spans="10:10" x14ac:dyDescent="0.4">
      <c r="J4487" s="140"/>
    </row>
    <row r="4488" spans="10:10" x14ac:dyDescent="0.4">
      <c r="J4488" s="140"/>
    </row>
    <row r="4489" spans="10:10" x14ac:dyDescent="0.4">
      <c r="J4489" s="140"/>
    </row>
    <row r="4490" spans="10:10" x14ac:dyDescent="0.4">
      <c r="J4490" s="140"/>
    </row>
    <row r="4491" spans="10:10" x14ac:dyDescent="0.4">
      <c r="J4491" s="140"/>
    </row>
    <row r="4492" spans="10:10" x14ac:dyDescent="0.4">
      <c r="J4492" s="140"/>
    </row>
    <row r="4493" spans="10:10" x14ac:dyDescent="0.4">
      <c r="J4493" s="140"/>
    </row>
    <row r="4494" spans="10:10" x14ac:dyDescent="0.4">
      <c r="J4494" s="140"/>
    </row>
    <row r="4495" spans="10:10" x14ac:dyDescent="0.4">
      <c r="J4495" s="140"/>
    </row>
    <row r="4496" spans="10:10" x14ac:dyDescent="0.4">
      <c r="J4496" s="140"/>
    </row>
    <row r="4497" spans="10:10" x14ac:dyDescent="0.4">
      <c r="J4497" s="140"/>
    </row>
    <row r="4498" spans="10:10" x14ac:dyDescent="0.4">
      <c r="J4498" s="140"/>
    </row>
    <row r="4499" spans="10:10" x14ac:dyDescent="0.4">
      <c r="J4499" s="140"/>
    </row>
    <row r="4500" spans="10:10" x14ac:dyDescent="0.4">
      <c r="J4500" s="140"/>
    </row>
    <row r="4501" spans="10:10" x14ac:dyDescent="0.4">
      <c r="J4501" s="140"/>
    </row>
    <row r="4502" spans="10:10" x14ac:dyDescent="0.4">
      <c r="J4502" s="140"/>
    </row>
    <row r="4503" spans="10:10" x14ac:dyDescent="0.4">
      <c r="J4503" s="140"/>
    </row>
    <row r="4504" spans="10:10" x14ac:dyDescent="0.4">
      <c r="J4504" s="140"/>
    </row>
    <row r="4505" spans="10:10" x14ac:dyDescent="0.4">
      <c r="J4505" s="140"/>
    </row>
    <row r="4506" spans="10:10" x14ac:dyDescent="0.4">
      <c r="J4506" s="140"/>
    </row>
    <row r="4507" spans="10:10" x14ac:dyDescent="0.4">
      <c r="J4507" s="140"/>
    </row>
    <row r="4508" spans="10:10" x14ac:dyDescent="0.4">
      <c r="J4508" s="140"/>
    </row>
    <row r="4509" spans="10:10" x14ac:dyDescent="0.4">
      <c r="J4509" s="140"/>
    </row>
    <row r="4510" spans="10:10" x14ac:dyDescent="0.4">
      <c r="J4510" s="140"/>
    </row>
    <row r="4511" spans="10:10" x14ac:dyDescent="0.4">
      <c r="J4511" s="140"/>
    </row>
    <row r="4512" spans="10:10" x14ac:dyDescent="0.4">
      <c r="J4512" s="140"/>
    </row>
    <row r="4513" spans="10:10" x14ac:dyDescent="0.4">
      <c r="J4513" s="140"/>
    </row>
    <row r="4514" spans="10:10" x14ac:dyDescent="0.4">
      <c r="J4514" s="140"/>
    </row>
    <row r="4515" spans="10:10" x14ac:dyDescent="0.4">
      <c r="J4515" s="140"/>
    </row>
    <row r="4516" spans="10:10" x14ac:dyDescent="0.4">
      <c r="J4516" s="140"/>
    </row>
    <row r="4517" spans="10:10" x14ac:dyDescent="0.4">
      <c r="J4517" s="140"/>
    </row>
    <row r="4518" spans="10:10" x14ac:dyDescent="0.4">
      <c r="J4518" s="140"/>
    </row>
    <row r="4519" spans="10:10" x14ac:dyDescent="0.4">
      <c r="J4519" s="140"/>
    </row>
    <row r="4520" spans="10:10" x14ac:dyDescent="0.4">
      <c r="J4520" s="140"/>
    </row>
    <row r="4521" spans="10:10" x14ac:dyDescent="0.4">
      <c r="J4521" s="140"/>
    </row>
    <row r="4522" spans="10:10" x14ac:dyDescent="0.4">
      <c r="J4522" s="140"/>
    </row>
    <row r="4523" spans="10:10" x14ac:dyDescent="0.4">
      <c r="J4523" s="140"/>
    </row>
    <row r="4524" spans="10:10" x14ac:dyDescent="0.4">
      <c r="J4524" s="140"/>
    </row>
    <row r="4525" spans="10:10" x14ac:dyDescent="0.4">
      <c r="J4525" s="140"/>
    </row>
    <row r="4526" spans="10:10" x14ac:dyDescent="0.4">
      <c r="J4526" s="140"/>
    </row>
    <row r="4527" spans="10:10" x14ac:dyDescent="0.4">
      <c r="J4527" s="140"/>
    </row>
    <row r="4528" spans="10:10" x14ac:dyDescent="0.4">
      <c r="J4528" s="140"/>
    </row>
    <row r="4529" spans="10:10" x14ac:dyDescent="0.4">
      <c r="J4529" s="140"/>
    </row>
    <row r="4530" spans="10:10" x14ac:dyDescent="0.4">
      <c r="J4530" s="140"/>
    </row>
    <row r="4531" spans="10:10" x14ac:dyDescent="0.4">
      <c r="J4531" s="140"/>
    </row>
    <row r="4532" spans="10:10" x14ac:dyDescent="0.4">
      <c r="J4532" s="140"/>
    </row>
    <row r="4533" spans="10:10" x14ac:dyDescent="0.4">
      <c r="J4533" s="140"/>
    </row>
    <row r="4534" spans="10:10" x14ac:dyDescent="0.4">
      <c r="J4534" s="140"/>
    </row>
    <row r="4535" spans="10:10" x14ac:dyDescent="0.4">
      <c r="J4535" s="140"/>
    </row>
    <row r="4536" spans="10:10" x14ac:dyDescent="0.4">
      <c r="J4536" s="140"/>
    </row>
    <row r="4537" spans="10:10" x14ac:dyDescent="0.4">
      <c r="J4537" s="140"/>
    </row>
    <row r="4538" spans="10:10" x14ac:dyDescent="0.4">
      <c r="J4538" s="140"/>
    </row>
    <row r="4539" spans="10:10" x14ac:dyDescent="0.4">
      <c r="J4539" s="140"/>
    </row>
    <row r="4540" spans="10:10" x14ac:dyDescent="0.4">
      <c r="J4540" s="140"/>
    </row>
    <row r="4541" spans="10:10" x14ac:dyDescent="0.4">
      <c r="J4541" s="140"/>
    </row>
    <row r="4542" spans="10:10" x14ac:dyDescent="0.4">
      <c r="J4542" s="140"/>
    </row>
    <row r="4543" spans="10:10" x14ac:dyDescent="0.4">
      <c r="J4543" s="140"/>
    </row>
    <row r="4544" spans="10:10" x14ac:dyDescent="0.4">
      <c r="J4544" s="140"/>
    </row>
    <row r="4545" spans="10:10" x14ac:dyDescent="0.4">
      <c r="J4545" s="140"/>
    </row>
    <row r="4546" spans="10:10" x14ac:dyDescent="0.4">
      <c r="J4546" s="140"/>
    </row>
    <row r="4547" spans="10:10" x14ac:dyDescent="0.4">
      <c r="J4547" s="140"/>
    </row>
    <row r="4548" spans="10:10" x14ac:dyDescent="0.4">
      <c r="J4548" s="140"/>
    </row>
    <row r="4549" spans="10:10" x14ac:dyDescent="0.4">
      <c r="J4549" s="140"/>
    </row>
    <row r="4550" spans="10:10" x14ac:dyDescent="0.4">
      <c r="J4550" s="140"/>
    </row>
    <row r="4551" spans="10:10" x14ac:dyDescent="0.4">
      <c r="J4551" s="140"/>
    </row>
    <row r="4552" spans="10:10" x14ac:dyDescent="0.4">
      <c r="J4552" s="140"/>
    </row>
    <row r="4553" spans="10:10" x14ac:dyDescent="0.4">
      <c r="J4553" s="140"/>
    </row>
    <row r="4554" spans="10:10" x14ac:dyDescent="0.4">
      <c r="J4554" s="140"/>
    </row>
    <row r="4555" spans="10:10" x14ac:dyDescent="0.4">
      <c r="J4555" s="140"/>
    </row>
    <row r="4556" spans="10:10" x14ac:dyDescent="0.4">
      <c r="J4556" s="140"/>
    </row>
    <row r="4557" spans="10:10" x14ac:dyDescent="0.4">
      <c r="J4557" s="140"/>
    </row>
    <row r="4558" spans="10:10" x14ac:dyDescent="0.4">
      <c r="J4558" s="140"/>
    </row>
    <row r="4559" spans="10:10" x14ac:dyDescent="0.4">
      <c r="J4559" s="140"/>
    </row>
    <row r="4560" spans="10:10" x14ac:dyDescent="0.4">
      <c r="J4560" s="140"/>
    </row>
    <row r="4561" spans="10:10" x14ac:dyDescent="0.4">
      <c r="J4561" s="140"/>
    </row>
    <row r="4562" spans="10:10" x14ac:dyDescent="0.4">
      <c r="J4562" s="140"/>
    </row>
    <row r="4563" spans="10:10" x14ac:dyDescent="0.4">
      <c r="J4563" s="140"/>
    </row>
    <row r="4564" spans="10:10" x14ac:dyDescent="0.4">
      <c r="J4564" s="140"/>
    </row>
    <row r="4565" spans="10:10" x14ac:dyDescent="0.4">
      <c r="J4565" s="140"/>
    </row>
    <row r="4566" spans="10:10" x14ac:dyDescent="0.4">
      <c r="J4566" s="140"/>
    </row>
    <row r="4567" spans="10:10" x14ac:dyDescent="0.4">
      <c r="J4567" s="140"/>
    </row>
    <row r="4568" spans="10:10" x14ac:dyDescent="0.4">
      <c r="J4568" s="140"/>
    </row>
    <row r="4569" spans="10:10" x14ac:dyDescent="0.4">
      <c r="J4569" s="140"/>
    </row>
    <row r="4570" spans="10:10" x14ac:dyDescent="0.4">
      <c r="J4570" s="140"/>
    </row>
    <row r="4571" spans="10:10" x14ac:dyDescent="0.4">
      <c r="J4571" s="140"/>
    </row>
    <row r="4572" spans="10:10" x14ac:dyDescent="0.4">
      <c r="J4572" s="140"/>
    </row>
    <row r="4573" spans="10:10" x14ac:dyDescent="0.4">
      <c r="J4573" s="140"/>
    </row>
    <row r="4574" spans="10:10" x14ac:dyDescent="0.4">
      <c r="J4574" s="140"/>
    </row>
    <row r="4575" spans="10:10" x14ac:dyDescent="0.4">
      <c r="J4575" s="140"/>
    </row>
    <row r="4576" spans="10:10" x14ac:dyDescent="0.4">
      <c r="J4576" s="140"/>
    </row>
    <row r="4577" spans="10:10" x14ac:dyDescent="0.4">
      <c r="J4577" s="140"/>
    </row>
    <row r="4578" spans="10:10" x14ac:dyDescent="0.4">
      <c r="J4578" s="140"/>
    </row>
    <row r="4579" spans="10:10" x14ac:dyDescent="0.4">
      <c r="J4579" s="140"/>
    </row>
    <row r="4580" spans="10:10" x14ac:dyDescent="0.4">
      <c r="J4580" s="140"/>
    </row>
    <row r="4581" spans="10:10" x14ac:dyDescent="0.4">
      <c r="J4581" s="140"/>
    </row>
    <row r="4582" spans="10:10" x14ac:dyDescent="0.4">
      <c r="J4582" s="140"/>
    </row>
    <row r="4583" spans="10:10" x14ac:dyDescent="0.4">
      <c r="J4583" s="140"/>
    </row>
    <row r="4584" spans="10:10" x14ac:dyDescent="0.4">
      <c r="J4584" s="140"/>
    </row>
    <row r="4585" spans="10:10" x14ac:dyDescent="0.4">
      <c r="J4585" s="140"/>
    </row>
    <row r="4586" spans="10:10" x14ac:dyDescent="0.4">
      <c r="J4586" s="140"/>
    </row>
    <row r="4587" spans="10:10" x14ac:dyDescent="0.4">
      <c r="J4587" s="140"/>
    </row>
    <row r="4588" spans="10:10" x14ac:dyDescent="0.4">
      <c r="J4588" s="140"/>
    </row>
    <row r="4589" spans="10:10" x14ac:dyDescent="0.4">
      <c r="J4589" s="140"/>
    </row>
    <row r="4590" spans="10:10" x14ac:dyDescent="0.4">
      <c r="J4590" s="140"/>
    </row>
    <row r="4591" spans="10:10" x14ac:dyDescent="0.4">
      <c r="J4591" s="140"/>
    </row>
    <row r="4592" spans="10:10" x14ac:dyDescent="0.4">
      <c r="J4592" s="140"/>
    </row>
    <row r="4593" spans="10:10" x14ac:dyDescent="0.4">
      <c r="J4593" s="140"/>
    </row>
    <row r="4594" spans="10:10" x14ac:dyDescent="0.4">
      <c r="J4594" s="140"/>
    </row>
    <row r="4595" spans="10:10" x14ac:dyDescent="0.4">
      <c r="J4595" s="140"/>
    </row>
    <row r="4596" spans="10:10" x14ac:dyDescent="0.4">
      <c r="J4596" s="140"/>
    </row>
    <row r="4597" spans="10:10" x14ac:dyDescent="0.4">
      <c r="J4597" s="140"/>
    </row>
    <row r="4598" spans="10:10" x14ac:dyDescent="0.4">
      <c r="J4598" s="140"/>
    </row>
    <row r="4599" spans="10:10" x14ac:dyDescent="0.4">
      <c r="J4599" s="140"/>
    </row>
    <row r="4600" spans="10:10" x14ac:dyDescent="0.4">
      <c r="J4600" s="140"/>
    </row>
    <row r="4601" spans="10:10" x14ac:dyDescent="0.4">
      <c r="J4601" s="140"/>
    </row>
    <row r="4602" spans="10:10" x14ac:dyDescent="0.4">
      <c r="J4602" s="140"/>
    </row>
    <row r="4603" spans="10:10" x14ac:dyDescent="0.4">
      <c r="J4603" s="140"/>
    </row>
    <row r="4604" spans="10:10" x14ac:dyDescent="0.4">
      <c r="J4604" s="140"/>
    </row>
    <row r="4605" spans="10:10" x14ac:dyDescent="0.4">
      <c r="J4605" s="140"/>
    </row>
    <row r="4606" spans="10:10" x14ac:dyDescent="0.4">
      <c r="J4606" s="140"/>
    </row>
    <row r="4607" spans="10:10" x14ac:dyDescent="0.4">
      <c r="J4607" s="140"/>
    </row>
    <row r="4608" spans="10:10" x14ac:dyDescent="0.4">
      <c r="J4608" s="140"/>
    </row>
    <row r="4609" spans="10:10" x14ac:dyDescent="0.4">
      <c r="J4609" s="140"/>
    </row>
    <row r="4610" spans="10:10" x14ac:dyDescent="0.4">
      <c r="J4610" s="140"/>
    </row>
    <row r="4611" spans="10:10" x14ac:dyDescent="0.4">
      <c r="J4611" s="140"/>
    </row>
    <row r="4612" spans="10:10" x14ac:dyDescent="0.4">
      <c r="J4612" s="140"/>
    </row>
    <row r="4613" spans="10:10" x14ac:dyDescent="0.4">
      <c r="J4613" s="140"/>
    </row>
    <row r="4614" spans="10:10" x14ac:dyDescent="0.4">
      <c r="J4614" s="140"/>
    </row>
    <row r="4615" spans="10:10" x14ac:dyDescent="0.4">
      <c r="J4615" s="140"/>
    </row>
    <row r="4616" spans="10:10" x14ac:dyDescent="0.4">
      <c r="J4616" s="140"/>
    </row>
    <row r="4617" spans="10:10" x14ac:dyDescent="0.4">
      <c r="J4617" s="140"/>
    </row>
    <row r="4618" spans="10:10" x14ac:dyDescent="0.4">
      <c r="J4618" s="140"/>
    </row>
    <row r="4619" spans="10:10" x14ac:dyDescent="0.4">
      <c r="J4619" s="140"/>
    </row>
    <row r="4620" spans="10:10" x14ac:dyDescent="0.4">
      <c r="J4620" s="140"/>
    </row>
    <row r="4621" spans="10:10" x14ac:dyDescent="0.4">
      <c r="J4621" s="140"/>
    </row>
    <row r="4622" spans="10:10" x14ac:dyDescent="0.4">
      <c r="J4622" s="140"/>
    </row>
    <row r="4623" spans="10:10" x14ac:dyDescent="0.4">
      <c r="J4623" s="140"/>
    </row>
    <row r="4624" spans="10:10" x14ac:dyDescent="0.4">
      <c r="J4624" s="140"/>
    </row>
    <row r="4625" spans="10:10" x14ac:dyDescent="0.4">
      <c r="J4625" s="140"/>
    </row>
    <row r="4626" spans="10:10" x14ac:dyDescent="0.4">
      <c r="J4626" s="140"/>
    </row>
    <row r="4627" spans="10:10" x14ac:dyDescent="0.4">
      <c r="J4627" s="140"/>
    </row>
    <row r="4628" spans="10:10" x14ac:dyDescent="0.4">
      <c r="J4628" s="140"/>
    </row>
    <row r="4629" spans="10:10" x14ac:dyDescent="0.4">
      <c r="J4629" s="140"/>
    </row>
    <row r="4630" spans="10:10" x14ac:dyDescent="0.4">
      <c r="J4630" s="140"/>
    </row>
    <row r="4631" spans="10:10" x14ac:dyDescent="0.4">
      <c r="J4631" s="140"/>
    </row>
    <row r="4632" spans="10:10" x14ac:dyDescent="0.4">
      <c r="J4632" s="140"/>
    </row>
    <row r="4633" spans="10:10" x14ac:dyDescent="0.4">
      <c r="J4633" s="140"/>
    </row>
    <row r="4634" spans="10:10" x14ac:dyDescent="0.4">
      <c r="J4634" s="140"/>
    </row>
    <row r="4635" spans="10:10" x14ac:dyDescent="0.4">
      <c r="J4635" s="140"/>
    </row>
    <row r="4636" spans="10:10" x14ac:dyDescent="0.4">
      <c r="J4636" s="140"/>
    </row>
    <row r="4637" spans="10:10" x14ac:dyDescent="0.4">
      <c r="J4637" s="140"/>
    </row>
    <row r="4638" spans="10:10" x14ac:dyDescent="0.4">
      <c r="J4638" s="140"/>
    </row>
    <row r="4639" spans="10:10" x14ac:dyDescent="0.4">
      <c r="J4639" s="140"/>
    </row>
    <row r="4640" spans="10:10" x14ac:dyDescent="0.4">
      <c r="J4640" s="140"/>
    </row>
    <row r="4641" spans="10:10" x14ac:dyDescent="0.4">
      <c r="J4641" s="140"/>
    </row>
    <row r="4642" spans="10:10" x14ac:dyDescent="0.4">
      <c r="J4642" s="140"/>
    </row>
    <row r="4643" spans="10:10" x14ac:dyDescent="0.4">
      <c r="J4643" s="140"/>
    </row>
    <row r="4644" spans="10:10" x14ac:dyDescent="0.4">
      <c r="J4644" s="140"/>
    </row>
    <row r="4645" spans="10:10" x14ac:dyDescent="0.4">
      <c r="J4645" s="140"/>
    </row>
    <row r="4646" spans="10:10" x14ac:dyDescent="0.4">
      <c r="J4646" s="140"/>
    </row>
    <row r="4647" spans="10:10" x14ac:dyDescent="0.4">
      <c r="J4647" s="140"/>
    </row>
    <row r="4648" spans="10:10" x14ac:dyDescent="0.4">
      <c r="J4648" s="140"/>
    </row>
    <row r="4649" spans="10:10" x14ac:dyDescent="0.4">
      <c r="J4649" s="140"/>
    </row>
    <row r="4650" spans="10:10" x14ac:dyDescent="0.4">
      <c r="J4650" s="140"/>
    </row>
    <row r="4651" spans="10:10" x14ac:dyDescent="0.4">
      <c r="J4651" s="140"/>
    </row>
    <row r="4652" spans="10:10" x14ac:dyDescent="0.4">
      <c r="J4652" s="140"/>
    </row>
    <row r="4653" spans="10:10" x14ac:dyDescent="0.4">
      <c r="J4653" s="140"/>
    </row>
    <row r="4654" spans="10:10" x14ac:dyDescent="0.4">
      <c r="J4654" s="140"/>
    </row>
    <row r="4655" spans="10:10" x14ac:dyDescent="0.4">
      <c r="J4655" s="140"/>
    </row>
    <row r="4656" spans="10:10" x14ac:dyDescent="0.4">
      <c r="J4656" s="140"/>
    </row>
    <row r="4657" spans="10:10" x14ac:dyDescent="0.4">
      <c r="J4657" s="140"/>
    </row>
    <row r="4658" spans="10:10" x14ac:dyDescent="0.4">
      <c r="J4658" s="140"/>
    </row>
    <row r="4659" spans="10:10" x14ac:dyDescent="0.4">
      <c r="J4659" s="140"/>
    </row>
    <row r="4660" spans="10:10" x14ac:dyDescent="0.4">
      <c r="J4660" s="140"/>
    </row>
    <row r="4661" spans="10:10" x14ac:dyDescent="0.4">
      <c r="J4661" s="140"/>
    </row>
    <row r="4662" spans="10:10" x14ac:dyDescent="0.4">
      <c r="J4662" s="140"/>
    </row>
    <row r="4663" spans="10:10" x14ac:dyDescent="0.4">
      <c r="J4663" s="140"/>
    </row>
    <row r="4664" spans="10:10" x14ac:dyDescent="0.4">
      <c r="J4664" s="140"/>
    </row>
    <row r="4665" spans="10:10" x14ac:dyDescent="0.4">
      <c r="J4665" s="140"/>
    </row>
    <row r="4666" spans="10:10" x14ac:dyDescent="0.4">
      <c r="J4666" s="140"/>
    </row>
    <row r="4667" spans="10:10" x14ac:dyDescent="0.4">
      <c r="J4667" s="140"/>
    </row>
    <row r="4668" spans="10:10" x14ac:dyDescent="0.4">
      <c r="J4668" s="140"/>
    </row>
    <row r="4669" spans="10:10" x14ac:dyDescent="0.4">
      <c r="J4669" s="140"/>
    </row>
    <row r="4670" spans="10:10" x14ac:dyDescent="0.4">
      <c r="J4670" s="140"/>
    </row>
    <row r="4671" spans="10:10" x14ac:dyDescent="0.4">
      <c r="J4671" s="140"/>
    </row>
    <row r="4672" spans="10:10" x14ac:dyDescent="0.4">
      <c r="J4672" s="140"/>
    </row>
    <row r="4673" spans="10:10" x14ac:dyDescent="0.4">
      <c r="J4673" s="140"/>
    </row>
    <row r="4674" spans="10:10" x14ac:dyDescent="0.4">
      <c r="J4674" s="140"/>
    </row>
    <row r="4675" spans="10:10" x14ac:dyDescent="0.4">
      <c r="J4675" s="140"/>
    </row>
    <row r="4676" spans="10:10" x14ac:dyDescent="0.4">
      <c r="J4676" s="140"/>
    </row>
    <row r="4677" spans="10:10" x14ac:dyDescent="0.4">
      <c r="J4677" s="140"/>
    </row>
    <row r="4678" spans="10:10" x14ac:dyDescent="0.4">
      <c r="J4678" s="140"/>
    </row>
    <row r="4679" spans="10:10" x14ac:dyDescent="0.4">
      <c r="J4679" s="140"/>
    </row>
    <row r="4680" spans="10:10" x14ac:dyDescent="0.4">
      <c r="J4680" s="140"/>
    </row>
    <row r="4681" spans="10:10" x14ac:dyDescent="0.4">
      <c r="J4681" s="140"/>
    </row>
    <row r="4682" spans="10:10" x14ac:dyDescent="0.4">
      <c r="J4682" s="140"/>
    </row>
    <row r="4683" spans="10:10" x14ac:dyDescent="0.4">
      <c r="J4683" s="140"/>
    </row>
    <row r="4684" spans="10:10" x14ac:dyDescent="0.4">
      <c r="J4684" s="140"/>
    </row>
    <row r="4685" spans="10:10" x14ac:dyDescent="0.4">
      <c r="J4685" s="140"/>
    </row>
    <row r="4686" spans="10:10" x14ac:dyDescent="0.4">
      <c r="J4686" s="140"/>
    </row>
    <row r="4687" spans="10:10" x14ac:dyDescent="0.4">
      <c r="J4687" s="140"/>
    </row>
    <row r="4688" spans="10:10" x14ac:dyDescent="0.4">
      <c r="J4688" s="140"/>
    </row>
    <row r="4689" spans="10:10" x14ac:dyDescent="0.4">
      <c r="J4689" s="140"/>
    </row>
    <row r="4690" spans="10:10" x14ac:dyDescent="0.4">
      <c r="J4690" s="140"/>
    </row>
    <row r="4691" spans="10:10" x14ac:dyDescent="0.4">
      <c r="J4691" s="140"/>
    </row>
    <row r="4692" spans="10:10" x14ac:dyDescent="0.4">
      <c r="J4692" s="140"/>
    </row>
    <row r="4693" spans="10:10" x14ac:dyDescent="0.4">
      <c r="J4693" s="140"/>
    </row>
    <row r="4694" spans="10:10" x14ac:dyDescent="0.4">
      <c r="J4694" s="140"/>
    </row>
    <row r="4695" spans="10:10" x14ac:dyDescent="0.4">
      <c r="J4695" s="140"/>
    </row>
    <row r="4696" spans="10:10" x14ac:dyDescent="0.4">
      <c r="J4696" s="140"/>
    </row>
    <row r="4697" spans="10:10" x14ac:dyDescent="0.4">
      <c r="J4697" s="140"/>
    </row>
    <row r="4698" spans="10:10" x14ac:dyDescent="0.4">
      <c r="J4698" s="140"/>
    </row>
    <row r="4699" spans="10:10" x14ac:dyDescent="0.4">
      <c r="J4699" s="140"/>
    </row>
    <row r="4700" spans="10:10" x14ac:dyDescent="0.4">
      <c r="J4700" s="140"/>
    </row>
    <row r="4701" spans="10:10" x14ac:dyDescent="0.4">
      <c r="J4701" s="140"/>
    </row>
    <row r="4702" spans="10:10" x14ac:dyDescent="0.4">
      <c r="J4702" s="140"/>
    </row>
    <row r="4703" spans="10:10" x14ac:dyDescent="0.4">
      <c r="J4703" s="140"/>
    </row>
    <row r="4704" spans="10:10" x14ac:dyDescent="0.4">
      <c r="J4704" s="140"/>
    </row>
    <row r="4705" spans="10:10" x14ac:dyDescent="0.4">
      <c r="J4705" s="140"/>
    </row>
    <row r="4706" spans="10:10" x14ac:dyDescent="0.4">
      <c r="J4706" s="140"/>
    </row>
    <row r="4707" spans="10:10" x14ac:dyDescent="0.4">
      <c r="J4707" s="140"/>
    </row>
    <row r="4708" spans="10:10" x14ac:dyDescent="0.4">
      <c r="J4708" s="140"/>
    </row>
    <row r="4709" spans="10:10" x14ac:dyDescent="0.4">
      <c r="J4709" s="140"/>
    </row>
    <row r="4710" spans="10:10" x14ac:dyDescent="0.4">
      <c r="J4710" s="140"/>
    </row>
    <row r="4711" spans="10:10" x14ac:dyDescent="0.4">
      <c r="J4711" s="140"/>
    </row>
    <row r="4712" spans="10:10" x14ac:dyDescent="0.4">
      <c r="J4712" s="140"/>
    </row>
    <row r="4713" spans="10:10" x14ac:dyDescent="0.4">
      <c r="J4713" s="140"/>
    </row>
    <row r="4714" spans="10:10" x14ac:dyDescent="0.4">
      <c r="J4714" s="140"/>
    </row>
    <row r="4715" spans="10:10" x14ac:dyDescent="0.4">
      <c r="J4715" s="140"/>
    </row>
    <row r="4716" spans="10:10" x14ac:dyDescent="0.4">
      <c r="J4716" s="140"/>
    </row>
    <row r="4717" spans="10:10" x14ac:dyDescent="0.4">
      <c r="J4717" s="140"/>
    </row>
    <row r="4718" spans="10:10" x14ac:dyDescent="0.4">
      <c r="J4718" s="140"/>
    </row>
    <row r="4719" spans="10:10" x14ac:dyDescent="0.4">
      <c r="J4719" s="140"/>
    </row>
    <row r="4720" spans="10:10" x14ac:dyDescent="0.4">
      <c r="J4720" s="140"/>
    </row>
    <row r="4721" spans="10:10" x14ac:dyDescent="0.4">
      <c r="J4721" s="140"/>
    </row>
    <row r="4722" spans="10:10" x14ac:dyDescent="0.4">
      <c r="J4722" s="140"/>
    </row>
    <row r="4723" spans="10:10" x14ac:dyDescent="0.4">
      <c r="J4723" s="140"/>
    </row>
    <row r="4724" spans="10:10" x14ac:dyDescent="0.4">
      <c r="J4724" s="140"/>
    </row>
    <row r="4725" spans="10:10" x14ac:dyDescent="0.4">
      <c r="J4725" s="140"/>
    </row>
    <row r="4726" spans="10:10" x14ac:dyDescent="0.4">
      <c r="J4726" s="140"/>
    </row>
    <row r="4727" spans="10:10" x14ac:dyDescent="0.4">
      <c r="J4727" s="140"/>
    </row>
    <row r="4728" spans="10:10" x14ac:dyDescent="0.4">
      <c r="J4728" s="140"/>
    </row>
    <row r="4729" spans="10:10" x14ac:dyDescent="0.4">
      <c r="J4729" s="140"/>
    </row>
    <row r="4730" spans="10:10" x14ac:dyDescent="0.4">
      <c r="J4730" s="140"/>
    </row>
    <row r="4731" spans="10:10" x14ac:dyDescent="0.4">
      <c r="J4731" s="140"/>
    </row>
    <row r="4732" spans="10:10" x14ac:dyDescent="0.4">
      <c r="J4732" s="140"/>
    </row>
    <row r="4733" spans="10:10" x14ac:dyDescent="0.4">
      <c r="J4733" s="140"/>
    </row>
    <row r="4734" spans="10:10" x14ac:dyDescent="0.4">
      <c r="J4734" s="140"/>
    </row>
    <row r="4735" spans="10:10" x14ac:dyDescent="0.4">
      <c r="J4735" s="140"/>
    </row>
    <row r="4736" spans="10:10" x14ac:dyDescent="0.4">
      <c r="J4736" s="140"/>
    </row>
    <row r="4737" spans="10:10" x14ac:dyDescent="0.4">
      <c r="J4737" s="140"/>
    </row>
    <row r="4738" spans="10:10" x14ac:dyDescent="0.4">
      <c r="J4738" s="140"/>
    </row>
    <row r="4739" spans="10:10" x14ac:dyDescent="0.4">
      <c r="J4739" s="140"/>
    </row>
    <row r="4740" spans="10:10" x14ac:dyDescent="0.4">
      <c r="J4740" s="140"/>
    </row>
    <row r="4741" spans="10:10" x14ac:dyDescent="0.4">
      <c r="J4741" s="140"/>
    </row>
    <row r="4742" spans="10:10" x14ac:dyDescent="0.4">
      <c r="J4742" s="140"/>
    </row>
    <row r="4743" spans="10:10" x14ac:dyDescent="0.4">
      <c r="J4743" s="140"/>
    </row>
    <row r="4744" spans="10:10" x14ac:dyDescent="0.4">
      <c r="J4744" s="140"/>
    </row>
    <row r="4745" spans="10:10" x14ac:dyDescent="0.4">
      <c r="J4745" s="140"/>
    </row>
    <row r="4746" spans="10:10" x14ac:dyDescent="0.4">
      <c r="J4746" s="140"/>
    </row>
    <row r="4747" spans="10:10" x14ac:dyDescent="0.4">
      <c r="J4747" s="140"/>
    </row>
    <row r="4748" spans="10:10" x14ac:dyDescent="0.4">
      <c r="J4748" s="140"/>
    </row>
    <row r="4749" spans="10:10" x14ac:dyDescent="0.4">
      <c r="J4749" s="140"/>
    </row>
    <row r="4750" spans="10:10" x14ac:dyDescent="0.4">
      <c r="J4750" s="140"/>
    </row>
    <row r="4751" spans="10:10" x14ac:dyDescent="0.4">
      <c r="J4751" s="140"/>
    </row>
    <row r="4752" spans="10:10" x14ac:dyDescent="0.4">
      <c r="J4752" s="140"/>
    </row>
    <row r="4753" spans="10:10" x14ac:dyDescent="0.4">
      <c r="J4753" s="140"/>
    </row>
    <row r="4754" spans="10:10" x14ac:dyDescent="0.4">
      <c r="J4754" s="140"/>
    </row>
    <row r="4755" spans="10:10" x14ac:dyDescent="0.4">
      <c r="J4755" s="140"/>
    </row>
    <row r="4756" spans="10:10" x14ac:dyDescent="0.4">
      <c r="J4756" s="140"/>
    </row>
    <row r="4757" spans="10:10" x14ac:dyDescent="0.4">
      <c r="J4757" s="140"/>
    </row>
    <row r="4758" spans="10:10" x14ac:dyDescent="0.4">
      <c r="J4758" s="140"/>
    </row>
    <row r="4759" spans="10:10" x14ac:dyDescent="0.4">
      <c r="J4759" s="140"/>
    </row>
    <row r="4760" spans="10:10" x14ac:dyDescent="0.4">
      <c r="J4760" s="140"/>
    </row>
    <row r="4761" spans="10:10" x14ac:dyDescent="0.4">
      <c r="J4761" s="140"/>
    </row>
    <row r="4762" spans="10:10" x14ac:dyDescent="0.4">
      <c r="J4762" s="140"/>
    </row>
    <row r="4763" spans="10:10" x14ac:dyDescent="0.4">
      <c r="J4763" s="140"/>
    </row>
    <row r="4764" spans="10:10" x14ac:dyDescent="0.4">
      <c r="J4764" s="140"/>
    </row>
    <row r="4765" spans="10:10" x14ac:dyDescent="0.4">
      <c r="J4765" s="140"/>
    </row>
    <row r="4766" spans="10:10" x14ac:dyDescent="0.4">
      <c r="J4766" s="140"/>
    </row>
    <row r="4767" spans="10:10" x14ac:dyDescent="0.4">
      <c r="J4767" s="140"/>
    </row>
    <row r="4768" spans="10:10" x14ac:dyDescent="0.4">
      <c r="J4768" s="140"/>
    </row>
    <row r="4769" spans="10:10" x14ac:dyDescent="0.4">
      <c r="J4769" s="140"/>
    </row>
    <row r="4770" spans="10:10" x14ac:dyDescent="0.4">
      <c r="J4770" s="140"/>
    </row>
    <row r="4771" spans="10:10" x14ac:dyDescent="0.4">
      <c r="J4771" s="140"/>
    </row>
    <row r="4772" spans="10:10" x14ac:dyDescent="0.4">
      <c r="J4772" s="140"/>
    </row>
    <row r="4773" spans="10:10" x14ac:dyDescent="0.4">
      <c r="J4773" s="140"/>
    </row>
    <row r="4774" spans="10:10" x14ac:dyDescent="0.4">
      <c r="J4774" s="140"/>
    </row>
    <row r="4775" spans="10:10" x14ac:dyDescent="0.4">
      <c r="J4775" s="140"/>
    </row>
    <row r="4776" spans="10:10" x14ac:dyDescent="0.4">
      <c r="J4776" s="140"/>
    </row>
    <row r="4777" spans="10:10" x14ac:dyDescent="0.4">
      <c r="J4777" s="140"/>
    </row>
    <row r="4778" spans="10:10" x14ac:dyDescent="0.4">
      <c r="J4778" s="140"/>
    </row>
    <row r="4779" spans="10:10" x14ac:dyDescent="0.4">
      <c r="J4779" s="140"/>
    </row>
    <row r="4780" spans="10:10" x14ac:dyDescent="0.4">
      <c r="J4780" s="140"/>
    </row>
    <row r="4781" spans="10:10" x14ac:dyDescent="0.4">
      <c r="J4781" s="140"/>
    </row>
    <row r="4782" spans="10:10" x14ac:dyDescent="0.4">
      <c r="J4782" s="140"/>
    </row>
    <row r="4783" spans="10:10" x14ac:dyDescent="0.4">
      <c r="J4783" s="140"/>
    </row>
    <row r="4784" spans="10:10" x14ac:dyDescent="0.4">
      <c r="J4784" s="140"/>
    </row>
    <row r="4785" spans="10:10" x14ac:dyDescent="0.4">
      <c r="J4785" s="140"/>
    </row>
    <row r="4786" spans="10:10" x14ac:dyDescent="0.4">
      <c r="J4786" s="140"/>
    </row>
    <row r="4787" spans="10:10" x14ac:dyDescent="0.4">
      <c r="J4787" s="140"/>
    </row>
    <row r="4788" spans="10:10" x14ac:dyDescent="0.4">
      <c r="J4788" s="140"/>
    </row>
    <row r="4789" spans="10:10" x14ac:dyDescent="0.4">
      <c r="J4789" s="140"/>
    </row>
    <row r="4790" spans="10:10" x14ac:dyDescent="0.4">
      <c r="J4790" s="140"/>
    </row>
    <row r="4791" spans="10:10" x14ac:dyDescent="0.4">
      <c r="J4791" s="140"/>
    </row>
    <row r="4792" spans="10:10" x14ac:dyDescent="0.4">
      <c r="J4792" s="140"/>
    </row>
    <row r="4793" spans="10:10" x14ac:dyDescent="0.4">
      <c r="J4793" s="140"/>
    </row>
    <row r="4794" spans="10:10" x14ac:dyDescent="0.4">
      <c r="J4794" s="140"/>
    </row>
    <row r="4795" spans="10:10" x14ac:dyDescent="0.4">
      <c r="J4795" s="140"/>
    </row>
    <row r="4796" spans="10:10" x14ac:dyDescent="0.4">
      <c r="J4796" s="140"/>
    </row>
    <row r="4797" spans="10:10" x14ac:dyDescent="0.4">
      <c r="J4797" s="140"/>
    </row>
    <row r="4798" spans="10:10" x14ac:dyDescent="0.4">
      <c r="J4798" s="140"/>
    </row>
    <row r="4799" spans="10:10" x14ac:dyDescent="0.4">
      <c r="J4799" s="140"/>
    </row>
    <row r="4800" spans="10:10" x14ac:dyDescent="0.4">
      <c r="J4800" s="140"/>
    </row>
    <row r="4801" spans="10:10" x14ac:dyDescent="0.4">
      <c r="J4801" s="140"/>
    </row>
    <row r="4802" spans="10:10" x14ac:dyDescent="0.4">
      <c r="J4802" s="140"/>
    </row>
    <row r="4803" spans="10:10" x14ac:dyDescent="0.4">
      <c r="J4803" s="140"/>
    </row>
    <row r="4804" spans="10:10" x14ac:dyDescent="0.4">
      <c r="J4804" s="140"/>
    </row>
    <row r="4805" spans="10:10" x14ac:dyDescent="0.4">
      <c r="J4805" s="140"/>
    </row>
    <row r="4806" spans="10:10" x14ac:dyDescent="0.4">
      <c r="J4806" s="140"/>
    </row>
    <row r="4807" spans="10:10" x14ac:dyDescent="0.4">
      <c r="J4807" s="140"/>
    </row>
    <row r="4808" spans="10:10" x14ac:dyDescent="0.4">
      <c r="J4808" s="140"/>
    </row>
    <row r="4809" spans="10:10" x14ac:dyDescent="0.4">
      <c r="J4809" s="140"/>
    </row>
    <row r="4810" spans="10:10" x14ac:dyDescent="0.4">
      <c r="J4810" s="140"/>
    </row>
    <row r="4811" spans="10:10" x14ac:dyDescent="0.4">
      <c r="J4811" s="140"/>
    </row>
    <row r="4812" spans="10:10" x14ac:dyDescent="0.4">
      <c r="J4812" s="140"/>
    </row>
    <row r="4813" spans="10:10" x14ac:dyDescent="0.4">
      <c r="J4813" s="140"/>
    </row>
    <row r="4814" spans="10:10" x14ac:dyDescent="0.4">
      <c r="J4814" s="140"/>
    </row>
    <row r="4815" spans="10:10" x14ac:dyDescent="0.4">
      <c r="J4815" s="140"/>
    </row>
    <row r="4816" spans="10:10" x14ac:dyDescent="0.4">
      <c r="J4816" s="140"/>
    </row>
    <row r="4817" spans="10:10" x14ac:dyDescent="0.4">
      <c r="J4817" s="140"/>
    </row>
    <row r="4818" spans="10:10" x14ac:dyDescent="0.4">
      <c r="J4818" s="140"/>
    </row>
    <row r="4819" spans="10:10" x14ac:dyDescent="0.4">
      <c r="J4819" s="140"/>
    </row>
    <row r="4820" spans="10:10" x14ac:dyDescent="0.4">
      <c r="J4820" s="140"/>
    </row>
    <row r="4821" spans="10:10" x14ac:dyDescent="0.4">
      <c r="J4821" s="140"/>
    </row>
    <row r="4822" spans="10:10" x14ac:dyDescent="0.4">
      <c r="J4822" s="140"/>
    </row>
    <row r="4823" spans="10:10" x14ac:dyDescent="0.4">
      <c r="J4823" s="140"/>
    </row>
    <row r="4824" spans="10:10" x14ac:dyDescent="0.4">
      <c r="J4824" s="140"/>
    </row>
    <row r="4825" spans="10:10" x14ac:dyDescent="0.4">
      <c r="J4825" s="140"/>
    </row>
    <row r="4826" spans="10:10" x14ac:dyDescent="0.4">
      <c r="J4826" s="140"/>
    </row>
    <row r="4827" spans="10:10" x14ac:dyDescent="0.4">
      <c r="J4827" s="140"/>
    </row>
    <row r="4828" spans="10:10" x14ac:dyDescent="0.4">
      <c r="J4828" s="140"/>
    </row>
    <row r="4829" spans="10:10" x14ac:dyDescent="0.4">
      <c r="J4829" s="140"/>
    </row>
    <row r="4830" spans="10:10" x14ac:dyDescent="0.4">
      <c r="J4830" s="140"/>
    </row>
    <row r="4831" spans="10:10" x14ac:dyDescent="0.4">
      <c r="J4831" s="140"/>
    </row>
    <row r="4832" spans="10:10" x14ac:dyDescent="0.4">
      <c r="J4832" s="140"/>
    </row>
    <row r="4833" spans="10:10" x14ac:dyDescent="0.4">
      <c r="J4833" s="140"/>
    </row>
    <row r="4834" spans="10:10" x14ac:dyDescent="0.4">
      <c r="J4834" s="140"/>
    </row>
    <row r="4835" spans="10:10" x14ac:dyDescent="0.4">
      <c r="J4835" s="140"/>
    </row>
    <row r="4836" spans="10:10" x14ac:dyDescent="0.4">
      <c r="J4836" s="140"/>
    </row>
    <row r="4837" spans="10:10" x14ac:dyDescent="0.4">
      <c r="J4837" s="140"/>
    </row>
    <row r="4838" spans="10:10" x14ac:dyDescent="0.4">
      <c r="J4838" s="140"/>
    </row>
    <row r="4839" spans="10:10" x14ac:dyDescent="0.4">
      <c r="J4839" s="140"/>
    </row>
    <row r="4840" spans="10:10" x14ac:dyDescent="0.4">
      <c r="J4840" s="140"/>
    </row>
    <row r="4841" spans="10:10" x14ac:dyDescent="0.4">
      <c r="J4841" s="140"/>
    </row>
    <row r="4842" spans="10:10" x14ac:dyDescent="0.4">
      <c r="J4842" s="140"/>
    </row>
    <row r="4843" spans="10:10" x14ac:dyDescent="0.4">
      <c r="J4843" s="140"/>
    </row>
    <row r="4844" spans="10:10" x14ac:dyDescent="0.4">
      <c r="J4844" s="140"/>
    </row>
    <row r="4845" spans="10:10" x14ac:dyDescent="0.4">
      <c r="J4845" s="140"/>
    </row>
    <row r="4846" spans="10:10" x14ac:dyDescent="0.4">
      <c r="J4846" s="140"/>
    </row>
    <row r="4847" spans="10:10" x14ac:dyDescent="0.4">
      <c r="J4847" s="140"/>
    </row>
    <row r="4848" spans="10:10" x14ac:dyDescent="0.4">
      <c r="J4848" s="140"/>
    </row>
    <row r="4849" spans="10:10" x14ac:dyDescent="0.4">
      <c r="J4849" s="140"/>
    </row>
    <row r="4850" spans="10:10" x14ac:dyDescent="0.4">
      <c r="J4850" s="140"/>
    </row>
    <row r="4851" spans="10:10" x14ac:dyDescent="0.4">
      <c r="J4851" s="140"/>
    </row>
    <row r="4852" spans="10:10" x14ac:dyDescent="0.4">
      <c r="J4852" s="140"/>
    </row>
    <row r="4853" spans="10:10" x14ac:dyDescent="0.4">
      <c r="J4853" s="140"/>
    </row>
    <row r="4854" spans="10:10" x14ac:dyDescent="0.4">
      <c r="J4854" s="140"/>
    </row>
    <row r="4855" spans="10:10" x14ac:dyDescent="0.4">
      <c r="J4855" s="140"/>
    </row>
    <row r="4856" spans="10:10" x14ac:dyDescent="0.4">
      <c r="J4856" s="140"/>
    </row>
    <row r="4857" spans="10:10" x14ac:dyDescent="0.4">
      <c r="J4857" s="140"/>
    </row>
    <row r="4858" spans="10:10" x14ac:dyDescent="0.4">
      <c r="J4858" s="140"/>
    </row>
    <row r="4859" spans="10:10" x14ac:dyDescent="0.4">
      <c r="J4859" s="140"/>
    </row>
    <row r="4860" spans="10:10" x14ac:dyDescent="0.4">
      <c r="J4860" s="140"/>
    </row>
    <row r="4861" spans="10:10" x14ac:dyDescent="0.4">
      <c r="J4861" s="140"/>
    </row>
    <row r="4862" spans="10:10" x14ac:dyDescent="0.4">
      <c r="J4862" s="140"/>
    </row>
    <row r="4863" spans="10:10" x14ac:dyDescent="0.4">
      <c r="J4863" s="140"/>
    </row>
    <row r="4864" spans="10:10" x14ac:dyDescent="0.4">
      <c r="J4864" s="140"/>
    </row>
    <row r="4865" spans="10:10" x14ac:dyDescent="0.4">
      <c r="J4865" s="140"/>
    </row>
    <row r="4866" spans="10:10" x14ac:dyDescent="0.4">
      <c r="J4866" s="140"/>
    </row>
    <row r="4867" spans="10:10" x14ac:dyDescent="0.4">
      <c r="J4867" s="140"/>
    </row>
    <row r="4868" spans="10:10" x14ac:dyDescent="0.4">
      <c r="J4868" s="140"/>
    </row>
    <row r="4869" spans="10:10" x14ac:dyDescent="0.4">
      <c r="J4869" s="140"/>
    </row>
    <row r="4870" spans="10:10" x14ac:dyDescent="0.4">
      <c r="J4870" s="140"/>
    </row>
    <row r="4871" spans="10:10" x14ac:dyDescent="0.4">
      <c r="J4871" s="140"/>
    </row>
    <row r="4872" spans="10:10" x14ac:dyDescent="0.4">
      <c r="J4872" s="140"/>
    </row>
    <row r="4873" spans="10:10" x14ac:dyDescent="0.4">
      <c r="J4873" s="140"/>
    </row>
    <row r="4874" spans="10:10" x14ac:dyDescent="0.4">
      <c r="J4874" s="140"/>
    </row>
    <row r="4875" spans="10:10" x14ac:dyDescent="0.4">
      <c r="J4875" s="140"/>
    </row>
    <row r="4876" spans="10:10" x14ac:dyDescent="0.4">
      <c r="J4876" s="140"/>
    </row>
    <row r="4877" spans="10:10" x14ac:dyDescent="0.4">
      <c r="J4877" s="140"/>
    </row>
    <row r="4878" spans="10:10" x14ac:dyDescent="0.4">
      <c r="J4878" s="140"/>
    </row>
    <row r="4879" spans="10:10" x14ac:dyDescent="0.4">
      <c r="J4879" s="140"/>
    </row>
    <row r="4880" spans="10:10" x14ac:dyDescent="0.4">
      <c r="J4880" s="140"/>
    </row>
    <row r="4881" spans="10:10" x14ac:dyDescent="0.4">
      <c r="J4881" s="140"/>
    </row>
    <row r="4882" spans="10:10" x14ac:dyDescent="0.4">
      <c r="J4882" s="140"/>
    </row>
    <row r="4883" spans="10:10" x14ac:dyDescent="0.4">
      <c r="J4883" s="140"/>
    </row>
    <row r="4884" spans="10:10" x14ac:dyDescent="0.4">
      <c r="J4884" s="140"/>
    </row>
    <row r="4885" spans="10:10" x14ac:dyDescent="0.4">
      <c r="J4885" s="140"/>
    </row>
    <row r="4886" spans="10:10" x14ac:dyDescent="0.4">
      <c r="J4886" s="140"/>
    </row>
    <row r="4887" spans="10:10" x14ac:dyDescent="0.4">
      <c r="J4887" s="140"/>
    </row>
    <row r="4888" spans="10:10" x14ac:dyDescent="0.4">
      <c r="J4888" s="140"/>
    </row>
    <row r="4889" spans="10:10" x14ac:dyDescent="0.4">
      <c r="J4889" s="140"/>
    </row>
    <row r="4890" spans="10:10" x14ac:dyDescent="0.4">
      <c r="J4890" s="140"/>
    </row>
    <row r="4891" spans="10:10" x14ac:dyDescent="0.4">
      <c r="J4891" s="140"/>
    </row>
    <row r="4892" spans="10:10" x14ac:dyDescent="0.4">
      <c r="J4892" s="140"/>
    </row>
    <row r="4893" spans="10:10" x14ac:dyDescent="0.4">
      <c r="J4893" s="140"/>
    </row>
    <row r="4894" spans="10:10" x14ac:dyDescent="0.4">
      <c r="J4894" s="140"/>
    </row>
    <row r="4895" spans="10:10" x14ac:dyDescent="0.4">
      <c r="J4895" s="140"/>
    </row>
    <row r="4896" spans="10:10" x14ac:dyDescent="0.4">
      <c r="J4896" s="140"/>
    </row>
    <row r="4897" spans="10:10" x14ac:dyDescent="0.4">
      <c r="J4897" s="140"/>
    </row>
    <row r="4898" spans="10:10" x14ac:dyDescent="0.4">
      <c r="J4898" s="140"/>
    </row>
    <row r="4899" spans="10:10" x14ac:dyDescent="0.4">
      <c r="J4899" s="140"/>
    </row>
    <row r="4900" spans="10:10" x14ac:dyDescent="0.4">
      <c r="J4900" s="140"/>
    </row>
    <row r="4901" spans="10:10" x14ac:dyDescent="0.4">
      <c r="J4901" s="140"/>
    </row>
    <row r="4902" spans="10:10" x14ac:dyDescent="0.4">
      <c r="J4902" s="140"/>
    </row>
    <row r="4903" spans="10:10" x14ac:dyDescent="0.4">
      <c r="J4903" s="140"/>
    </row>
    <row r="4904" spans="10:10" x14ac:dyDescent="0.4">
      <c r="J4904" s="140"/>
    </row>
    <row r="4905" spans="10:10" x14ac:dyDescent="0.4">
      <c r="J4905" s="140"/>
    </row>
    <row r="4906" spans="10:10" x14ac:dyDescent="0.4">
      <c r="J4906" s="140"/>
    </row>
    <row r="4907" spans="10:10" x14ac:dyDescent="0.4">
      <c r="J4907" s="140"/>
    </row>
    <row r="4908" spans="10:10" x14ac:dyDescent="0.4">
      <c r="J4908" s="140"/>
    </row>
    <row r="4909" spans="10:10" x14ac:dyDescent="0.4">
      <c r="J4909" s="140"/>
    </row>
    <row r="4910" spans="10:10" x14ac:dyDescent="0.4">
      <c r="J4910" s="140"/>
    </row>
    <row r="4911" spans="10:10" x14ac:dyDescent="0.4">
      <c r="J4911" s="140"/>
    </row>
    <row r="4912" spans="10:10" x14ac:dyDescent="0.4">
      <c r="J4912" s="140"/>
    </row>
    <row r="4913" spans="10:10" x14ac:dyDescent="0.4">
      <c r="J4913" s="140"/>
    </row>
    <row r="4914" spans="10:10" x14ac:dyDescent="0.4">
      <c r="J4914" s="140"/>
    </row>
    <row r="4915" spans="10:10" x14ac:dyDescent="0.4">
      <c r="J4915" s="140"/>
    </row>
    <row r="4916" spans="10:10" x14ac:dyDescent="0.4">
      <c r="J4916" s="140"/>
    </row>
    <row r="4917" spans="10:10" x14ac:dyDescent="0.4">
      <c r="J4917" s="140"/>
    </row>
    <row r="4918" spans="10:10" x14ac:dyDescent="0.4">
      <c r="J4918" s="140"/>
    </row>
    <row r="4919" spans="10:10" x14ac:dyDescent="0.4">
      <c r="J4919" s="140"/>
    </row>
    <row r="4920" spans="10:10" x14ac:dyDescent="0.4">
      <c r="J4920" s="140"/>
    </row>
    <row r="4921" spans="10:10" x14ac:dyDescent="0.4">
      <c r="J4921" s="140"/>
    </row>
    <row r="4922" spans="10:10" x14ac:dyDescent="0.4">
      <c r="J4922" s="140"/>
    </row>
    <row r="4923" spans="10:10" x14ac:dyDescent="0.4">
      <c r="J4923" s="140"/>
    </row>
    <row r="4924" spans="10:10" x14ac:dyDescent="0.4">
      <c r="J4924" s="140"/>
    </row>
    <row r="4925" spans="10:10" x14ac:dyDescent="0.4">
      <c r="J4925" s="140"/>
    </row>
    <row r="4926" spans="10:10" x14ac:dyDescent="0.4">
      <c r="J4926" s="140"/>
    </row>
    <row r="4927" spans="10:10" x14ac:dyDescent="0.4">
      <c r="J4927" s="140"/>
    </row>
    <row r="4928" spans="10:10" x14ac:dyDescent="0.4">
      <c r="J4928" s="140"/>
    </row>
    <row r="4929" spans="10:10" x14ac:dyDescent="0.4">
      <c r="J4929" s="140"/>
    </row>
    <row r="4930" spans="10:10" x14ac:dyDescent="0.4">
      <c r="J4930" s="140"/>
    </row>
    <row r="4931" spans="10:10" x14ac:dyDescent="0.4">
      <c r="J4931" s="140"/>
    </row>
    <row r="4932" spans="10:10" x14ac:dyDescent="0.4">
      <c r="J4932" s="140"/>
    </row>
    <row r="4933" spans="10:10" x14ac:dyDescent="0.4">
      <c r="J4933" s="140"/>
    </row>
    <row r="4934" spans="10:10" x14ac:dyDescent="0.4">
      <c r="J4934" s="140"/>
    </row>
    <row r="4935" spans="10:10" x14ac:dyDescent="0.4">
      <c r="J4935" s="140"/>
    </row>
    <row r="4936" spans="10:10" x14ac:dyDescent="0.4">
      <c r="J4936" s="140"/>
    </row>
    <row r="4937" spans="10:10" x14ac:dyDescent="0.4">
      <c r="J4937" s="140"/>
    </row>
    <row r="4938" spans="10:10" x14ac:dyDescent="0.4">
      <c r="J4938" s="140"/>
    </row>
    <row r="4939" spans="10:10" x14ac:dyDescent="0.4">
      <c r="J4939" s="140"/>
    </row>
    <row r="4940" spans="10:10" x14ac:dyDescent="0.4">
      <c r="J4940" s="140"/>
    </row>
    <row r="4941" spans="10:10" x14ac:dyDescent="0.4">
      <c r="J4941" s="140"/>
    </row>
    <row r="4942" spans="10:10" x14ac:dyDescent="0.4">
      <c r="J4942" s="140"/>
    </row>
    <row r="4943" spans="10:10" x14ac:dyDescent="0.4">
      <c r="J4943" s="140"/>
    </row>
    <row r="4944" spans="10:10" x14ac:dyDescent="0.4">
      <c r="J4944" s="140"/>
    </row>
    <row r="4945" spans="10:10" x14ac:dyDescent="0.4">
      <c r="J4945" s="140"/>
    </row>
    <row r="4946" spans="10:10" x14ac:dyDescent="0.4">
      <c r="J4946" s="140"/>
    </row>
    <row r="4947" spans="10:10" x14ac:dyDescent="0.4">
      <c r="J4947" s="140"/>
    </row>
    <row r="4948" spans="10:10" x14ac:dyDescent="0.4">
      <c r="J4948" s="140"/>
    </row>
    <row r="4949" spans="10:10" x14ac:dyDescent="0.4">
      <c r="J4949" s="140"/>
    </row>
    <row r="4950" spans="10:10" x14ac:dyDescent="0.4">
      <c r="J4950" s="140"/>
    </row>
    <row r="4951" spans="10:10" x14ac:dyDescent="0.4">
      <c r="J4951" s="140"/>
    </row>
    <row r="4952" spans="10:10" x14ac:dyDescent="0.4">
      <c r="J4952" s="140"/>
    </row>
    <row r="4953" spans="10:10" x14ac:dyDescent="0.4">
      <c r="J4953" s="140"/>
    </row>
    <row r="4954" spans="10:10" x14ac:dyDescent="0.4">
      <c r="J4954" s="140"/>
    </row>
    <row r="4955" spans="10:10" x14ac:dyDescent="0.4">
      <c r="J4955" s="140"/>
    </row>
    <row r="4956" spans="10:10" x14ac:dyDescent="0.4">
      <c r="J4956" s="140"/>
    </row>
    <row r="4957" spans="10:10" x14ac:dyDescent="0.4">
      <c r="J4957" s="140"/>
    </row>
    <row r="4958" spans="10:10" x14ac:dyDescent="0.4">
      <c r="J4958" s="140"/>
    </row>
    <row r="4959" spans="10:10" x14ac:dyDescent="0.4">
      <c r="J4959" s="140"/>
    </row>
    <row r="4960" spans="10:10" x14ac:dyDescent="0.4">
      <c r="J4960" s="140"/>
    </row>
    <row r="4961" spans="10:10" x14ac:dyDescent="0.4">
      <c r="J4961" s="140"/>
    </row>
    <row r="4962" spans="10:10" x14ac:dyDescent="0.4">
      <c r="J4962" s="140"/>
    </row>
    <row r="4963" spans="10:10" x14ac:dyDescent="0.4">
      <c r="J4963" s="140"/>
    </row>
    <row r="4964" spans="10:10" x14ac:dyDescent="0.4">
      <c r="J4964" s="140"/>
    </row>
    <row r="4965" spans="10:10" x14ac:dyDescent="0.4">
      <c r="J4965" s="140"/>
    </row>
    <row r="4966" spans="10:10" x14ac:dyDescent="0.4">
      <c r="J4966" s="140"/>
    </row>
    <row r="4967" spans="10:10" x14ac:dyDescent="0.4">
      <c r="J4967" s="140"/>
    </row>
    <row r="4968" spans="10:10" x14ac:dyDescent="0.4">
      <c r="J4968" s="140"/>
    </row>
    <row r="4969" spans="10:10" x14ac:dyDescent="0.4">
      <c r="J4969" s="140"/>
    </row>
    <row r="4970" spans="10:10" x14ac:dyDescent="0.4">
      <c r="J4970" s="140"/>
    </row>
    <row r="4971" spans="10:10" x14ac:dyDescent="0.4">
      <c r="J4971" s="140"/>
    </row>
    <row r="4972" spans="10:10" x14ac:dyDescent="0.4">
      <c r="J4972" s="140"/>
    </row>
    <row r="4973" spans="10:10" x14ac:dyDescent="0.4">
      <c r="J4973" s="140"/>
    </row>
    <row r="4974" spans="10:10" x14ac:dyDescent="0.4">
      <c r="J4974" s="140"/>
    </row>
    <row r="4975" spans="10:10" x14ac:dyDescent="0.4">
      <c r="J4975" s="140"/>
    </row>
    <row r="4976" spans="10:10" x14ac:dyDescent="0.4">
      <c r="J4976" s="140"/>
    </row>
    <row r="4977" spans="10:10" x14ac:dyDescent="0.4">
      <c r="J4977" s="140"/>
    </row>
    <row r="4978" spans="10:10" x14ac:dyDescent="0.4">
      <c r="J4978" s="140"/>
    </row>
    <row r="4979" spans="10:10" x14ac:dyDescent="0.4">
      <c r="J4979" s="140"/>
    </row>
    <row r="4980" spans="10:10" x14ac:dyDescent="0.4">
      <c r="J4980" s="140"/>
    </row>
    <row r="4981" spans="10:10" x14ac:dyDescent="0.4">
      <c r="J4981" s="140"/>
    </row>
    <row r="4982" spans="10:10" x14ac:dyDescent="0.4">
      <c r="J4982" s="140"/>
    </row>
    <row r="4983" spans="10:10" x14ac:dyDescent="0.4">
      <c r="J4983" s="140"/>
    </row>
    <row r="4984" spans="10:10" x14ac:dyDescent="0.4">
      <c r="J4984" s="140"/>
    </row>
    <row r="4985" spans="10:10" x14ac:dyDescent="0.4">
      <c r="J4985" s="140"/>
    </row>
    <row r="4986" spans="10:10" x14ac:dyDescent="0.4">
      <c r="J4986" s="140"/>
    </row>
    <row r="4987" spans="10:10" x14ac:dyDescent="0.4">
      <c r="J4987" s="140"/>
    </row>
    <row r="4988" spans="10:10" x14ac:dyDescent="0.4">
      <c r="J4988" s="140"/>
    </row>
    <row r="4989" spans="10:10" x14ac:dyDescent="0.4">
      <c r="J4989" s="140"/>
    </row>
    <row r="4990" spans="10:10" x14ac:dyDescent="0.4">
      <c r="J4990" s="140"/>
    </row>
    <row r="4991" spans="10:10" x14ac:dyDescent="0.4">
      <c r="J4991" s="140"/>
    </row>
    <row r="4992" spans="10:10" x14ac:dyDescent="0.4">
      <c r="J4992" s="140"/>
    </row>
    <row r="4993" spans="10:10" x14ac:dyDescent="0.4">
      <c r="J4993" s="140"/>
    </row>
    <row r="4994" spans="10:10" x14ac:dyDescent="0.4">
      <c r="J4994" s="140"/>
    </row>
    <row r="4995" spans="10:10" x14ac:dyDescent="0.4">
      <c r="J4995" s="140"/>
    </row>
    <row r="4996" spans="10:10" x14ac:dyDescent="0.4">
      <c r="J4996" s="140"/>
    </row>
    <row r="4997" spans="10:10" x14ac:dyDescent="0.4">
      <c r="J4997" s="140"/>
    </row>
    <row r="4998" spans="10:10" x14ac:dyDescent="0.4">
      <c r="J4998" s="140"/>
    </row>
    <row r="4999" spans="10:10" x14ac:dyDescent="0.4">
      <c r="J4999" s="140"/>
    </row>
    <row r="5000" spans="10:10" x14ac:dyDescent="0.4">
      <c r="J5000" s="140"/>
    </row>
    <row r="5001" spans="10:10" x14ac:dyDescent="0.4">
      <c r="J5001" s="140"/>
    </row>
    <row r="5002" spans="10:10" x14ac:dyDescent="0.4">
      <c r="J5002" s="140"/>
    </row>
    <row r="5003" spans="10:10" x14ac:dyDescent="0.4">
      <c r="J5003" s="140"/>
    </row>
    <row r="5004" spans="10:10" x14ac:dyDescent="0.4">
      <c r="J5004" s="140"/>
    </row>
    <row r="5005" spans="10:10" x14ac:dyDescent="0.4">
      <c r="J5005" s="140"/>
    </row>
    <row r="5006" spans="10:10" x14ac:dyDescent="0.4">
      <c r="J5006" s="140"/>
    </row>
    <row r="5007" spans="10:10" x14ac:dyDescent="0.4">
      <c r="J5007" s="140"/>
    </row>
    <row r="5008" spans="10:10" x14ac:dyDescent="0.4">
      <c r="J5008" s="140"/>
    </row>
    <row r="5009" spans="10:10" x14ac:dyDescent="0.4">
      <c r="J5009" s="140"/>
    </row>
    <row r="5010" spans="10:10" x14ac:dyDescent="0.4">
      <c r="J5010" s="140"/>
    </row>
    <row r="5011" spans="10:10" x14ac:dyDescent="0.4">
      <c r="J5011" s="140"/>
    </row>
    <row r="5012" spans="10:10" x14ac:dyDescent="0.4">
      <c r="J5012" s="140"/>
    </row>
    <row r="5013" spans="10:10" x14ac:dyDescent="0.4">
      <c r="J5013" s="140"/>
    </row>
    <row r="5014" spans="10:10" x14ac:dyDescent="0.4">
      <c r="J5014" s="140"/>
    </row>
    <row r="5015" spans="10:10" x14ac:dyDescent="0.4">
      <c r="J5015" s="140"/>
    </row>
    <row r="5016" spans="10:10" x14ac:dyDescent="0.4">
      <c r="J5016" s="140"/>
    </row>
    <row r="5017" spans="10:10" x14ac:dyDescent="0.4">
      <c r="J5017" s="140"/>
    </row>
    <row r="5018" spans="10:10" x14ac:dyDescent="0.4">
      <c r="J5018" s="140"/>
    </row>
    <row r="5019" spans="10:10" x14ac:dyDescent="0.4">
      <c r="J5019" s="140"/>
    </row>
    <row r="5020" spans="10:10" x14ac:dyDescent="0.4">
      <c r="J5020" s="140"/>
    </row>
    <row r="5021" spans="10:10" x14ac:dyDescent="0.4">
      <c r="J5021" s="140"/>
    </row>
    <row r="5022" spans="10:10" x14ac:dyDescent="0.4">
      <c r="J5022" s="140"/>
    </row>
    <row r="5023" spans="10:10" x14ac:dyDescent="0.4">
      <c r="J5023" s="140"/>
    </row>
    <row r="5024" spans="10:10" x14ac:dyDescent="0.4">
      <c r="J5024" s="140"/>
    </row>
    <row r="5025" spans="10:10" x14ac:dyDescent="0.4">
      <c r="J5025" s="140"/>
    </row>
    <row r="5026" spans="10:10" x14ac:dyDescent="0.4">
      <c r="J5026" s="140"/>
    </row>
    <row r="5027" spans="10:10" x14ac:dyDescent="0.4">
      <c r="J5027" s="140"/>
    </row>
    <row r="5028" spans="10:10" x14ac:dyDescent="0.4">
      <c r="J5028" s="140"/>
    </row>
    <row r="5029" spans="10:10" x14ac:dyDescent="0.4">
      <c r="J5029" s="140"/>
    </row>
    <row r="5030" spans="10:10" x14ac:dyDescent="0.4">
      <c r="J5030" s="140"/>
    </row>
    <row r="5031" spans="10:10" x14ac:dyDescent="0.4">
      <c r="J5031" s="140"/>
    </row>
    <row r="5032" spans="10:10" x14ac:dyDescent="0.4">
      <c r="J5032" s="140"/>
    </row>
    <row r="5033" spans="10:10" x14ac:dyDescent="0.4">
      <c r="J5033" s="140"/>
    </row>
    <row r="5034" spans="10:10" x14ac:dyDescent="0.4">
      <c r="J5034" s="140"/>
    </row>
    <row r="5035" spans="10:10" x14ac:dyDescent="0.4">
      <c r="J5035" s="140"/>
    </row>
    <row r="5036" spans="10:10" x14ac:dyDescent="0.4">
      <c r="J5036" s="140"/>
    </row>
    <row r="5037" spans="10:10" x14ac:dyDescent="0.4">
      <c r="J5037" s="140"/>
    </row>
    <row r="5038" spans="10:10" x14ac:dyDescent="0.4">
      <c r="J5038" s="140"/>
    </row>
    <row r="5039" spans="10:10" x14ac:dyDescent="0.4">
      <c r="J5039" s="140"/>
    </row>
    <row r="5040" spans="10:10" x14ac:dyDescent="0.4">
      <c r="J5040" s="140"/>
    </row>
    <row r="5041" spans="10:10" x14ac:dyDescent="0.4">
      <c r="J5041" s="140"/>
    </row>
    <row r="5042" spans="10:10" x14ac:dyDescent="0.4">
      <c r="J5042" s="140"/>
    </row>
    <row r="5043" spans="10:10" x14ac:dyDescent="0.4">
      <c r="J5043" s="140"/>
    </row>
    <row r="5044" spans="10:10" x14ac:dyDescent="0.4">
      <c r="J5044" s="140"/>
    </row>
    <row r="5045" spans="10:10" x14ac:dyDescent="0.4">
      <c r="J5045" s="140"/>
    </row>
    <row r="5046" spans="10:10" x14ac:dyDescent="0.4">
      <c r="J5046" s="140"/>
    </row>
    <row r="5047" spans="10:10" x14ac:dyDescent="0.4">
      <c r="J5047" s="140"/>
    </row>
    <row r="5048" spans="10:10" x14ac:dyDescent="0.4">
      <c r="J5048" s="140"/>
    </row>
    <row r="5049" spans="10:10" x14ac:dyDescent="0.4">
      <c r="J5049" s="140"/>
    </row>
    <row r="5050" spans="10:10" x14ac:dyDescent="0.4">
      <c r="J5050" s="140"/>
    </row>
    <row r="5051" spans="10:10" x14ac:dyDescent="0.4">
      <c r="J5051" s="140"/>
    </row>
    <row r="5052" spans="10:10" x14ac:dyDescent="0.4">
      <c r="J5052" s="140"/>
    </row>
    <row r="5053" spans="10:10" x14ac:dyDescent="0.4">
      <c r="J5053" s="140"/>
    </row>
    <row r="5054" spans="10:10" x14ac:dyDescent="0.4">
      <c r="J5054" s="140"/>
    </row>
    <row r="5055" spans="10:10" x14ac:dyDescent="0.4">
      <c r="J5055" s="140"/>
    </row>
    <row r="5056" spans="10:10" x14ac:dyDescent="0.4">
      <c r="J5056" s="140"/>
    </row>
    <row r="5057" spans="10:10" x14ac:dyDescent="0.4">
      <c r="J5057" s="140"/>
    </row>
    <row r="5058" spans="10:10" x14ac:dyDescent="0.4">
      <c r="J5058" s="140"/>
    </row>
    <row r="5059" spans="10:10" x14ac:dyDescent="0.4">
      <c r="J5059" s="140"/>
    </row>
    <row r="5060" spans="10:10" x14ac:dyDescent="0.4">
      <c r="J5060" s="140"/>
    </row>
    <row r="5061" spans="10:10" x14ac:dyDescent="0.4">
      <c r="J5061" s="140"/>
    </row>
    <row r="5062" spans="10:10" x14ac:dyDescent="0.4">
      <c r="J5062" s="140"/>
    </row>
    <row r="5063" spans="10:10" x14ac:dyDescent="0.4">
      <c r="J5063" s="140"/>
    </row>
    <row r="5064" spans="10:10" x14ac:dyDescent="0.4">
      <c r="J5064" s="140"/>
    </row>
    <row r="5065" spans="10:10" x14ac:dyDescent="0.4">
      <c r="J5065" s="140"/>
    </row>
    <row r="5066" spans="10:10" x14ac:dyDescent="0.4">
      <c r="J5066" s="140"/>
    </row>
    <row r="5067" spans="10:10" x14ac:dyDescent="0.4">
      <c r="J5067" s="140"/>
    </row>
    <row r="5068" spans="10:10" x14ac:dyDescent="0.4">
      <c r="J5068" s="140"/>
    </row>
    <row r="5069" spans="10:10" x14ac:dyDescent="0.4">
      <c r="J5069" s="140"/>
    </row>
    <row r="5070" spans="10:10" x14ac:dyDescent="0.4">
      <c r="J5070" s="140"/>
    </row>
    <row r="5071" spans="10:10" x14ac:dyDescent="0.4">
      <c r="J5071" s="140"/>
    </row>
    <row r="5072" spans="10:10" x14ac:dyDescent="0.4">
      <c r="J5072" s="140"/>
    </row>
    <row r="5073" spans="10:10" x14ac:dyDescent="0.4">
      <c r="J5073" s="140"/>
    </row>
    <row r="5074" spans="10:10" x14ac:dyDescent="0.4">
      <c r="J5074" s="140"/>
    </row>
    <row r="5075" spans="10:10" x14ac:dyDescent="0.4">
      <c r="J5075" s="140"/>
    </row>
    <row r="5076" spans="10:10" x14ac:dyDescent="0.4">
      <c r="J5076" s="140"/>
    </row>
    <row r="5077" spans="10:10" x14ac:dyDescent="0.4">
      <c r="J5077" s="140"/>
    </row>
    <row r="5078" spans="10:10" x14ac:dyDescent="0.4">
      <c r="J5078" s="140"/>
    </row>
    <row r="5079" spans="10:10" x14ac:dyDescent="0.4">
      <c r="J5079" s="140"/>
    </row>
    <row r="5080" spans="10:10" x14ac:dyDescent="0.4">
      <c r="J5080" s="140"/>
    </row>
    <row r="5081" spans="10:10" x14ac:dyDescent="0.4">
      <c r="J5081" s="140"/>
    </row>
    <row r="5082" spans="10:10" x14ac:dyDescent="0.4">
      <c r="J5082" s="140"/>
    </row>
    <row r="5083" spans="10:10" x14ac:dyDescent="0.4">
      <c r="J5083" s="140"/>
    </row>
    <row r="5084" spans="10:10" x14ac:dyDescent="0.4">
      <c r="J5084" s="140"/>
    </row>
    <row r="5085" spans="10:10" x14ac:dyDescent="0.4">
      <c r="J5085" s="140"/>
    </row>
    <row r="5086" spans="10:10" x14ac:dyDescent="0.4">
      <c r="J5086" s="140"/>
    </row>
    <row r="5087" spans="10:10" x14ac:dyDescent="0.4">
      <c r="J5087" s="140"/>
    </row>
    <row r="5088" spans="10:10" x14ac:dyDescent="0.4">
      <c r="J5088" s="140"/>
    </row>
    <row r="5089" spans="10:10" x14ac:dyDescent="0.4">
      <c r="J5089" s="140"/>
    </row>
    <row r="5090" spans="10:10" x14ac:dyDescent="0.4">
      <c r="J5090" s="140"/>
    </row>
    <row r="5091" spans="10:10" x14ac:dyDescent="0.4">
      <c r="J5091" s="140"/>
    </row>
    <row r="5092" spans="10:10" x14ac:dyDescent="0.4">
      <c r="J5092" s="140"/>
    </row>
    <row r="5093" spans="10:10" x14ac:dyDescent="0.4">
      <c r="J5093" s="140"/>
    </row>
    <row r="5094" spans="10:10" x14ac:dyDescent="0.4">
      <c r="J5094" s="140"/>
    </row>
    <row r="5095" spans="10:10" x14ac:dyDescent="0.4">
      <c r="J5095" s="140"/>
    </row>
    <row r="5096" spans="10:10" x14ac:dyDescent="0.4">
      <c r="J5096" s="140"/>
    </row>
    <row r="5097" spans="10:10" x14ac:dyDescent="0.4">
      <c r="J5097" s="140"/>
    </row>
    <row r="5098" spans="10:10" x14ac:dyDescent="0.4">
      <c r="J5098" s="140"/>
    </row>
    <row r="5099" spans="10:10" x14ac:dyDescent="0.4">
      <c r="J5099" s="140"/>
    </row>
    <row r="5100" spans="10:10" x14ac:dyDescent="0.4">
      <c r="J5100" s="140"/>
    </row>
    <row r="5101" spans="10:10" x14ac:dyDescent="0.4">
      <c r="J5101" s="140"/>
    </row>
    <row r="5102" spans="10:10" x14ac:dyDescent="0.4">
      <c r="J5102" s="140"/>
    </row>
    <row r="5103" spans="10:10" x14ac:dyDescent="0.4">
      <c r="J5103" s="140"/>
    </row>
    <row r="5104" spans="10:10" x14ac:dyDescent="0.4">
      <c r="J5104" s="140"/>
    </row>
    <row r="5105" spans="10:10" x14ac:dyDescent="0.4">
      <c r="J5105" s="140"/>
    </row>
    <row r="5106" spans="10:10" x14ac:dyDescent="0.4">
      <c r="J5106" s="140"/>
    </row>
    <row r="5107" spans="10:10" x14ac:dyDescent="0.4">
      <c r="J5107" s="140"/>
    </row>
    <row r="5108" spans="10:10" x14ac:dyDescent="0.4">
      <c r="J5108" s="140"/>
    </row>
    <row r="5109" spans="10:10" x14ac:dyDescent="0.4">
      <c r="J5109" s="140"/>
    </row>
    <row r="5110" spans="10:10" x14ac:dyDescent="0.4">
      <c r="J5110" s="140"/>
    </row>
    <row r="5111" spans="10:10" x14ac:dyDescent="0.4">
      <c r="J5111" s="140"/>
    </row>
    <row r="5112" spans="10:10" x14ac:dyDescent="0.4">
      <c r="J5112" s="140"/>
    </row>
    <row r="5113" spans="10:10" x14ac:dyDescent="0.4">
      <c r="J5113" s="140"/>
    </row>
    <row r="5114" spans="10:10" x14ac:dyDescent="0.4">
      <c r="J5114" s="140"/>
    </row>
    <row r="5115" spans="10:10" x14ac:dyDescent="0.4">
      <c r="J5115" s="140"/>
    </row>
    <row r="5116" spans="10:10" x14ac:dyDescent="0.4">
      <c r="J5116" s="140"/>
    </row>
    <row r="5117" spans="10:10" x14ac:dyDescent="0.4">
      <c r="J5117" s="140"/>
    </row>
    <row r="5118" spans="10:10" x14ac:dyDescent="0.4">
      <c r="J5118" s="140"/>
    </row>
    <row r="5119" spans="10:10" x14ac:dyDescent="0.4">
      <c r="J5119" s="140"/>
    </row>
    <row r="5120" spans="10:10" x14ac:dyDescent="0.4">
      <c r="J5120" s="140"/>
    </row>
    <row r="5121" spans="10:10" x14ac:dyDescent="0.4">
      <c r="J5121" s="140"/>
    </row>
    <row r="5122" spans="10:10" x14ac:dyDescent="0.4">
      <c r="J5122" s="140"/>
    </row>
    <row r="5123" spans="10:10" x14ac:dyDescent="0.4">
      <c r="J5123" s="140"/>
    </row>
    <row r="5124" spans="10:10" x14ac:dyDescent="0.4">
      <c r="J5124" s="140"/>
    </row>
    <row r="5125" spans="10:10" x14ac:dyDescent="0.4">
      <c r="J5125" s="140"/>
    </row>
    <row r="5126" spans="10:10" x14ac:dyDescent="0.4">
      <c r="J5126" s="140"/>
    </row>
    <row r="5127" spans="10:10" x14ac:dyDescent="0.4">
      <c r="J5127" s="140"/>
    </row>
    <row r="5128" spans="10:10" x14ac:dyDescent="0.4">
      <c r="J5128" s="140"/>
    </row>
    <row r="5129" spans="10:10" x14ac:dyDescent="0.4">
      <c r="J5129" s="140"/>
    </row>
    <row r="5130" spans="10:10" x14ac:dyDescent="0.4">
      <c r="J5130" s="140"/>
    </row>
    <row r="5131" spans="10:10" x14ac:dyDescent="0.4">
      <c r="J5131" s="140"/>
    </row>
    <row r="5132" spans="10:10" x14ac:dyDescent="0.4">
      <c r="J5132" s="140"/>
    </row>
    <row r="5133" spans="10:10" x14ac:dyDescent="0.4">
      <c r="J5133" s="140"/>
    </row>
    <row r="5134" spans="10:10" x14ac:dyDescent="0.4">
      <c r="J5134" s="140"/>
    </row>
    <row r="5135" spans="10:10" x14ac:dyDescent="0.4">
      <c r="J5135" s="140"/>
    </row>
    <row r="5136" spans="10:10" x14ac:dyDescent="0.4">
      <c r="J5136" s="140"/>
    </row>
    <row r="5137" spans="10:10" x14ac:dyDescent="0.4">
      <c r="J5137" s="140"/>
    </row>
    <row r="5138" spans="10:10" x14ac:dyDescent="0.4">
      <c r="J5138" s="140"/>
    </row>
    <row r="5139" spans="10:10" x14ac:dyDescent="0.4">
      <c r="J5139" s="140"/>
    </row>
    <row r="5140" spans="10:10" x14ac:dyDescent="0.4">
      <c r="J5140" s="140"/>
    </row>
    <row r="5141" spans="10:10" x14ac:dyDescent="0.4">
      <c r="J5141" s="140"/>
    </row>
    <row r="5142" spans="10:10" x14ac:dyDescent="0.4">
      <c r="J5142" s="140"/>
    </row>
    <row r="5143" spans="10:10" x14ac:dyDescent="0.4">
      <c r="J5143" s="140"/>
    </row>
    <row r="5144" spans="10:10" x14ac:dyDescent="0.4">
      <c r="J5144" s="140"/>
    </row>
    <row r="5145" spans="10:10" x14ac:dyDescent="0.4">
      <c r="J5145" s="140"/>
    </row>
    <row r="5146" spans="10:10" x14ac:dyDescent="0.4">
      <c r="J5146" s="140"/>
    </row>
    <row r="5147" spans="10:10" x14ac:dyDescent="0.4">
      <c r="J5147" s="140"/>
    </row>
    <row r="5148" spans="10:10" x14ac:dyDescent="0.4">
      <c r="J5148" s="140"/>
    </row>
    <row r="5149" spans="10:10" x14ac:dyDescent="0.4">
      <c r="J5149" s="140"/>
    </row>
    <row r="5150" spans="10:10" x14ac:dyDescent="0.4">
      <c r="J5150" s="140"/>
    </row>
    <row r="5151" spans="10:10" x14ac:dyDescent="0.4">
      <c r="J5151" s="140"/>
    </row>
    <row r="5152" spans="10:10" x14ac:dyDescent="0.4">
      <c r="J5152" s="140"/>
    </row>
    <row r="5153" spans="10:10" x14ac:dyDescent="0.4">
      <c r="J5153" s="140"/>
    </row>
    <row r="5154" spans="10:10" x14ac:dyDescent="0.4">
      <c r="J5154" s="140"/>
    </row>
    <row r="5155" spans="10:10" x14ac:dyDescent="0.4">
      <c r="J5155" s="140"/>
    </row>
    <row r="5156" spans="10:10" x14ac:dyDescent="0.4">
      <c r="J5156" s="140"/>
    </row>
    <row r="5157" spans="10:10" x14ac:dyDescent="0.4">
      <c r="J5157" s="140"/>
    </row>
    <row r="5158" spans="10:10" x14ac:dyDescent="0.4">
      <c r="J5158" s="140"/>
    </row>
    <row r="5159" spans="10:10" x14ac:dyDescent="0.4">
      <c r="J5159" s="140"/>
    </row>
    <row r="5160" spans="10:10" x14ac:dyDescent="0.4">
      <c r="J5160" s="140"/>
    </row>
    <row r="5161" spans="10:10" x14ac:dyDescent="0.4">
      <c r="J5161" s="140"/>
    </row>
    <row r="5162" spans="10:10" x14ac:dyDescent="0.4">
      <c r="J5162" s="140"/>
    </row>
    <row r="5163" spans="10:10" x14ac:dyDescent="0.4">
      <c r="J5163" s="140"/>
    </row>
    <row r="5164" spans="10:10" x14ac:dyDescent="0.4">
      <c r="J5164" s="140"/>
    </row>
    <row r="5165" spans="10:10" x14ac:dyDescent="0.4">
      <c r="J5165" s="140"/>
    </row>
    <row r="5166" spans="10:10" x14ac:dyDescent="0.4">
      <c r="J5166" s="140"/>
    </row>
    <row r="5167" spans="10:10" x14ac:dyDescent="0.4">
      <c r="J5167" s="140"/>
    </row>
    <row r="5168" spans="10:10" x14ac:dyDescent="0.4">
      <c r="J5168" s="140"/>
    </row>
    <row r="5169" spans="10:10" x14ac:dyDescent="0.4">
      <c r="J5169" s="140"/>
    </row>
    <row r="5170" spans="10:10" x14ac:dyDescent="0.4">
      <c r="J5170" s="140"/>
    </row>
    <row r="5171" spans="10:10" x14ac:dyDescent="0.4">
      <c r="J5171" s="140"/>
    </row>
    <row r="5172" spans="10:10" x14ac:dyDescent="0.4">
      <c r="J5172" s="140"/>
    </row>
    <row r="5173" spans="10:10" x14ac:dyDescent="0.4">
      <c r="J5173" s="140"/>
    </row>
    <row r="5174" spans="10:10" x14ac:dyDescent="0.4">
      <c r="J5174" s="140"/>
    </row>
    <row r="5175" spans="10:10" x14ac:dyDescent="0.4">
      <c r="J5175" s="140"/>
    </row>
    <row r="5176" spans="10:10" x14ac:dyDescent="0.4">
      <c r="J5176" s="140"/>
    </row>
    <row r="5177" spans="10:10" x14ac:dyDescent="0.4">
      <c r="J5177" s="140"/>
    </row>
    <row r="5178" spans="10:10" x14ac:dyDescent="0.4">
      <c r="J5178" s="140"/>
    </row>
    <row r="5179" spans="10:10" x14ac:dyDescent="0.4">
      <c r="J5179" s="140"/>
    </row>
    <row r="5180" spans="10:10" x14ac:dyDescent="0.4">
      <c r="J5180" s="140"/>
    </row>
    <row r="5181" spans="10:10" x14ac:dyDescent="0.4">
      <c r="J5181" s="140"/>
    </row>
    <row r="5182" spans="10:10" x14ac:dyDescent="0.4">
      <c r="J5182" s="140"/>
    </row>
    <row r="5183" spans="10:10" x14ac:dyDescent="0.4">
      <c r="J5183" s="140"/>
    </row>
    <row r="5184" spans="10:10" x14ac:dyDescent="0.4">
      <c r="J5184" s="140"/>
    </row>
    <row r="5185" spans="10:10" x14ac:dyDescent="0.4">
      <c r="J5185" s="140"/>
    </row>
    <row r="5186" spans="10:10" x14ac:dyDescent="0.4">
      <c r="J5186" s="140"/>
    </row>
    <row r="5187" spans="10:10" x14ac:dyDescent="0.4">
      <c r="J5187" s="140"/>
    </row>
    <row r="5188" spans="10:10" x14ac:dyDescent="0.4">
      <c r="J5188" s="140"/>
    </row>
    <row r="5189" spans="10:10" x14ac:dyDescent="0.4">
      <c r="J5189" s="140"/>
    </row>
    <row r="5190" spans="10:10" x14ac:dyDescent="0.4">
      <c r="J5190" s="140"/>
    </row>
    <row r="5191" spans="10:10" x14ac:dyDescent="0.4">
      <c r="J5191" s="140"/>
    </row>
    <row r="5192" spans="10:10" x14ac:dyDescent="0.4">
      <c r="J5192" s="140"/>
    </row>
    <row r="5193" spans="10:10" x14ac:dyDescent="0.4">
      <c r="J5193" s="140"/>
    </row>
    <row r="5194" spans="10:10" x14ac:dyDescent="0.4">
      <c r="J5194" s="140"/>
    </row>
    <row r="5195" spans="10:10" x14ac:dyDescent="0.4">
      <c r="J5195" s="140"/>
    </row>
    <row r="5196" spans="10:10" x14ac:dyDescent="0.4">
      <c r="J5196" s="140"/>
    </row>
    <row r="5197" spans="10:10" x14ac:dyDescent="0.4">
      <c r="J5197" s="140"/>
    </row>
    <row r="5198" spans="10:10" x14ac:dyDescent="0.4">
      <c r="J5198" s="140"/>
    </row>
    <row r="5199" spans="10:10" x14ac:dyDescent="0.4">
      <c r="J5199" s="140"/>
    </row>
    <row r="5200" spans="10:10" x14ac:dyDescent="0.4">
      <c r="J5200" s="140"/>
    </row>
    <row r="5201" spans="10:10" x14ac:dyDescent="0.4">
      <c r="J5201" s="140"/>
    </row>
    <row r="5202" spans="10:10" x14ac:dyDescent="0.4">
      <c r="J5202" s="140"/>
    </row>
    <row r="5203" spans="10:10" x14ac:dyDescent="0.4">
      <c r="J5203" s="140"/>
    </row>
    <row r="5204" spans="10:10" x14ac:dyDescent="0.4">
      <c r="J5204" s="140"/>
    </row>
    <row r="5205" spans="10:10" x14ac:dyDescent="0.4">
      <c r="J5205" s="140"/>
    </row>
    <row r="5206" spans="10:10" x14ac:dyDescent="0.4">
      <c r="J5206" s="140"/>
    </row>
    <row r="5207" spans="10:10" x14ac:dyDescent="0.4">
      <c r="J5207" s="140"/>
    </row>
    <row r="5208" spans="10:10" x14ac:dyDescent="0.4">
      <c r="J5208" s="140"/>
    </row>
    <row r="5209" spans="10:10" x14ac:dyDescent="0.4">
      <c r="J5209" s="140"/>
    </row>
    <row r="5210" spans="10:10" x14ac:dyDescent="0.4">
      <c r="J5210" s="140"/>
    </row>
    <row r="5211" spans="10:10" x14ac:dyDescent="0.4">
      <c r="J5211" s="140"/>
    </row>
    <row r="5212" spans="10:10" x14ac:dyDescent="0.4">
      <c r="J5212" s="140"/>
    </row>
    <row r="5213" spans="10:10" x14ac:dyDescent="0.4">
      <c r="J5213" s="140"/>
    </row>
    <row r="5214" spans="10:10" x14ac:dyDescent="0.4">
      <c r="J5214" s="140"/>
    </row>
    <row r="5215" spans="10:10" x14ac:dyDescent="0.4">
      <c r="J5215" s="140"/>
    </row>
    <row r="5216" spans="10:10" x14ac:dyDescent="0.4">
      <c r="J5216" s="140"/>
    </row>
    <row r="5217" spans="10:10" x14ac:dyDescent="0.4">
      <c r="J5217" s="140"/>
    </row>
    <row r="5218" spans="10:10" x14ac:dyDescent="0.4">
      <c r="J5218" s="140"/>
    </row>
    <row r="5219" spans="10:10" x14ac:dyDescent="0.4">
      <c r="J5219" s="140"/>
    </row>
    <row r="5220" spans="10:10" x14ac:dyDescent="0.4">
      <c r="J5220" s="140"/>
    </row>
    <row r="5221" spans="10:10" x14ac:dyDescent="0.4">
      <c r="J5221" s="140"/>
    </row>
    <row r="5222" spans="10:10" x14ac:dyDescent="0.4">
      <c r="J5222" s="140"/>
    </row>
    <row r="5223" spans="10:10" x14ac:dyDescent="0.4">
      <c r="J5223" s="140"/>
    </row>
    <row r="5224" spans="10:10" x14ac:dyDescent="0.4">
      <c r="J5224" s="140"/>
    </row>
    <row r="5225" spans="10:10" x14ac:dyDescent="0.4">
      <c r="J5225" s="140"/>
    </row>
    <row r="5226" spans="10:10" x14ac:dyDescent="0.4">
      <c r="J5226" s="140"/>
    </row>
    <row r="5227" spans="10:10" x14ac:dyDescent="0.4">
      <c r="J5227" s="140"/>
    </row>
    <row r="5228" spans="10:10" x14ac:dyDescent="0.4">
      <c r="J5228" s="140"/>
    </row>
    <row r="5229" spans="10:10" x14ac:dyDescent="0.4">
      <c r="J5229" s="140"/>
    </row>
    <row r="5230" spans="10:10" x14ac:dyDescent="0.4">
      <c r="J5230" s="140"/>
    </row>
    <row r="5231" spans="10:10" x14ac:dyDescent="0.4">
      <c r="J5231" s="140"/>
    </row>
    <row r="5232" spans="10:10" x14ac:dyDescent="0.4">
      <c r="J5232" s="140"/>
    </row>
    <row r="5233" spans="10:10" x14ac:dyDescent="0.4">
      <c r="J5233" s="140"/>
    </row>
    <row r="5234" spans="10:10" x14ac:dyDescent="0.4">
      <c r="J5234" s="140"/>
    </row>
    <row r="5235" spans="10:10" x14ac:dyDescent="0.4">
      <c r="J5235" s="140"/>
    </row>
    <row r="5236" spans="10:10" x14ac:dyDescent="0.4">
      <c r="J5236" s="140"/>
    </row>
    <row r="5237" spans="10:10" x14ac:dyDescent="0.4">
      <c r="J5237" s="140"/>
    </row>
    <row r="5238" spans="10:10" x14ac:dyDescent="0.4">
      <c r="J5238" s="140"/>
    </row>
    <row r="5239" spans="10:10" x14ac:dyDescent="0.4">
      <c r="J5239" s="140"/>
    </row>
    <row r="5240" spans="10:10" x14ac:dyDescent="0.4">
      <c r="J5240" s="140"/>
    </row>
    <row r="5241" spans="10:10" x14ac:dyDescent="0.4">
      <c r="J5241" s="140"/>
    </row>
    <row r="5242" spans="10:10" x14ac:dyDescent="0.4">
      <c r="J5242" s="140"/>
    </row>
    <row r="5243" spans="10:10" x14ac:dyDescent="0.4">
      <c r="J5243" s="140"/>
    </row>
    <row r="5244" spans="10:10" x14ac:dyDescent="0.4">
      <c r="J5244" s="140"/>
    </row>
    <row r="5245" spans="10:10" x14ac:dyDescent="0.4">
      <c r="J5245" s="140"/>
    </row>
    <row r="5246" spans="10:10" x14ac:dyDescent="0.4">
      <c r="J5246" s="140"/>
    </row>
    <row r="5247" spans="10:10" x14ac:dyDescent="0.4">
      <c r="J5247" s="140"/>
    </row>
    <row r="5248" spans="10:10" x14ac:dyDescent="0.4">
      <c r="J5248" s="140"/>
    </row>
    <row r="5249" spans="10:10" x14ac:dyDescent="0.4">
      <c r="J5249" s="140"/>
    </row>
    <row r="5250" spans="10:10" x14ac:dyDescent="0.4">
      <c r="J5250" s="140"/>
    </row>
    <row r="5251" spans="10:10" x14ac:dyDescent="0.4">
      <c r="J5251" s="140"/>
    </row>
    <row r="5252" spans="10:10" x14ac:dyDescent="0.4">
      <c r="J5252" s="140"/>
    </row>
    <row r="5253" spans="10:10" x14ac:dyDescent="0.4">
      <c r="J5253" s="140"/>
    </row>
    <row r="5254" spans="10:10" x14ac:dyDescent="0.4">
      <c r="J5254" s="140"/>
    </row>
    <row r="5255" spans="10:10" x14ac:dyDescent="0.4">
      <c r="J5255" s="140"/>
    </row>
    <row r="5256" spans="10:10" x14ac:dyDescent="0.4">
      <c r="J5256" s="140"/>
    </row>
    <row r="5257" spans="10:10" x14ac:dyDescent="0.4">
      <c r="J5257" s="140"/>
    </row>
    <row r="5258" spans="10:10" x14ac:dyDescent="0.4">
      <c r="J5258" s="140"/>
    </row>
    <row r="5259" spans="10:10" x14ac:dyDescent="0.4">
      <c r="J5259" s="140"/>
    </row>
    <row r="5260" spans="10:10" x14ac:dyDescent="0.4">
      <c r="J5260" s="140"/>
    </row>
    <row r="5261" spans="10:10" x14ac:dyDescent="0.4">
      <c r="J5261" s="140"/>
    </row>
    <row r="5262" spans="10:10" x14ac:dyDescent="0.4">
      <c r="J5262" s="140"/>
    </row>
    <row r="5263" spans="10:10" x14ac:dyDescent="0.4">
      <c r="J5263" s="140"/>
    </row>
    <row r="5264" spans="10:10" x14ac:dyDescent="0.4">
      <c r="J5264" s="140"/>
    </row>
    <row r="5265" spans="10:10" x14ac:dyDescent="0.4">
      <c r="J5265" s="140"/>
    </row>
    <row r="5266" spans="10:10" x14ac:dyDescent="0.4">
      <c r="J5266" s="140"/>
    </row>
    <row r="5267" spans="10:10" x14ac:dyDescent="0.4">
      <c r="J5267" s="140"/>
    </row>
    <row r="5268" spans="10:10" x14ac:dyDescent="0.4">
      <c r="J5268" s="140"/>
    </row>
    <row r="5269" spans="10:10" x14ac:dyDescent="0.4">
      <c r="J5269" s="140"/>
    </row>
    <row r="5270" spans="10:10" x14ac:dyDescent="0.4">
      <c r="J5270" s="140"/>
    </row>
    <row r="5271" spans="10:10" x14ac:dyDescent="0.4">
      <c r="J5271" s="140"/>
    </row>
    <row r="5272" spans="10:10" x14ac:dyDescent="0.4">
      <c r="J5272" s="140"/>
    </row>
    <row r="5273" spans="10:10" x14ac:dyDescent="0.4">
      <c r="J5273" s="140"/>
    </row>
    <row r="5274" spans="10:10" x14ac:dyDescent="0.4">
      <c r="J5274" s="140"/>
    </row>
    <row r="5275" spans="10:10" x14ac:dyDescent="0.4">
      <c r="J5275" s="140"/>
    </row>
    <row r="5276" spans="10:10" x14ac:dyDescent="0.4">
      <c r="J5276" s="140"/>
    </row>
    <row r="5277" spans="10:10" x14ac:dyDescent="0.4">
      <c r="J5277" s="140"/>
    </row>
    <row r="5278" spans="10:10" x14ac:dyDescent="0.4">
      <c r="J5278" s="140"/>
    </row>
    <row r="5279" spans="10:10" x14ac:dyDescent="0.4">
      <c r="J5279" s="140"/>
    </row>
    <row r="5280" spans="10:10" x14ac:dyDescent="0.4">
      <c r="J5280" s="140"/>
    </row>
    <row r="5281" spans="10:10" x14ac:dyDescent="0.4">
      <c r="J5281" s="140"/>
    </row>
    <row r="5282" spans="10:10" x14ac:dyDescent="0.4">
      <c r="J5282" s="140"/>
    </row>
    <row r="5283" spans="10:10" x14ac:dyDescent="0.4">
      <c r="J5283" s="140"/>
    </row>
    <row r="5284" spans="10:10" x14ac:dyDescent="0.4">
      <c r="J5284" s="140"/>
    </row>
    <row r="5285" spans="10:10" x14ac:dyDescent="0.4">
      <c r="J5285" s="140"/>
    </row>
    <row r="5286" spans="10:10" x14ac:dyDescent="0.4">
      <c r="J5286" s="140"/>
    </row>
    <row r="5287" spans="10:10" x14ac:dyDescent="0.4">
      <c r="J5287" s="140"/>
    </row>
    <row r="5288" spans="10:10" x14ac:dyDescent="0.4">
      <c r="J5288" s="140"/>
    </row>
    <row r="5289" spans="10:10" x14ac:dyDescent="0.4">
      <c r="J5289" s="140"/>
    </row>
    <row r="5290" spans="10:10" x14ac:dyDescent="0.4">
      <c r="J5290" s="140"/>
    </row>
    <row r="5291" spans="10:10" x14ac:dyDescent="0.4">
      <c r="J5291" s="140"/>
    </row>
    <row r="5292" spans="10:10" x14ac:dyDescent="0.4">
      <c r="J5292" s="140"/>
    </row>
    <row r="5293" spans="10:10" x14ac:dyDescent="0.4">
      <c r="J5293" s="140"/>
    </row>
    <row r="5294" spans="10:10" x14ac:dyDescent="0.4">
      <c r="J5294" s="140"/>
    </row>
    <row r="5295" spans="10:10" x14ac:dyDescent="0.4">
      <c r="J5295" s="140"/>
    </row>
    <row r="5296" spans="10:10" x14ac:dyDescent="0.4">
      <c r="J5296" s="140"/>
    </row>
    <row r="5297" spans="10:10" x14ac:dyDescent="0.4">
      <c r="J5297" s="140"/>
    </row>
    <row r="5298" spans="10:10" x14ac:dyDescent="0.4">
      <c r="J5298" s="140"/>
    </row>
    <row r="5299" spans="10:10" x14ac:dyDescent="0.4">
      <c r="J5299" s="140"/>
    </row>
    <row r="5300" spans="10:10" x14ac:dyDescent="0.4">
      <c r="J5300" s="140"/>
    </row>
    <row r="5301" spans="10:10" x14ac:dyDescent="0.4">
      <c r="J5301" s="140"/>
    </row>
    <row r="5302" spans="10:10" x14ac:dyDescent="0.4">
      <c r="J5302" s="140"/>
    </row>
    <row r="5303" spans="10:10" x14ac:dyDescent="0.4">
      <c r="J5303" s="140"/>
    </row>
    <row r="5304" spans="10:10" x14ac:dyDescent="0.4">
      <c r="J5304" s="140"/>
    </row>
    <row r="5305" spans="10:10" x14ac:dyDescent="0.4">
      <c r="J5305" s="140"/>
    </row>
    <row r="5306" spans="10:10" x14ac:dyDescent="0.4">
      <c r="J5306" s="140"/>
    </row>
    <row r="5307" spans="10:10" x14ac:dyDescent="0.4">
      <c r="J5307" s="140"/>
    </row>
    <row r="5308" spans="10:10" x14ac:dyDescent="0.4">
      <c r="J5308" s="140"/>
    </row>
    <row r="5309" spans="10:10" x14ac:dyDescent="0.4">
      <c r="J5309" s="140"/>
    </row>
    <row r="5310" spans="10:10" x14ac:dyDescent="0.4">
      <c r="J5310" s="140"/>
    </row>
    <row r="5311" spans="10:10" x14ac:dyDescent="0.4">
      <c r="J5311" s="140"/>
    </row>
    <row r="5312" spans="10:10" x14ac:dyDescent="0.4">
      <c r="J5312" s="140"/>
    </row>
    <row r="5313" spans="10:10" x14ac:dyDescent="0.4">
      <c r="J5313" s="140"/>
    </row>
    <row r="5314" spans="10:10" x14ac:dyDescent="0.4">
      <c r="J5314" s="140"/>
    </row>
    <row r="5315" spans="10:10" x14ac:dyDescent="0.4">
      <c r="J5315" s="140"/>
    </row>
    <row r="5316" spans="10:10" x14ac:dyDescent="0.4">
      <c r="J5316" s="140"/>
    </row>
    <row r="5317" spans="10:10" x14ac:dyDescent="0.4">
      <c r="J5317" s="140"/>
    </row>
    <row r="5318" spans="10:10" x14ac:dyDescent="0.4">
      <c r="J5318" s="140"/>
    </row>
    <row r="5319" spans="10:10" x14ac:dyDescent="0.4">
      <c r="J5319" s="140"/>
    </row>
    <row r="5320" spans="10:10" x14ac:dyDescent="0.4">
      <c r="J5320" s="140"/>
    </row>
    <row r="5321" spans="10:10" x14ac:dyDescent="0.4">
      <c r="J5321" s="140"/>
    </row>
    <row r="5322" spans="10:10" x14ac:dyDescent="0.4">
      <c r="J5322" s="140"/>
    </row>
    <row r="5323" spans="10:10" x14ac:dyDescent="0.4">
      <c r="J5323" s="140"/>
    </row>
    <row r="5324" spans="10:10" x14ac:dyDescent="0.4">
      <c r="J5324" s="140"/>
    </row>
    <row r="5325" spans="10:10" x14ac:dyDescent="0.4">
      <c r="J5325" s="140"/>
    </row>
    <row r="5326" spans="10:10" x14ac:dyDescent="0.4">
      <c r="J5326" s="140"/>
    </row>
    <row r="5327" spans="10:10" x14ac:dyDescent="0.4">
      <c r="J5327" s="140"/>
    </row>
    <row r="5328" spans="10:10" x14ac:dyDescent="0.4">
      <c r="J5328" s="140"/>
    </row>
    <row r="5329" spans="10:10" x14ac:dyDescent="0.4">
      <c r="J5329" s="140"/>
    </row>
    <row r="5330" spans="10:10" x14ac:dyDescent="0.4">
      <c r="J5330" s="140"/>
    </row>
    <row r="5331" spans="10:10" x14ac:dyDescent="0.4">
      <c r="J5331" s="140"/>
    </row>
    <row r="5332" spans="10:10" x14ac:dyDescent="0.4">
      <c r="J5332" s="140"/>
    </row>
    <row r="5333" spans="10:10" x14ac:dyDescent="0.4">
      <c r="J5333" s="140"/>
    </row>
    <row r="5334" spans="10:10" x14ac:dyDescent="0.4">
      <c r="J5334" s="140"/>
    </row>
    <row r="5335" spans="10:10" x14ac:dyDescent="0.4">
      <c r="J5335" s="140"/>
    </row>
    <row r="5336" spans="10:10" x14ac:dyDescent="0.4">
      <c r="J5336" s="140"/>
    </row>
    <row r="5337" spans="10:10" x14ac:dyDescent="0.4">
      <c r="J5337" s="140"/>
    </row>
    <row r="5338" spans="10:10" x14ac:dyDescent="0.4">
      <c r="J5338" s="140"/>
    </row>
    <row r="5339" spans="10:10" x14ac:dyDescent="0.4">
      <c r="J5339" s="140"/>
    </row>
    <row r="5340" spans="10:10" x14ac:dyDescent="0.4">
      <c r="J5340" s="140"/>
    </row>
    <row r="5341" spans="10:10" x14ac:dyDescent="0.4">
      <c r="J5341" s="140"/>
    </row>
    <row r="5342" spans="10:10" x14ac:dyDescent="0.4">
      <c r="J5342" s="140"/>
    </row>
    <row r="5343" spans="10:10" x14ac:dyDescent="0.4">
      <c r="J5343" s="140"/>
    </row>
    <row r="5344" spans="10:10" x14ac:dyDescent="0.4">
      <c r="J5344" s="140"/>
    </row>
    <row r="5345" spans="10:10" x14ac:dyDescent="0.4">
      <c r="J5345" s="140"/>
    </row>
    <row r="5346" spans="10:10" x14ac:dyDescent="0.4">
      <c r="J5346" s="140"/>
    </row>
    <row r="5347" spans="10:10" x14ac:dyDescent="0.4">
      <c r="J5347" s="140"/>
    </row>
    <row r="5348" spans="10:10" x14ac:dyDescent="0.4">
      <c r="J5348" s="140"/>
    </row>
    <row r="5349" spans="10:10" x14ac:dyDescent="0.4">
      <c r="J5349" s="140"/>
    </row>
    <row r="5350" spans="10:10" x14ac:dyDescent="0.4">
      <c r="J5350" s="140"/>
    </row>
    <row r="5351" spans="10:10" x14ac:dyDescent="0.4">
      <c r="J5351" s="140"/>
    </row>
    <row r="5352" spans="10:10" x14ac:dyDescent="0.4">
      <c r="J5352" s="140"/>
    </row>
    <row r="5353" spans="10:10" x14ac:dyDescent="0.4">
      <c r="J5353" s="140"/>
    </row>
    <row r="5354" spans="10:10" x14ac:dyDescent="0.4">
      <c r="J5354" s="140"/>
    </row>
    <row r="5355" spans="10:10" x14ac:dyDescent="0.4">
      <c r="J5355" s="140"/>
    </row>
    <row r="5356" spans="10:10" x14ac:dyDescent="0.4">
      <c r="J5356" s="140"/>
    </row>
    <row r="5357" spans="10:10" x14ac:dyDescent="0.4">
      <c r="J5357" s="140"/>
    </row>
    <row r="5358" spans="10:10" x14ac:dyDescent="0.4">
      <c r="J5358" s="140"/>
    </row>
    <row r="5359" spans="10:10" x14ac:dyDescent="0.4">
      <c r="J5359" s="140"/>
    </row>
    <row r="5360" spans="10:10" x14ac:dyDescent="0.4">
      <c r="J5360" s="140"/>
    </row>
    <row r="5361" spans="10:10" x14ac:dyDescent="0.4">
      <c r="J5361" s="140"/>
    </row>
    <row r="5362" spans="10:10" x14ac:dyDescent="0.4">
      <c r="J5362" s="140"/>
    </row>
    <row r="5363" spans="10:10" x14ac:dyDescent="0.4">
      <c r="J5363" s="140"/>
    </row>
    <row r="5364" spans="10:10" x14ac:dyDescent="0.4">
      <c r="J5364" s="140"/>
    </row>
    <row r="5365" spans="10:10" x14ac:dyDescent="0.4">
      <c r="J5365" s="140"/>
    </row>
    <row r="5366" spans="10:10" x14ac:dyDescent="0.4">
      <c r="J5366" s="140"/>
    </row>
    <row r="5367" spans="10:10" x14ac:dyDescent="0.4">
      <c r="J5367" s="140"/>
    </row>
    <row r="5368" spans="10:10" x14ac:dyDescent="0.4">
      <c r="J5368" s="140"/>
    </row>
    <row r="5369" spans="10:10" x14ac:dyDescent="0.4">
      <c r="J5369" s="140"/>
    </row>
    <row r="5370" spans="10:10" x14ac:dyDescent="0.4">
      <c r="J5370" s="140"/>
    </row>
    <row r="5371" spans="10:10" x14ac:dyDescent="0.4">
      <c r="J5371" s="140"/>
    </row>
    <row r="5372" spans="10:10" x14ac:dyDescent="0.4">
      <c r="J5372" s="140"/>
    </row>
    <row r="5373" spans="10:10" x14ac:dyDescent="0.4">
      <c r="J5373" s="140"/>
    </row>
    <row r="5374" spans="10:10" x14ac:dyDescent="0.4">
      <c r="J5374" s="140"/>
    </row>
    <row r="5375" spans="10:10" x14ac:dyDescent="0.4">
      <c r="J5375" s="140"/>
    </row>
    <row r="5376" spans="10:10" x14ac:dyDescent="0.4">
      <c r="J5376" s="140"/>
    </row>
    <row r="5377" spans="10:10" x14ac:dyDescent="0.4">
      <c r="J5377" s="140"/>
    </row>
    <row r="5378" spans="10:10" x14ac:dyDescent="0.4">
      <c r="J5378" s="140"/>
    </row>
    <row r="5379" spans="10:10" x14ac:dyDescent="0.4">
      <c r="J5379" s="140"/>
    </row>
    <row r="5380" spans="10:10" x14ac:dyDescent="0.4">
      <c r="J5380" s="140"/>
    </row>
    <row r="5381" spans="10:10" x14ac:dyDescent="0.4">
      <c r="J5381" s="140"/>
    </row>
    <row r="5382" spans="10:10" x14ac:dyDescent="0.4">
      <c r="J5382" s="140"/>
    </row>
    <row r="5383" spans="10:10" x14ac:dyDescent="0.4">
      <c r="J5383" s="140"/>
    </row>
    <row r="5384" spans="10:10" x14ac:dyDescent="0.4">
      <c r="J5384" s="140"/>
    </row>
    <row r="5385" spans="10:10" x14ac:dyDescent="0.4">
      <c r="J5385" s="140"/>
    </row>
    <row r="5386" spans="10:10" x14ac:dyDescent="0.4">
      <c r="J5386" s="140"/>
    </row>
    <row r="5387" spans="10:10" x14ac:dyDescent="0.4">
      <c r="J5387" s="140"/>
    </row>
    <row r="5388" spans="10:10" x14ac:dyDescent="0.4">
      <c r="J5388" s="140"/>
    </row>
    <row r="5389" spans="10:10" x14ac:dyDescent="0.4">
      <c r="J5389" s="140"/>
    </row>
    <row r="5390" spans="10:10" x14ac:dyDescent="0.4">
      <c r="J5390" s="140"/>
    </row>
    <row r="5391" spans="10:10" x14ac:dyDescent="0.4">
      <c r="J5391" s="140"/>
    </row>
    <row r="5392" spans="10:10" x14ac:dyDescent="0.4">
      <c r="J5392" s="140"/>
    </row>
    <row r="5393" spans="10:10" x14ac:dyDescent="0.4">
      <c r="J5393" s="140"/>
    </row>
    <row r="5394" spans="10:10" x14ac:dyDescent="0.4">
      <c r="J5394" s="140"/>
    </row>
    <row r="5395" spans="10:10" x14ac:dyDescent="0.4">
      <c r="J5395" s="140"/>
    </row>
    <row r="5396" spans="10:10" x14ac:dyDescent="0.4">
      <c r="J5396" s="140"/>
    </row>
    <row r="5397" spans="10:10" x14ac:dyDescent="0.4">
      <c r="J5397" s="140"/>
    </row>
    <row r="5398" spans="10:10" x14ac:dyDescent="0.4">
      <c r="J5398" s="140"/>
    </row>
    <row r="5399" spans="10:10" x14ac:dyDescent="0.4">
      <c r="J5399" s="140"/>
    </row>
    <row r="5400" spans="10:10" x14ac:dyDescent="0.4">
      <c r="J5400" s="140"/>
    </row>
    <row r="5401" spans="10:10" x14ac:dyDescent="0.4">
      <c r="J5401" s="140"/>
    </row>
    <row r="5402" spans="10:10" x14ac:dyDescent="0.4">
      <c r="J5402" s="140"/>
    </row>
    <row r="5403" spans="10:10" x14ac:dyDescent="0.4">
      <c r="J5403" s="140"/>
    </row>
    <row r="5404" spans="10:10" x14ac:dyDescent="0.4">
      <c r="J5404" s="140"/>
    </row>
    <row r="5405" spans="10:10" x14ac:dyDescent="0.4">
      <c r="J5405" s="140"/>
    </row>
    <row r="5406" spans="10:10" x14ac:dyDescent="0.4">
      <c r="J5406" s="140"/>
    </row>
    <row r="5407" spans="10:10" x14ac:dyDescent="0.4">
      <c r="J5407" s="140"/>
    </row>
    <row r="5408" spans="10:10" x14ac:dyDescent="0.4">
      <c r="J5408" s="140"/>
    </row>
    <row r="5409" spans="10:10" x14ac:dyDescent="0.4">
      <c r="J5409" s="140"/>
    </row>
    <row r="5410" spans="10:10" x14ac:dyDescent="0.4">
      <c r="J5410" s="140"/>
    </row>
    <row r="5411" spans="10:10" x14ac:dyDescent="0.4">
      <c r="J5411" s="140"/>
    </row>
    <row r="5412" spans="10:10" x14ac:dyDescent="0.4">
      <c r="J5412" s="140"/>
    </row>
    <row r="5413" spans="10:10" x14ac:dyDescent="0.4">
      <c r="J5413" s="140"/>
    </row>
    <row r="5414" spans="10:10" x14ac:dyDescent="0.4">
      <c r="J5414" s="140"/>
    </row>
    <row r="5415" spans="10:10" x14ac:dyDescent="0.4">
      <c r="J5415" s="140"/>
    </row>
    <row r="5416" spans="10:10" x14ac:dyDescent="0.4">
      <c r="J5416" s="140"/>
    </row>
    <row r="5417" spans="10:10" x14ac:dyDescent="0.4">
      <c r="J5417" s="140"/>
    </row>
    <row r="5418" spans="10:10" x14ac:dyDescent="0.4">
      <c r="J5418" s="140"/>
    </row>
    <row r="5419" spans="10:10" x14ac:dyDescent="0.4">
      <c r="J5419" s="140"/>
    </row>
    <row r="5420" spans="10:10" x14ac:dyDescent="0.4">
      <c r="J5420" s="140"/>
    </row>
    <row r="5421" spans="10:10" x14ac:dyDescent="0.4">
      <c r="J5421" s="140"/>
    </row>
    <row r="5422" spans="10:10" x14ac:dyDescent="0.4">
      <c r="J5422" s="140"/>
    </row>
    <row r="5423" spans="10:10" x14ac:dyDescent="0.4">
      <c r="J5423" s="140"/>
    </row>
    <row r="5424" spans="10:10" x14ac:dyDescent="0.4">
      <c r="J5424" s="140"/>
    </row>
    <row r="5425" spans="10:10" x14ac:dyDescent="0.4">
      <c r="J5425" s="140"/>
    </row>
    <row r="5426" spans="10:10" x14ac:dyDescent="0.4">
      <c r="J5426" s="140"/>
    </row>
    <row r="5427" spans="10:10" x14ac:dyDescent="0.4">
      <c r="J5427" s="140"/>
    </row>
    <row r="5428" spans="10:10" x14ac:dyDescent="0.4">
      <c r="J5428" s="140"/>
    </row>
    <row r="5429" spans="10:10" x14ac:dyDescent="0.4">
      <c r="J5429" s="140"/>
    </row>
    <row r="5430" spans="10:10" x14ac:dyDescent="0.4">
      <c r="J5430" s="140"/>
    </row>
    <row r="5431" spans="10:10" x14ac:dyDescent="0.4">
      <c r="J5431" s="140"/>
    </row>
    <row r="5432" spans="10:10" x14ac:dyDescent="0.4">
      <c r="J5432" s="140"/>
    </row>
    <row r="5433" spans="10:10" x14ac:dyDescent="0.4">
      <c r="J5433" s="140"/>
    </row>
    <row r="5434" spans="10:10" x14ac:dyDescent="0.4">
      <c r="J5434" s="140"/>
    </row>
    <row r="5435" spans="10:10" x14ac:dyDescent="0.4">
      <c r="J5435" s="140"/>
    </row>
    <row r="5436" spans="10:10" x14ac:dyDescent="0.4">
      <c r="J5436" s="140"/>
    </row>
    <row r="5437" spans="10:10" x14ac:dyDescent="0.4">
      <c r="J5437" s="140"/>
    </row>
    <row r="5438" spans="10:10" x14ac:dyDescent="0.4">
      <c r="J5438" s="140"/>
    </row>
    <row r="5439" spans="10:10" x14ac:dyDescent="0.4">
      <c r="J5439" s="140"/>
    </row>
    <row r="5440" spans="10:10" x14ac:dyDescent="0.4">
      <c r="J5440" s="140"/>
    </row>
    <row r="5441" spans="10:10" x14ac:dyDescent="0.4">
      <c r="J5441" s="140"/>
    </row>
    <row r="5442" spans="10:10" x14ac:dyDescent="0.4">
      <c r="J5442" s="140"/>
    </row>
    <row r="5443" spans="10:10" x14ac:dyDescent="0.4">
      <c r="J5443" s="140"/>
    </row>
    <row r="5444" spans="10:10" x14ac:dyDescent="0.4">
      <c r="J5444" s="140"/>
    </row>
    <row r="5445" spans="10:10" x14ac:dyDescent="0.4">
      <c r="J5445" s="140"/>
    </row>
    <row r="5446" spans="10:10" x14ac:dyDescent="0.4">
      <c r="J5446" s="140"/>
    </row>
    <row r="5447" spans="10:10" x14ac:dyDescent="0.4">
      <c r="J5447" s="140"/>
    </row>
    <row r="5448" spans="10:10" x14ac:dyDescent="0.4">
      <c r="J5448" s="140"/>
    </row>
    <row r="5449" spans="10:10" x14ac:dyDescent="0.4">
      <c r="J5449" s="140"/>
    </row>
    <row r="5450" spans="10:10" x14ac:dyDescent="0.4">
      <c r="J5450" s="140"/>
    </row>
    <row r="5451" spans="10:10" x14ac:dyDescent="0.4">
      <c r="J5451" s="140"/>
    </row>
    <row r="5452" spans="10:10" x14ac:dyDescent="0.4">
      <c r="J5452" s="140"/>
    </row>
    <row r="5453" spans="10:10" x14ac:dyDescent="0.4">
      <c r="J5453" s="140"/>
    </row>
    <row r="5454" spans="10:10" x14ac:dyDescent="0.4">
      <c r="J5454" s="140"/>
    </row>
    <row r="5455" spans="10:10" x14ac:dyDescent="0.4">
      <c r="J5455" s="140"/>
    </row>
    <row r="5456" spans="10:10" x14ac:dyDescent="0.4">
      <c r="J5456" s="140"/>
    </row>
    <row r="5457" spans="10:10" x14ac:dyDescent="0.4">
      <c r="J5457" s="140"/>
    </row>
    <row r="5458" spans="10:10" x14ac:dyDescent="0.4">
      <c r="J5458" s="140"/>
    </row>
    <row r="5459" spans="10:10" x14ac:dyDescent="0.4">
      <c r="J5459" s="140"/>
    </row>
    <row r="5460" spans="10:10" x14ac:dyDescent="0.4">
      <c r="J5460" s="140"/>
    </row>
    <row r="5461" spans="10:10" x14ac:dyDescent="0.4">
      <c r="J5461" s="140"/>
    </row>
    <row r="5462" spans="10:10" x14ac:dyDescent="0.4">
      <c r="J5462" s="140"/>
    </row>
    <row r="5463" spans="10:10" x14ac:dyDescent="0.4">
      <c r="J5463" s="140"/>
    </row>
    <row r="5464" spans="10:10" x14ac:dyDescent="0.4">
      <c r="J5464" s="140"/>
    </row>
    <row r="5465" spans="10:10" x14ac:dyDescent="0.4">
      <c r="J5465" s="140"/>
    </row>
    <row r="5466" spans="10:10" x14ac:dyDescent="0.4">
      <c r="J5466" s="140"/>
    </row>
    <row r="5467" spans="10:10" x14ac:dyDescent="0.4">
      <c r="J5467" s="140"/>
    </row>
    <row r="5468" spans="10:10" x14ac:dyDescent="0.4">
      <c r="J5468" s="140"/>
    </row>
    <row r="5469" spans="10:10" x14ac:dyDescent="0.4">
      <c r="J5469" s="140"/>
    </row>
    <row r="5470" spans="10:10" x14ac:dyDescent="0.4">
      <c r="J5470" s="140"/>
    </row>
    <row r="5471" spans="10:10" x14ac:dyDescent="0.4">
      <c r="J5471" s="140"/>
    </row>
    <row r="5472" spans="10:10" x14ac:dyDescent="0.4">
      <c r="J5472" s="140"/>
    </row>
    <row r="5473" spans="10:10" x14ac:dyDescent="0.4">
      <c r="J5473" s="140"/>
    </row>
    <row r="5474" spans="10:10" x14ac:dyDescent="0.4">
      <c r="J5474" s="140"/>
    </row>
    <row r="5475" spans="10:10" x14ac:dyDescent="0.4">
      <c r="J5475" s="140"/>
    </row>
    <row r="5476" spans="10:10" x14ac:dyDescent="0.4">
      <c r="J5476" s="140"/>
    </row>
    <row r="5477" spans="10:10" x14ac:dyDescent="0.4">
      <c r="J5477" s="140"/>
    </row>
    <row r="5478" spans="10:10" x14ac:dyDescent="0.4">
      <c r="J5478" s="140"/>
    </row>
    <row r="5479" spans="10:10" x14ac:dyDescent="0.4">
      <c r="J5479" s="140"/>
    </row>
    <row r="5480" spans="10:10" x14ac:dyDescent="0.4">
      <c r="J5480" s="140"/>
    </row>
    <row r="5481" spans="10:10" x14ac:dyDescent="0.4">
      <c r="J5481" s="140"/>
    </row>
    <row r="5482" spans="10:10" x14ac:dyDescent="0.4">
      <c r="J5482" s="140"/>
    </row>
    <row r="5483" spans="10:10" x14ac:dyDescent="0.4">
      <c r="J5483" s="140"/>
    </row>
    <row r="5484" spans="10:10" x14ac:dyDescent="0.4">
      <c r="J5484" s="140"/>
    </row>
    <row r="5485" spans="10:10" x14ac:dyDescent="0.4">
      <c r="J5485" s="140"/>
    </row>
    <row r="5486" spans="10:10" x14ac:dyDescent="0.4">
      <c r="J5486" s="140"/>
    </row>
    <row r="5487" spans="10:10" x14ac:dyDescent="0.4">
      <c r="J5487" s="140"/>
    </row>
    <row r="5488" spans="10:10" x14ac:dyDescent="0.4">
      <c r="J5488" s="140"/>
    </row>
    <row r="5489" spans="10:10" x14ac:dyDescent="0.4">
      <c r="J5489" s="140"/>
    </row>
    <row r="5490" spans="10:10" x14ac:dyDescent="0.4">
      <c r="J5490" s="140"/>
    </row>
    <row r="5491" spans="10:10" x14ac:dyDescent="0.4">
      <c r="J5491" s="140"/>
    </row>
    <row r="5492" spans="10:10" x14ac:dyDescent="0.4">
      <c r="J5492" s="140"/>
    </row>
    <row r="5493" spans="10:10" x14ac:dyDescent="0.4">
      <c r="J5493" s="140"/>
    </row>
    <row r="5494" spans="10:10" x14ac:dyDescent="0.4">
      <c r="J5494" s="140"/>
    </row>
    <row r="5495" spans="10:10" x14ac:dyDescent="0.4">
      <c r="J5495" s="140"/>
    </row>
    <row r="5496" spans="10:10" x14ac:dyDescent="0.4">
      <c r="J5496" s="140"/>
    </row>
    <row r="5497" spans="10:10" x14ac:dyDescent="0.4">
      <c r="J5497" s="140"/>
    </row>
    <row r="5498" spans="10:10" x14ac:dyDescent="0.4">
      <c r="J5498" s="140"/>
    </row>
    <row r="5499" spans="10:10" x14ac:dyDescent="0.4">
      <c r="J5499" s="140"/>
    </row>
    <row r="5500" spans="10:10" x14ac:dyDescent="0.4">
      <c r="J5500" s="140"/>
    </row>
    <row r="5501" spans="10:10" x14ac:dyDescent="0.4">
      <c r="J5501" s="140"/>
    </row>
    <row r="5502" spans="10:10" x14ac:dyDescent="0.4">
      <c r="J5502" s="140"/>
    </row>
    <row r="5503" spans="10:10" x14ac:dyDescent="0.4">
      <c r="J5503" s="140"/>
    </row>
    <row r="5504" spans="10:10" x14ac:dyDescent="0.4">
      <c r="J5504" s="140"/>
    </row>
    <row r="5505" spans="10:10" x14ac:dyDescent="0.4">
      <c r="J5505" s="140"/>
    </row>
    <row r="5506" spans="10:10" x14ac:dyDescent="0.4">
      <c r="J5506" s="140"/>
    </row>
    <row r="5507" spans="10:10" x14ac:dyDescent="0.4">
      <c r="J5507" s="140"/>
    </row>
    <row r="5508" spans="10:10" x14ac:dyDescent="0.4">
      <c r="J5508" s="140"/>
    </row>
    <row r="5509" spans="10:10" x14ac:dyDescent="0.4">
      <c r="J5509" s="140"/>
    </row>
    <row r="5510" spans="10:10" x14ac:dyDescent="0.4">
      <c r="J5510" s="140"/>
    </row>
    <row r="5511" spans="10:10" x14ac:dyDescent="0.4">
      <c r="J5511" s="140"/>
    </row>
    <row r="5512" spans="10:10" x14ac:dyDescent="0.4">
      <c r="J5512" s="140"/>
    </row>
    <row r="5513" spans="10:10" x14ac:dyDescent="0.4">
      <c r="J5513" s="140"/>
    </row>
    <row r="5514" spans="10:10" x14ac:dyDescent="0.4">
      <c r="J5514" s="140"/>
    </row>
    <row r="5515" spans="10:10" x14ac:dyDescent="0.4">
      <c r="J5515" s="140"/>
    </row>
    <row r="5516" spans="10:10" x14ac:dyDescent="0.4">
      <c r="J5516" s="140"/>
    </row>
    <row r="5517" spans="10:10" x14ac:dyDescent="0.4">
      <c r="J5517" s="140"/>
    </row>
    <row r="5518" spans="10:10" x14ac:dyDescent="0.4">
      <c r="J5518" s="140"/>
    </row>
    <row r="5519" spans="10:10" x14ac:dyDescent="0.4">
      <c r="J5519" s="140"/>
    </row>
    <row r="5520" spans="10:10" x14ac:dyDescent="0.4">
      <c r="J5520" s="140"/>
    </row>
    <row r="5521" spans="10:10" x14ac:dyDescent="0.4">
      <c r="J5521" s="140"/>
    </row>
    <row r="5522" spans="10:10" x14ac:dyDescent="0.4">
      <c r="J5522" s="140"/>
    </row>
    <row r="5523" spans="10:10" x14ac:dyDescent="0.4">
      <c r="J5523" s="140"/>
    </row>
    <row r="5524" spans="10:10" x14ac:dyDescent="0.4">
      <c r="J5524" s="140"/>
    </row>
    <row r="5525" spans="10:10" x14ac:dyDescent="0.4">
      <c r="J5525" s="140"/>
    </row>
    <row r="5526" spans="10:10" x14ac:dyDescent="0.4">
      <c r="J5526" s="140"/>
    </row>
    <row r="5527" spans="10:10" x14ac:dyDescent="0.4">
      <c r="J5527" s="140"/>
    </row>
    <row r="5528" spans="10:10" x14ac:dyDescent="0.4">
      <c r="J5528" s="140"/>
    </row>
    <row r="5529" spans="10:10" x14ac:dyDescent="0.4">
      <c r="J5529" s="140"/>
    </row>
    <row r="5530" spans="10:10" x14ac:dyDescent="0.4">
      <c r="J5530" s="140"/>
    </row>
    <row r="5531" spans="10:10" x14ac:dyDescent="0.4">
      <c r="J5531" s="140"/>
    </row>
    <row r="5532" spans="10:10" x14ac:dyDescent="0.4">
      <c r="J5532" s="140"/>
    </row>
    <row r="5533" spans="10:10" x14ac:dyDescent="0.4">
      <c r="J5533" s="140"/>
    </row>
    <row r="5534" spans="10:10" x14ac:dyDescent="0.4">
      <c r="J5534" s="140"/>
    </row>
    <row r="5535" spans="10:10" x14ac:dyDescent="0.4">
      <c r="J5535" s="140"/>
    </row>
    <row r="5536" spans="10:10" x14ac:dyDescent="0.4">
      <c r="J5536" s="140"/>
    </row>
    <row r="5537" spans="10:10" x14ac:dyDescent="0.4">
      <c r="J5537" s="140"/>
    </row>
    <row r="5538" spans="10:10" x14ac:dyDescent="0.4">
      <c r="J5538" s="140"/>
    </row>
    <row r="5539" spans="10:10" x14ac:dyDescent="0.4">
      <c r="J5539" s="140"/>
    </row>
    <row r="5540" spans="10:10" x14ac:dyDescent="0.4">
      <c r="J5540" s="140"/>
    </row>
    <row r="5541" spans="10:10" x14ac:dyDescent="0.4">
      <c r="J5541" s="140"/>
    </row>
    <row r="5542" spans="10:10" x14ac:dyDescent="0.4">
      <c r="J5542" s="140"/>
    </row>
    <row r="5543" spans="10:10" x14ac:dyDescent="0.4">
      <c r="J5543" s="140"/>
    </row>
    <row r="5544" spans="10:10" x14ac:dyDescent="0.4">
      <c r="J5544" s="140"/>
    </row>
    <row r="5545" spans="10:10" x14ac:dyDescent="0.4">
      <c r="J5545" s="140"/>
    </row>
    <row r="5546" spans="10:10" x14ac:dyDescent="0.4">
      <c r="J5546" s="140"/>
    </row>
    <row r="5547" spans="10:10" x14ac:dyDescent="0.4">
      <c r="J5547" s="140"/>
    </row>
    <row r="5548" spans="10:10" x14ac:dyDescent="0.4">
      <c r="J5548" s="140"/>
    </row>
    <row r="5549" spans="10:10" x14ac:dyDescent="0.4">
      <c r="J5549" s="140"/>
    </row>
    <row r="5550" spans="10:10" x14ac:dyDescent="0.4">
      <c r="J5550" s="140"/>
    </row>
    <row r="5551" spans="10:10" x14ac:dyDescent="0.4">
      <c r="J5551" s="140"/>
    </row>
    <row r="5552" spans="10:10" x14ac:dyDescent="0.4">
      <c r="J5552" s="140"/>
    </row>
    <row r="5553" spans="10:10" x14ac:dyDescent="0.4">
      <c r="J5553" s="140"/>
    </row>
    <row r="5554" spans="10:10" x14ac:dyDescent="0.4">
      <c r="J5554" s="140"/>
    </row>
    <row r="5555" spans="10:10" x14ac:dyDescent="0.4">
      <c r="J5555" s="140"/>
    </row>
    <row r="5556" spans="10:10" x14ac:dyDescent="0.4">
      <c r="J5556" s="140"/>
    </row>
    <row r="5557" spans="10:10" x14ac:dyDescent="0.4">
      <c r="J5557" s="140"/>
    </row>
    <row r="5558" spans="10:10" x14ac:dyDescent="0.4">
      <c r="J5558" s="140"/>
    </row>
    <row r="5559" spans="10:10" x14ac:dyDescent="0.4">
      <c r="J5559" s="140"/>
    </row>
    <row r="5560" spans="10:10" x14ac:dyDescent="0.4">
      <c r="J5560" s="140"/>
    </row>
    <row r="5561" spans="10:10" x14ac:dyDescent="0.4">
      <c r="J5561" s="140"/>
    </row>
    <row r="5562" spans="10:10" x14ac:dyDescent="0.4">
      <c r="J5562" s="140"/>
    </row>
    <row r="5563" spans="10:10" x14ac:dyDescent="0.4">
      <c r="J5563" s="140"/>
    </row>
    <row r="5564" spans="10:10" x14ac:dyDescent="0.4">
      <c r="J5564" s="140"/>
    </row>
    <row r="5565" spans="10:10" x14ac:dyDescent="0.4">
      <c r="J5565" s="140"/>
    </row>
    <row r="5566" spans="10:10" x14ac:dyDescent="0.4">
      <c r="J5566" s="140"/>
    </row>
    <row r="5567" spans="10:10" x14ac:dyDescent="0.4">
      <c r="J5567" s="140"/>
    </row>
    <row r="5568" spans="10:10" x14ac:dyDescent="0.4">
      <c r="J5568" s="140"/>
    </row>
    <row r="5569" spans="10:10" x14ac:dyDescent="0.4">
      <c r="J5569" s="140"/>
    </row>
    <row r="5570" spans="10:10" x14ac:dyDescent="0.4">
      <c r="J5570" s="140"/>
    </row>
    <row r="5571" spans="10:10" x14ac:dyDescent="0.4">
      <c r="J5571" s="140"/>
    </row>
    <row r="5572" spans="10:10" x14ac:dyDescent="0.4">
      <c r="J5572" s="140"/>
    </row>
    <row r="5573" spans="10:10" x14ac:dyDescent="0.4">
      <c r="J5573" s="140"/>
    </row>
    <row r="5574" spans="10:10" x14ac:dyDescent="0.4">
      <c r="J5574" s="140"/>
    </row>
    <row r="5575" spans="10:10" x14ac:dyDescent="0.4">
      <c r="J5575" s="140"/>
    </row>
    <row r="5576" spans="10:10" x14ac:dyDescent="0.4">
      <c r="J5576" s="140"/>
    </row>
    <row r="5577" spans="10:10" x14ac:dyDescent="0.4">
      <c r="J5577" s="140"/>
    </row>
    <row r="5578" spans="10:10" x14ac:dyDescent="0.4">
      <c r="J5578" s="140"/>
    </row>
    <row r="5579" spans="10:10" x14ac:dyDescent="0.4">
      <c r="J5579" s="140"/>
    </row>
    <row r="5580" spans="10:10" x14ac:dyDescent="0.4">
      <c r="J5580" s="140"/>
    </row>
    <row r="5581" spans="10:10" x14ac:dyDescent="0.4">
      <c r="J5581" s="140"/>
    </row>
    <row r="5582" spans="10:10" x14ac:dyDescent="0.4">
      <c r="J5582" s="140"/>
    </row>
    <row r="5583" spans="10:10" x14ac:dyDescent="0.4">
      <c r="J5583" s="140"/>
    </row>
    <row r="5584" spans="10:10" x14ac:dyDescent="0.4">
      <c r="J5584" s="140"/>
    </row>
    <row r="5585" spans="10:10" x14ac:dyDescent="0.4">
      <c r="J5585" s="140"/>
    </row>
    <row r="5586" spans="10:10" x14ac:dyDescent="0.4">
      <c r="J5586" s="140"/>
    </row>
    <row r="5587" spans="10:10" x14ac:dyDescent="0.4">
      <c r="J5587" s="140"/>
    </row>
    <row r="5588" spans="10:10" x14ac:dyDescent="0.4">
      <c r="J5588" s="140"/>
    </row>
    <row r="5589" spans="10:10" x14ac:dyDescent="0.4">
      <c r="J5589" s="140"/>
    </row>
    <row r="5590" spans="10:10" x14ac:dyDescent="0.4">
      <c r="J5590" s="140"/>
    </row>
    <row r="5591" spans="10:10" x14ac:dyDescent="0.4">
      <c r="J5591" s="140"/>
    </row>
    <row r="5592" spans="10:10" x14ac:dyDescent="0.4">
      <c r="J5592" s="140"/>
    </row>
    <row r="5593" spans="10:10" x14ac:dyDescent="0.4">
      <c r="J5593" s="140"/>
    </row>
    <row r="5594" spans="10:10" x14ac:dyDescent="0.4">
      <c r="J5594" s="140"/>
    </row>
    <row r="5595" spans="10:10" x14ac:dyDescent="0.4">
      <c r="J5595" s="140"/>
    </row>
    <row r="5596" spans="10:10" x14ac:dyDescent="0.4">
      <c r="J5596" s="140"/>
    </row>
    <row r="5597" spans="10:10" x14ac:dyDescent="0.4">
      <c r="J5597" s="140"/>
    </row>
    <row r="5598" spans="10:10" x14ac:dyDescent="0.4">
      <c r="J5598" s="140"/>
    </row>
    <row r="5599" spans="10:10" x14ac:dyDescent="0.4">
      <c r="J5599" s="140"/>
    </row>
    <row r="5600" spans="10:10" x14ac:dyDescent="0.4">
      <c r="J5600" s="140"/>
    </row>
    <row r="5601" spans="10:10" x14ac:dyDescent="0.4">
      <c r="J5601" s="140"/>
    </row>
    <row r="5602" spans="10:10" x14ac:dyDescent="0.4">
      <c r="J5602" s="140"/>
    </row>
    <row r="5603" spans="10:10" x14ac:dyDescent="0.4">
      <c r="J5603" s="140"/>
    </row>
    <row r="5604" spans="10:10" x14ac:dyDescent="0.4">
      <c r="J5604" s="140"/>
    </row>
    <row r="5605" spans="10:10" x14ac:dyDescent="0.4">
      <c r="J5605" s="140"/>
    </row>
    <row r="5606" spans="10:10" x14ac:dyDescent="0.4">
      <c r="J5606" s="140"/>
    </row>
    <row r="5607" spans="10:10" x14ac:dyDescent="0.4">
      <c r="J5607" s="140"/>
    </row>
    <row r="5608" spans="10:10" x14ac:dyDescent="0.4">
      <c r="J5608" s="140"/>
    </row>
    <row r="5609" spans="10:10" x14ac:dyDescent="0.4">
      <c r="J5609" s="140"/>
    </row>
    <row r="5610" spans="10:10" x14ac:dyDescent="0.4">
      <c r="J5610" s="140"/>
    </row>
    <row r="5611" spans="10:10" x14ac:dyDescent="0.4">
      <c r="J5611" s="140"/>
    </row>
    <row r="5612" spans="10:10" x14ac:dyDescent="0.4">
      <c r="J5612" s="140"/>
    </row>
    <row r="5613" spans="10:10" x14ac:dyDescent="0.4">
      <c r="J5613" s="140"/>
    </row>
    <row r="5614" spans="10:10" x14ac:dyDescent="0.4">
      <c r="J5614" s="140"/>
    </row>
    <row r="5615" spans="10:10" x14ac:dyDescent="0.4">
      <c r="J5615" s="140"/>
    </row>
    <row r="5616" spans="10:10" x14ac:dyDescent="0.4">
      <c r="J5616" s="140"/>
    </row>
    <row r="5617" spans="10:10" x14ac:dyDescent="0.4">
      <c r="J5617" s="140"/>
    </row>
    <row r="5618" spans="10:10" x14ac:dyDescent="0.4">
      <c r="J5618" s="140"/>
    </row>
    <row r="5619" spans="10:10" x14ac:dyDescent="0.4">
      <c r="J5619" s="140"/>
    </row>
    <row r="5620" spans="10:10" x14ac:dyDescent="0.4">
      <c r="J5620" s="140"/>
    </row>
    <row r="5621" spans="10:10" x14ac:dyDescent="0.4">
      <c r="J5621" s="140"/>
    </row>
    <row r="5622" spans="10:10" x14ac:dyDescent="0.4">
      <c r="J5622" s="140"/>
    </row>
    <row r="5623" spans="10:10" x14ac:dyDescent="0.4">
      <c r="J5623" s="140"/>
    </row>
    <row r="5624" spans="10:10" x14ac:dyDescent="0.4">
      <c r="J5624" s="140"/>
    </row>
    <row r="5625" spans="10:10" x14ac:dyDescent="0.4">
      <c r="J5625" s="140"/>
    </row>
    <row r="5626" spans="10:10" x14ac:dyDescent="0.4">
      <c r="J5626" s="140"/>
    </row>
    <row r="5627" spans="10:10" x14ac:dyDescent="0.4">
      <c r="J5627" s="140"/>
    </row>
    <row r="5628" spans="10:10" x14ac:dyDescent="0.4">
      <c r="J5628" s="140"/>
    </row>
    <row r="5629" spans="10:10" x14ac:dyDescent="0.4">
      <c r="J5629" s="140"/>
    </row>
    <row r="5630" spans="10:10" x14ac:dyDescent="0.4">
      <c r="J5630" s="140"/>
    </row>
    <row r="5631" spans="10:10" x14ac:dyDescent="0.4">
      <c r="J5631" s="140"/>
    </row>
    <row r="5632" spans="10:10" x14ac:dyDescent="0.4">
      <c r="J5632" s="140"/>
    </row>
    <row r="5633" spans="10:10" x14ac:dyDescent="0.4">
      <c r="J5633" s="140"/>
    </row>
    <row r="5634" spans="10:10" x14ac:dyDescent="0.4">
      <c r="J5634" s="140"/>
    </row>
    <row r="5635" spans="10:10" x14ac:dyDescent="0.4">
      <c r="J5635" s="140"/>
    </row>
    <row r="5636" spans="10:10" x14ac:dyDescent="0.4">
      <c r="J5636" s="140"/>
    </row>
    <row r="5637" spans="10:10" x14ac:dyDescent="0.4">
      <c r="J5637" s="140"/>
    </row>
    <row r="5638" spans="10:10" x14ac:dyDescent="0.4">
      <c r="J5638" s="140"/>
    </row>
    <row r="5639" spans="10:10" x14ac:dyDescent="0.4">
      <c r="J5639" s="140"/>
    </row>
    <row r="5640" spans="10:10" x14ac:dyDescent="0.4">
      <c r="J5640" s="140"/>
    </row>
    <row r="5641" spans="10:10" x14ac:dyDescent="0.4">
      <c r="J5641" s="140"/>
    </row>
    <row r="5642" spans="10:10" x14ac:dyDescent="0.4">
      <c r="J5642" s="140"/>
    </row>
    <row r="5643" spans="10:10" x14ac:dyDescent="0.4">
      <c r="J5643" s="140"/>
    </row>
    <row r="5644" spans="10:10" x14ac:dyDescent="0.4">
      <c r="J5644" s="140"/>
    </row>
    <row r="5645" spans="10:10" x14ac:dyDescent="0.4">
      <c r="J5645" s="140"/>
    </row>
    <row r="5646" spans="10:10" x14ac:dyDescent="0.4">
      <c r="J5646" s="140"/>
    </row>
    <row r="5647" spans="10:10" x14ac:dyDescent="0.4">
      <c r="J5647" s="140"/>
    </row>
    <row r="5648" spans="10:10" x14ac:dyDescent="0.4">
      <c r="J5648" s="140"/>
    </row>
    <row r="5649" spans="10:10" x14ac:dyDescent="0.4">
      <c r="J5649" s="140"/>
    </row>
    <row r="5650" spans="10:10" x14ac:dyDescent="0.4">
      <c r="J5650" s="140"/>
    </row>
    <row r="5651" spans="10:10" x14ac:dyDescent="0.4">
      <c r="J5651" s="140"/>
    </row>
    <row r="5652" spans="10:10" x14ac:dyDescent="0.4">
      <c r="J5652" s="140"/>
    </row>
    <row r="5653" spans="10:10" x14ac:dyDescent="0.4">
      <c r="J5653" s="140"/>
    </row>
    <row r="5654" spans="10:10" x14ac:dyDescent="0.4">
      <c r="J5654" s="140"/>
    </row>
    <row r="5655" spans="10:10" x14ac:dyDescent="0.4">
      <c r="J5655" s="140"/>
    </row>
    <row r="5656" spans="10:10" x14ac:dyDescent="0.4">
      <c r="J5656" s="140"/>
    </row>
    <row r="5657" spans="10:10" x14ac:dyDescent="0.4">
      <c r="J5657" s="140"/>
    </row>
    <row r="5658" spans="10:10" x14ac:dyDescent="0.4">
      <c r="J5658" s="140"/>
    </row>
    <row r="5659" spans="10:10" x14ac:dyDescent="0.4">
      <c r="J5659" s="140"/>
    </row>
    <row r="5660" spans="10:10" x14ac:dyDescent="0.4">
      <c r="J5660" s="140"/>
    </row>
    <row r="5661" spans="10:10" x14ac:dyDescent="0.4">
      <c r="J5661" s="140"/>
    </row>
    <row r="5662" spans="10:10" x14ac:dyDescent="0.4">
      <c r="J5662" s="140"/>
    </row>
    <row r="5663" spans="10:10" x14ac:dyDescent="0.4">
      <c r="J5663" s="140"/>
    </row>
    <row r="5664" spans="10:10" x14ac:dyDescent="0.4">
      <c r="J5664" s="140"/>
    </row>
    <row r="5665" spans="10:10" x14ac:dyDescent="0.4">
      <c r="J5665" s="140"/>
    </row>
    <row r="5666" spans="10:10" x14ac:dyDescent="0.4">
      <c r="J5666" s="140"/>
    </row>
    <row r="5667" spans="10:10" x14ac:dyDescent="0.4">
      <c r="J5667" s="140"/>
    </row>
    <row r="5668" spans="10:10" x14ac:dyDescent="0.4">
      <c r="J5668" s="140"/>
    </row>
    <row r="5669" spans="10:10" x14ac:dyDescent="0.4">
      <c r="J5669" s="140"/>
    </row>
    <row r="5670" spans="10:10" x14ac:dyDescent="0.4">
      <c r="J5670" s="140"/>
    </row>
    <row r="5671" spans="10:10" x14ac:dyDescent="0.4">
      <c r="J5671" s="140"/>
    </row>
    <row r="5672" spans="10:10" x14ac:dyDescent="0.4">
      <c r="J5672" s="140"/>
    </row>
    <row r="5673" spans="10:10" x14ac:dyDescent="0.4">
      <c r="J5673" s="140"/>
    </row>
    <row r="5674" spans="10:10" x14ac:dyDescent="0.4">
      <c r="J5674" s="140"/>
    </row>
    <row r="5675" spans="10:10" x14ac:dyDescent="0.4">
      <c r="J5675" s="140"/>
    </row>
    <row r="5676" spans="10:10" x14ac:dyDescent="0.4">
      <c r="J5676" s="140"/>
    </row>
    <row r="5677" spans="10:10" x14ac:dyDescent="0.4">
      <c r="J5677" s="140"/>
    </row>
    <row r="5678" spans="10:10" x14ac:dyDescent="0.4">
      <c r="J5678" s="140"/>
    </row>
    <row r="5679" spans="10:10" x14ac:dyDescent="0.4">
      <c r="J5679" s="140"/>
    </row>
    <row r="5680" spans="10:10" x14ac:dyDescent="0.4">
      <c r="J5680" s="140"/>
    </row>
    <row r="5681" spans="10:10" x14ac:dyDescent="0.4">
      <c r="J5681" s="140"/>
    </row>
    <row r="5682" spans="10:10" x14ac:dyDescent="0.4">
      <c r="J5682" s="140"/>
    </row>
    <row r="5683" spans="10:10" x14ac:dyDescent="0.4">
      <c r="J5683" s="140"/>
    </row>
    <row r="5684" spans="10:10" x14ac:dyDescent="0.4">
      <c r="J5684" s="140"/>
    </row>
    <row r="5685" spans="10:10" x14ac:dyDescent="0.4">
      <c r="J5685" s="140"/>
    </row>
    <row r="5686" spans="10:10" x14ac:dyDescent="0.4">
      <c r="J5686" s="140"/>
    </row>
    <row r="5687" spans="10:10" x14ac:dyDescent="0.4">
      <c r="J5687" s="140"/>
    </row>
    <row r="5688" spans="10:10" x14ac:dyDescent="0.4">
      <c r="J5688" s="140"/>
    </row>
    <row r="5689" spans="10:10" x14ac:dyDescent="0.4">
      <c r="J5689" s="140"/>
    </row>
    <row r="5690" spans="10:10" x14ac:dyDescent="0.4">
      <c r="J5690" s="140"/>
    </row>
    <row r="5691" spans="10:10" x14ac:dyDescent="0.4">
      <c r="J5691" s="140"/>
    </row>
    <row r="5692" spans="10:10" x14ac:dyDescent="0.4">
      <c r="J5692" s="140"/>
    </row>
    <row r="5693" spans="10:10" x14ac:dyDescent="0.4">
      <c r="J5693" s="140"/>
    </row>
    <row r="5694" spans="10:10" x14ac:dyDescent="0.4">
      <c r="J5694" s="140"/>
    </row>
    <row r="5695" spans="10:10" x14ac:dyDescent="0.4">
      <c r="J5695" s="140"/>
    </row>
    <row r="5696" spans="10:10" x14ac:dyDescent="0.4">
      <c r="J5696" s="140"/>
    </row>
    <row r="5697" spans="10:10" x14ac:dyDescent="0.4">
      <c r="J5697" s="140"/>
    </row>
    <row r="5698" spans="10:10" x14ac:dyDescent="0.4">
      <c r="J5698" s="140"/>
    </row>
    <row r="5699" spans="10:10" x14ac:dyDescent="0.4">
      <c r="J5699" s="140"/>
    </row>
    <row r="5700" spans="10:10" x14ac:dyDescent="0.4">
      <c r="J5700" s="140"/>
    </row>
    <row r="5701" spans="10:10" x14ac:dyDescent="0.4">
      <c r="J5701" s="140"/>
    </row>
    <row r="5702" spans="10:10" x14ac:dyDescent="0.4">
      <c r="J5702" s="140"/>
    </row>
    <row r="5703" spans="10:10" x14ac:dyDescent="0.4">
      <c r="J5703" s="140"/>
    </row>
    <row r="5704" spans="10:10" x14ac:dyDescent="0.4">
      <c r="J5704" s="140"/>
    </row>
    <row r="5705" spans="10:10" x14ac:dyDescent="0.4">
      <c r="J5705" s="140"/>
    </row>
    <row r="5706" spans="10:10" x14ac:dyDescent="0.4">
      <c r="J5706" s="140"/>
    </row>
    <row r="5707" spans="10:10" x14ac:dyDescent="0.4">
      <c r="J5707" s="140"/>
    </row>
    <row r="5708" spans="10:10" x14ac:dyDescent="0.4">
      <c r="J5708" s="140"/>
    </row>
    <row r="5709" spans="10:10" x14ac:dyDescent="0.4">
      <c r="J5709" s="140"/>
    </row>
    <row r="5710" spans="10:10" x14ac:dyDescent="0.4">
      <c r="J5710" s="140"/>
    </row>
    <row r="5711" spans="10:10" x14ac:dyDescent="0.4">
      <c r="J5711" s="140"/>
    </row>
    <row r="5712" spans="10:10" x14ac:dyDescent="0.4">
      <c r="J5712" s="140"/>
    </row>
    <row r="5713" spans="10:10" x14ac:dyDescent="0.4">
      <c r="J5713" s="140"/>
    </row>
    <row r="5714" spans="10:10" x14ac:dyDescent="0.4">
      <c r="J5714" s="140"/>
    </row>
    <row r="5715" spans="10:10" x14ac:dyDescent="0.4">
      <c r="J5715" s="140"/>
    </row>
    <row r="5716" spans="10:10" x14ac:dyDescent="0.4">
      <c r="J5716" s="140"/>
    </row>
    <row r="5717" spans="10:10" x14ac:dyDescent="0.4">
      <c r="J5717" s="140"/>
    </row>
    <row r="5718" spans="10:10" x14ac:dyDescent="0.4">
      <c r="J5718" s="140"/>
    </row>
    <row r="5719" spans="10:10" x14ac:dyDescent="0.4">
      <c r="J5719" s="140"/>
    </row>
    <row r="5720" spans="10:10" x14ac:dyDescent="0.4">
      <c r="J5720" s="140"/>
    </row>
    <row r="5721" spans="10:10" x14ac:dyDescent="0.4">
      <c r="J5721" s="140"/>
    </row>
    <row r="5722" spans="10:10" x14ac:dyDescent="0.4">
      <c r="J5722" s="140"/>
    </row>
    <row r="5723" spans="10:10" x14ac:dyDescent="0.4">
      <c r="J5723" s="140"/>
    </row>
    <row r="5724" spans="10:10" x14ac:dyDescent="0.4">
      <c r="J5724" s="140"/>
    </row>
    <row r="5725" spans="10:10" x14ac:dyDescent="0.4">
      <c r="J5725" s="140"/>
    </row>
    <row r="5726" spans="10:10" x14ac:dyDescent="0.4">
      <c r="J5726" s="140"/>
    </row>
    <row r="5727" spans="10:10" x14ac:dyDescent="0.4">
      <c r="J5727" s="140"/>
    </row>
    <row r="5728" spans="10:10" x14ac:dyDescent="0.4">
      <c r="J5728" s="140"/>
    </row>
    <row r="5729" spans="10:10" x14ac:dyDescent="0.4">
      <c r="J5729" s="140"/>
    </row>
    <row r="5730" spans="10:10" x14ac:dyDescent="0.4">
      <c r="J5730" s="140"/>
    </row>
    <row r="5731" spans="10:10" x14ac:dyDescent="0.4">
      <c r="J5731" s="140"/>
    </row>
    <row r="5732" spans="10:10" x14ac:dyDescent="0.4">
      <c r="J5732" s="140"/>
    </row>
    <row r="5733" spans="10:10" x14ac:dyDescent="0.4">
      <c r="J5733" s="140"/>
    </row>
    <row r="5734" spans="10:10" x14ac:dyDescent="0.4">
      <c r="J5734" s="140"/>
    </row>
    <row r="5735" spans="10:10" x14ac:dyDescent="0.4">
      <c r="J5735" s="140"/>
    </row>
    <row r="5736" spans="10:10" x14ac:dyDescent="0.4">
      <c r="J5736" s="140"/>
    </row>
    <row r="5737" spans="10:10" x14ac:dyDescent="0.4">
      <c r="J5737" s="140"/>
    </row>
    <row r="5738" spans="10:10" x14ac:dyDescent="0.4">
      <c r="J5738" s="140"/>
    </row>
    <row r="5739" spans="10:10" x14ac:dyDescent="0.4">
      <c r="J5739" s="140"/>
    </row>
    <row r="5740" spans="10:10" x14ac:dyDescent="0.4">
      <c r="J5740" s="140"/>
    </row>
    <row r="5741" spans="10:10" x14ac:dyDescent="0.4">
      <c r="J5741" s="140"/>
    </row>
    <row r="5742" spans="10:10" x14ac:dyDescent="0.4">
      <c r="J5742" s="140"/>
    </row>
    <row r="5743" spans="10:10" x14ac:dyDescent="0.4">
      <c r="J5743" s="140"/>
    </row>
    <row r="5744" spans="10:10" x14ac:dyDescent="0.4">
      <c r="J5744" s="140"/>
    </row>
    <row r="5745" spans="10:10" x14ac:dyDescent="0.4">
      <c r="J5745" s="140"/>
    </row>
    <row r="5746" spans="10:10" x14ac:dyDescent="0.4">
      <c r="J5746" s="140"/>
    </row>
    <row r="5747" spans="10:10" x14ac:dyDescent="0.4">
      <c r="J5747" s="140"/>
    </row>
    <row r="5748" spans="10:10" x14ac:dyDescent="0.4">
      <c r="J5748" s="140"/>
    </row>
    <row r="5749" spans="10:10" x14ac:dyDescent="0.4">
      <c r="J5749" s="140"/>
    </row>
    <row r="5750" spans="10:10" x14ac:dyDescent="0.4">
      <c r="J5750" s="140"/>
    </row>
    <row r="5751" spans="10:10" x14ac:dyDescent="0.4">
      <c r="J5751" s="140"/>
    </row>
    <row r="5752" spans="10:10" x14ac:dyDescent="0.4">
      <c r="J5752" s="140"/>
    </row>
    <row r="5753" spans="10:10" x14ac:dyDescent="0.4">
      <c r="J5753" s="140"/>
    </row>
    <row r="5754" spans="10:10" x14ac:dyDescent="0.4">
      <c r="J5754" s="140"/>
    </row>
    <row r="5755" spans="10:10" x14ac:dyDescent="0.4">
      <c r="J5755" s="140"/>
    </row>
    <row r="5756" spans="10:10" x14ac:dyDescent="0.4">
      <c r="J5756" s="140"/>
    </row>
    <row r="5757" spans="10:10" x14ac:dyDescent="0.4">
      <c r="J5757" s="140"/>
    </row>
    <row r="5758" spans="10:10" x14ac:dyDescent="0.4">
      <c r="J5758" s="140"/>
    </row>
    <row r="5759" spans="10:10" x14ac:dyDescent="0.4">
      <c r="J5759" s="140"/>
    </row>
    <row r="5760" spans="10:10" x14ac:dyDescent="0.4">
      <c r="J5760" s="140"/>
    </row>
    <row r="5761" spans="10:10" x14ac:dyDescent="0.4">
      <c r="J5761" s="140"/>
    </row>
    <row r="5762" spans="10:10" x14ac:dyDescent="0.4">
      <c r="J5762" s="140"/>
    </row>
    <row r="5763" spans="10:10" x14ac:dyDescent="0.4">
      <c r="J5763" s="140"/>
    </row>
    <row r="5764" spans="10:10" x14ac:dyDescent="0.4">
      <c r="J5764" s="140"/>
    </row>
    <row r="5765" spans="10:10" x14ac:dyDescent="0.4">
      <c r="J5765" s="140"/>
    </row>
    <row r="5766" spans="10:10" x14ac:dyDescent="0.4">
      <c r="J5766" s="140"/>
    </row>
    <row r="5767" spans="10:10" x14ac:dyDescent="0.4">
      <c r="J5767" s="140"/>
    </row>
    <row r="5768" spans="10:10" x14ac:dyDescent="0.4">
      <c r="J5768" s="140"/>
    </row>
    <row r="5769" spans="10:10" x14ac:dyDescent="0.4">
      <c r="J5769" s="140"/>
    </row>
    <row r="5770" spans="10:10" x14ac:dyDescent="0.4">
      <c r="J5770" s="140"/>
    </row>
    <row r="5771" spans="10:10" x14ac:dyDescent="0.4">
      <c r="J5771" s="140"/>
    </row>
    <row r="5772" spans="10:10" x14ac:dyDescent="0.4">
      <c r="J5772" s="140"/>
    </row>
    <row r="5773" spans="10:10" x14ac:dyDescent="0.4">
      <c r="J5773" s="140"/>
    </row>
    <row r="5774" spans="10:10" x14ac:dyDescent="0.4">
      <c r="J5774" s="140"/>
    </row>
    <row r="5775" spans="10:10" x14ac:dyDescent="0.4">
      <c r="J5775" s="140"/>
    </row>
    <row r="5776" spans="10:10" x14ac:dyDescent="0.4">
      <c r="J5776" s="140"/>
    </row>
    <row r="5777" spans="10:10" x14ac:dyDescent="0.4">
      <c r="J5777" s="140"/>
    </row>
    <row r="5778" spans="10:10" x14ac:dyDescent="0.4">
      <c r="J5778" s="140"/>
    </row>
    <row r="5779" spans="10:10" x14ac:dyDescent="0.4">
      <c r="J5779" s="140"/>
    </row>
    <row r="5780" spans="10:10" x14ac:dyDescent="0.4">
      <c r="J5780" s="140"/>
    </row>
    <row r="5781" spans="10:10" x14ac:dyDescent="0.4">
      <c r="J5781" s="140"/>
    </row>
    <row r="5782" spans="10:10" x14ac:dyDescent="0.4">
      <c r="J5782" s="140"/>
    </row>
    <row r="5783" spans="10:10" x14ac:dyDescent="0.4">
      <c r="J5783" s="140"/>
    </row>
    <row r="5784" spans="10:10" x14ac:dyDescent="0.4">
      <c r="J5784" s="140"/>
    </row>
    <row r="5785" spans="10:10" x14ac:dyDescent="0.4">
      <c r="J5785" s="140"/>
    </row>
    <row r="5786" spans="10:10" x14ac:dyDescent="0.4">
      <c r="J5786" s="140"/>
    </row>
    <row r="5787" spans="10:10" x14ac:dyDescent="0.4">
      <c r="J5787" s="140"/>
    </row>
    <row r="5788" spans="10:10" x14ac:dyDescent="0.4">
      <c r="J5788" s="140"/>
    </row>
    <row r="5789" spans="10:10" x14ac:dyDescent="0.4">
      <c r="J5789" s="140"/>
    </row>
    <row r="5790" spans="10:10" x14ac:dyDescent="0.4">
      <c r="J5790" s="140"/>
    </row>
    <row r="5791" spans="10:10" x14ac:dyDescent="0.4">
      <c r="J5791" s="140"/>
    </row>
    <row r="5792" spans="10:10" x14ac:dyDescent="0.4">
      <c r="J5792" s="140"/>
    </row>
    <row r="5793" spans="10:10" x14ac:dyDescent="0.4">
      <c r="J5793" s="140"/>
    </row>
    <row r="5794" spans="10:10" x14ac:dyDescent="0.4">
      <c r="J5794" s="140"/>
    </row>
    <row r="5795" spans="10:10" x14ac:dyDescent="0.4">
      <c r="J5795" s="140"/>
    </row>
    <row r="5796" spans="10:10" x14ac:dyDescent="0.4">
      <c r="J5796" s="140"/>
    </row>
    <row r="5797" spans="10:10" x14ac:dyDescent="0.4">
      <c r="J5797" s="140"/>
    </row>
    <row r="5798" spans="10:10" x14ac:dyDescent="0.4">
      <c r="J5798" s="140"/>
    </row>
    <row r="5799" spans="10:10" x14ac:dyDescent="0.4">
      <c r="J5799" s="140"/>
    </row>
    <row r="5800" spans="10:10" x14ac:dyDescent="0.4">
      <c r="J5800" s="140"/>
    </row>
    <row r="5801" spans="10:10" x14ac:dyDescent="0.4">
      <c r="J5801" s="140"/>
    </row>
    <row r="5802" spans="10:10" x14ac:dyDescent="0.4">
      <c r="J5802" s="140"/>
    </row>
    <row r="5803" spans="10:10" x14ac:dyDescent="0.4">
      <c r="J5803" s="140"/>
    </row>
    <row r="5804" spans="10:10" x14ac:dyDescent="0.4">
      <c r="J5804" s="140"/>
    </row>
    <row r="5805" spans="10:10" x14ac:dyDescent="0.4">
      <c r="J5805" s="140"/>
    </row>
    <row r="5806" spans="10:10" x14ac:dyDescent="0.4">
      <c r="J5806" s="140"/>
    </row>
    <row r="5807" spans="10:10" x14ac:dyDescent="0.4">
      <c r="J5807" s="140"/>
    </row>
    <row r="5808" spans="10:10" x14ac:dyDescent="0.4">
      <c r="J5808" s="140"/>
    </row>
    <row r="5809" spans="10:10" x14ac:dyDescent="0.4">
      <c r="J5809" s="140"/>
    </row>
    <row r="5810" spans="10:10" x14ac:dyDescent="0.4">
      <c r="J5810" s="140"/>
    </row>
    <row r="5811" spans="10:10" x14ac:dyDescent="0.4">
      <c r="J5811" s="140"/>
    </row>
    <row r="5812" spans="10:10" x14ac:dyDescent="0.4">
      <c r="J5812" s="140"/>
    </row>
    <row r="5813" spans="10:10" x14ac:dyDescent="0.4">
      <c r="J5813" s="140"/>
    </row>
    <row r="5814" spans="10:10" x14ac:dyDescent="0.4">
      <c r="J5814" s="140"/>
    </row>
    <row r="5815" spans="10:10" x14ac:dyDescent="0.4">
      <c r="J5815" s="140"/>
    </row>
    <row r="5816" spans="10:10" x14ac:dyDescent="0.4">
      <c r="J5816" s="140"/>
    </row>
    <row r="5817" spans="10:10" x14ac:dyDescent="0.4">
      <c r="J5817" s="140"/>
    </row>
    <row r="5818" spans="10:10" x14ac:dyDescent="0.4">
      <c r="J5818" s="140"/>
    </row>
    <row r="5819" spans="10:10" x14ac:dyDescent="0.4">
      <c r="J5819" s="140"/>
    </row>
    <row r="5820" spans="10:10" x14ac:dyDescent="0.4">
      <c r="J5820" s="140"/>
    </row>
    <row r="5821" spans="10:10" x14ac:dyDescent="0.4">
      <c r="J5821" s="140"/>
    </row>
    <row r="5822" spans="10:10" x14ac:dyDescent="0.4">
      <c r="J5822" s="140"/>
    </row>
    <row r="5823" spans="10:10" x14ac:dyDescent="0.4">
      <c r="J5823" s="140"/>
    </row>
    <row r="5824" spans="10:10" x14ac:dyDescent="0.4">
      <c r="J5824" s="140"/>
    </row>
    <row r="5825" spans="10:10" x14ac:dyDescent="0.4">
      <c r="J5825" s="140"/>
    </row>
    <row r="5826" spans="10:10" x14ac:dyDescent="0.4">
      <c r="J5826" s="140"/>
    </row>
    <row r="5827" spans="10:10" x14ac:dyDescent="0.4">
      <c r="J5827" s="140"/>
    </row>
    <row r="5828" spans="10:10" x14ac:dyDescent="0.4">
      <c r="J5828" s="140"/>
    </row>
    <row r="5829" spans="10:10" x14ac:dyDescent="0.4">
      <c r="J5829" s="140"/>
    </row>
    <row r="5830" spans="10:10" x14ac:dyDescent="0.4">
      <c r="J5830" s="140"/>
    </row>
    <row r="5831" spans="10:10" x14ac:dyDescent="0.4">
      <c r="J5831" s="140"/>
    </row>
    <row r="5832" spans="10:10" x14ac:dyDescent="0.4">
      <c r="J5832" s="140"/>
    </row>
    <row r="5833" spans="10:10" x14ac:dyDescent="0.4">
      <c r="J5833" s="140"/>
    </row>
    <row r="5834" spans="10:10" x14ac:dyDescent="0.4">
      <c r="J5834" s="140"/>
    </row>
    <row r="5835" spans="10:10" x14ac:dyDescent="0.4">
      <c r="J5835" s="140"/>
    </row>
    <row r="5836" spans="10:10" x14ac:dyDescent="0.4">
      <c r="J5836" s="140"/>
    </row>
    <row r="5837" spans="10:10" x14ac:dyDescent="0.4">
      <c r="J5837" s="140"/>
    </row>
    <row r="5838" spans="10:10" x14ac:dyDescent="0.4">
      <c r="J5838" s="140"/>
    </row>
    <row r="5839" spans="10:10" x14ac:dyDescent="0.4">
      <c r="J5839" s="140"/>
    </row>
    <row r="5840" spans="10:10" x14ac:dyDescent="0.4">
      <c r="J5840" s="140"/>
    </row>
    <row r="5841" spans="10:10" x14ac:dyDescent="0.4">
      <c r="J5841" s="140"/>
    </row>
    <row r="5842" spans="10:10" x14ac:dyDescent="0.4">
      <c r="J5842" s="140"/>
    </row>
    <row r="5843" spans="10:10" x14ac:dyDescent="0.4">
      <c r="J5843" s="140"/>
    </row>
    <row r="5844" spans="10:10" x14ac:dyDescent="0.4">
      <c r="J5844" s="140"/>
    </row>
    <row r="5845" spans="10:10" x14ac:dyDescent="0.4">
      <c r="J5845" s="140"/>
    </row>
    <row r="5846" spans="10:10" x14ac:dyDescent="0.4">
      <c r="J5846" s="140"/>
    </row>
    <row r="5847" spans="10:10" x14ac:dyDescent="0.4">
      <c r="J5847" s="140"/>
    </row>
    <row r="5848" spans="10:10" x14ac:dyDescent="0.4">
      <c r="J5848" s="140"/>
    </row>
    <row r="5849" spans="10:10" x14ac:dyDescent="0.4">
      <c r="J5849" s="140"/>
    </row>
    <row r="5850" spans="10:10" x14ac:dyDescent="0.4">
      <c r="J5850" s="140"/>
    </row>
    <row r="5851" spans="10:10" x14ac:dyDescent="0.4">
      <c r="J5851" s="140"/>
    </row>
    <row r="5852" spans="10:10" x14ac:dyDescent="0.4">
      <c r="J5852" s="140"/>
    </row>
    <row r="5853" spans="10:10" x14ac:dyDescent="0.4">
      <c r="J5853" s="140"/>
    </row>
    <row r="5854" spans="10:10" x14ac:dyDescent="0.4">
      <c r="J5854" s="140"/>
    </row>
    <row r="5855" spans="10:10" x14ac:dyDescent="0.4">
      <c r="J5855" s="140"/>
    </row>
    <row r="5856" spans="10:10" x14ac:dyDescent="0.4">
      <c r="J5856" s="140"/>
    </row>
    <row r="5857" spans="10:10" x14ac:dyDescent="0.4">
      <c r="J5857" s="140"/>
    </row>
    <row r="5858" spans="10:10" x14ac:dyDescent="0.4">
      <c r="J5858" s="140"/>
    </row>
    <row r="5859" spans="10:10" x14ac:dyDescent="0.4">
      <c r="J5859" s="140"/>
    </row>
    <row r="5860" spans="10:10" x14ac:dyDescent="0.4">
      <c r="J5860" s="140"/>
    </row>
    <row r="5861" spans="10:10" x14ac:dyDescent="0.4">
      <c r="J5861" s="140"/>
    </row>
    <row r="5862" spans="10:10" x14ac:dyDescent="0.4">
      <c r="J5862" s="140"/>
    </row>
    <row r="5863" spans="10:10" x14ac:dyDescent="0.4">
      <c r="J5863" s="140"/>
    </row>
    <row r="5864" spans="10:10" x14ac:dyDescent="0.4">
      <c r="J5864" s="140"/>
    </row>
    <row r="5865" spans="10:10" x14ac:dyDescent="0.4">
      <c r="J5865" s="140"/>
    </row>
    <row r="5866" spans="10:10" x14ac:dyDescent="0.4">
      <c r="J5866" s="140"/>
    </row>
    <row r="5867" spans="10:10" x14ac:dyDescent="0.4">
      <c r="J5867" s="140"/>
    </row>
    <row r="5868" spans="10:10" x14ac:dyDescent="0.4">
      <c r="J5868" s="140"/>
    </row>
    <row r="5869" spans="10:10" x14ac:dyDescent="0.4">
      <c r="J5869" s="140"/>
    </row>
    <row r="5870" spans="10:10" x14ac:dyDescent="0.4">
      <c r="J5870" s="140"/>
    </row>
    <row r="5871" spans="10:10" x14ac:dyDescent="0.4">
      <c r="J5871" s="140"/>
    </row>
    <row r="5872" spans="10:10" x14ac:dyDescent="0.4">
      <c r="J5872" s="140"/>
    </row>
    <row r="5873" spans="10:10" x14ac:dyDescent="0.4">
      <c r="J5873" s="140"/>
    </row>
    <row r="5874" spans="10:10" x14ac:dyDescent="0.4">
      <c r="J5874" s="140"/>
    </row>
    <row r="5875" spans="10:10" x14ac:dyDescent="0.4">
      <c r="J5875" s="140"/>
    </row>
    <row r="5876" spans="10:10" x14ac:dyDescent="0.4">
      <c r="J5876" s="140"/>
    </row>
    <row r="5877" spans="10:10" x14ac:dyDescent="0.4">
      <c r="J5877" s="140"/>
    </row>
    <row r="5878" spans="10:10" x14ac:dyDescent="0.4">
      <c r="J5878" s="140"/>
    </row>
    <row r="5879" spans="10:10" x14ac:dyDescent="0.4">
      <c r="J5879" s="140"/>
    </row>
    <row r="5880" spans="10:10" x14ac:dyDescent="0.4">
      <c r="J5880" s="140"/>
    </row>
    <row r="5881" spans="10:10" x14ac:dyDescent="0.4">
      <c r="J5881" s="140"/>
    </row>
    <row r="5882" spans="10:10" x14ac:dyDescent="0.4">
      <c r="J5882" s="140"/>
    </row>
    <row r="5883" spans="10:10" x14ac:dyDescent="0.4">
      <c r="J5883" s="140"/>
    </row>
    <row r="5884" spans="10:10" x14ac:dyDescent="0.4">
      <c r="J5884" s="140"/>
    </row>
    <row r="5885" spans="10:10" x14ac:dyDescent="0.4">
      <c r="J5885" s="140"/>
    </row>
    <row r="5886" spans="10:10" x14ac:dyDescent="0.4">
      <c r="J5886" s="140"/>
    </row>
    <row r="5887" spans="10:10" x14ac:dyDescent="0.4">
      <c r="J5887" s="140"/>
    </row>
    <row r="5888" spans="10:10" x14ac:dyDescent="0.4">
      <c r="J5888" s="140"/>
    </row>
    <row r="5889" spans="10:10" x14ac:dyDescent="0.4">
      <c r="J5889" s="140"/>
    </row>
    <row r="5890" spans="10:10" x14ac:dyDescent="0.4">
      <c r="J5890" s="140"/>
    </row>
    <row r="5891" spans="10:10" x14ac:dyDescent="0.4">
      <c r="J5891" s="140"/>
    </row>
    <row r="5892" spans="10:10" x14ac:dyDescent="0.4">
      <c r="J5892" s="140"/>
    </row>
    <row r="5893" spans="10:10" x14ac:dyDescent="0.4">
      <c r="J5893" s="140"/>
    </row>
    <row r="5894" spans="10:10" x14ac:dyDescent="0.4">
      <c r="J5894" s="140"/>
    </row>
    <row r="5895" spans="10:10" x14ac:dyDescent="0.4">
      <c r="J5895" s="140"/>
    </row>
    <row r="5896" spans="10:10" x14ac:dyDescent="0.4">
      <c r="J5896" s="140"/>
    </row>
    <row r="5897" spans="10:10" x14ac:dyDescent="0.4">
      <c r="J5897" s="140"/>
    </row>
    <row r="5898" spans="10:10" x14ac:dyDescent="0.4">
      <c r="J5898" s="140"/>
    </row>
    <row r="5899" spans="10:10" x14ac:dyDescent="0.4">
      <c r="J5899" s="140"/>
    </row>
    <row r="5900" spans="10:10" x14ac:dyDescent="0.4">
      <c r="J5900" s="140"/>
    </row>
    <row r="5901" spans="10:10" x14ac:dyDescent="0.4">
      <c r="J5901" s="140"/>
    </row>
    <row r="5902" spans="10:10" x14ac:dyDescent="0.4">
      <c r="J5902" s="140"/>
    </row>
    <row r="5903" spans="10:10" x14ac:dyDescent="0.4">
      <c r="J5903" s="140"/>
    </row>
    <row r="5904" spans="10:10" x14ac:dyDescent="0.4">
      <c r="J5904" s="140"/>
    </row>
    <row r="5905" spans="10:10" x14ac:dyDescent="0.4">
      <c r="J5905" s="140"/>
    </row>
    <row r="5906" spans="10:10" x14ac:dyDescent="0.4">
      <c r="J5906" s="140"/>
    </row>
    <row r="5907" spans="10:10" x14ac:dyDescent="0.4">
      <c r="J5907" s="140"/>
    </row>
    <row r="5908" spans="10:10" x14ac:dyDescent="0.4">
      <c r="J5908" s="140"/>
    </row>
    <row r="5909" spans="10:10" x14ac:dyDescent="0.4">
      <c r="J5909" s="140"/>
    </row>
    <row r="5910" spans="10:10" x14ac:dyDescent="0.4">
      <c r="J5910" s="140"/>
    </row>
    <row r="5911" spans="10:10" x14ac:dyDescent="0.4">
      <c r="J5911" s="140"/>
    </row>
    <row r="5912" spans="10:10" x14ac:dyDescent="0.4">
      <c r="J5912" s="140"/>
    </row>
    <row r="5913" spans="10:10" x14ac:dyDescent="0.4">
      <c r="J5913" s="140"/>
    </row>
    <row r="5914" spans="10:10" x14ac:dyDescent="0.4">
      <c r="J5914" s="140"/>
    </row>
    <row r="5915" spans="10:10" x14ac:dyDescent="0.4">
      <c r="J5915" s="140"/>
    </row>
    <row r="5916" spans="10:10" x14ac:dyDescent="0.4">
      <c r="J5916" s="140"/>
    </row>
    <row r="5917" spans="10:10" x14ac:dyDescent="0.4">
      <c r="J5917" s="140"/>
    </row>
    <row r="5918" spans="10:10" x14ac:dyDescent="0.4">
      <c r="J5918" s="140"/>
    </row>
    <row r="5919" spans="10:10" x14ac:dyDescent="0.4">
      <c r="J5919" s="140"/>
    </row>
    <row r="5920" spans="10:10" x14ac:dyDescent="0.4">
      <c r="J5920" s="140"/>
    </row>
    <row r="5921" spans="10:10" x14ac:dyDescent="0.4">
      <c r="J5921" s="140"/>
    </row>
    <row r="5922" spans="10:10" x14ac:dyDescent="0.4">
      <c r="J5922" s="140"/>
    </row>
    <row r="5923" spans="10:10" x14ac:dyDescent="0.4">
      <c r="J5923" s="140"/>
    </row>
    <row r="5924" spans="10:10" x14ac:dyDescent="0.4">
      <c r="J5924" s="140"/>
    </row>
    <row r="5925" spans="10:10" x14ac:dyDescent="0.4">
      <c r="J5925" s="140"/>
    </row>
    <row r="5926" spans="10:10" x14ac:dyDescent="0.4">
      <c r="J5926" s="140"/>
    </row>
    <row r="5927" spans="10:10" x14ac:dyDescent="0.4">
      <c r="J5927" s="140"/>
    </row>
    <row r="5928" spans="10:10" x14ac:dyDescent="0.4">
      <c r="J5928" s="140"/>
    </row>
    <row r="5929" spans="10:10" x14ac:dyDescent="0.4">
      <c r="J5929" s="140"/>
    </row>
    <row r="5930" spans="10:10" x14ac:dyDescent="0.4">
      <c r="J5930" s="140"/>
    </row>
    <row r="5931" spans="10:10" x14ac:dyDescent="0.4">
      <c r="J5931" s="140"/>
    </row>
    <row r="5932" spans="10:10" x14ac:dyDescent="0.4">
      <c r="J5932" s="140"/>
    </row>
    <row r="5933" spans="10:10" x14ac:dyDescent="0.4">
      <c r="J5933" s="140"/>
    </row>
    <row r="5934" spans="10:10" x14ac:dyDescent="0.4">
      <c r="J5934" s="140"/>
    </row>
    <row r="5935" spans="10:10" x14ac:dyDescent="0.4">
      <c r="J5935" s="140"/>
    </row>
    <row r="5936" spans="10:10" x14ac:dyDescent="0.4">
      <c r="J5936" s="140"/>
    </row>
    <row r="5937" spans="10:10" x14ac:dyDescent="0.4">
      <c r="J5937" s="140"/>
    </row>
    <row r="5938" spans="10:10" x14ac:dyDescent="0.4">
      <c r="J5938" s="140"/>
    </row>
    <row r="5939" spans="10:10" x14ac:dyDescent="0.4">
      <c r="J5939" s="140"/>
    </row>
    <row r="5940" spans="10:10" x14ac:dyDescent="0.4">
      <c r="J5940" s="140"/>
    </row>
    <row r="5941" spans="10:10" x14ac:dyDescent="0.4">
      <c r="J5941" s="140"/>
    </row>
    <row r="5942" spans="10:10" x14ac:dyDescent="0.4">
      <c r="J5942" s="140"/>
    </row>
    <row r="5943" spans="10:10" x14ac:dyDescent="0.4">
      <c r="J5943" s="140"/>
    </row>
    <row r="5944" spans="10:10" x14ac:dyDescent="0.4">
      <c r="J5944" s="140"/>
    </row>
    <row r="5945" spans="10:10" x14ac:dyDescent="0.4">
      <c r="J5945" s="140"/>
    </row>
    <row r="5946" spans="10:10" x14ac:dyDescent="0.4">
      <c r="J5946" s="140"/>
    </row>
    <row r="5947" spans="10:10" x14ac:dyDescent="0.4">
      <c r="J5947" s="140"/>
    </row>
    <row r="5948" spans="10:10" x14ac:dyDescent="0.4">
      <c r="J5948" s="140"/>
    </row>
    <row r="5949" spans="10:10" x14ac:dyDescent="0.4">
      <c r="J5949" s="140"/>
    </row>
    <row r="5950" spans="10:10" x14ac:dyDescent="0.4">
      <c r="J5950" s="140"/>
    </row>
    <row r="5951" spans="10:10" x14ac:dyDescent="0.4">
      <c r="J5951" s="140"/>
    </row>
    <row r="5952" spans="10:10" x14ac:dyDescent="0.4">
      <c r="J5952" s="140"/>
    </row>
    <row r="5953" spans="10:10" x14ac:dyDescent="0.4">
      <c r="J5953" s="140"/>
    </row>
    <row r="5954" spans="10:10" x14ac:dyDescent="0.4">
      <c r="J5954" s="140"/>
    </row>
    <row r="5955" spans="10:10" x14ac:dyDescent="0.4">
      <c r="J5955" s="140"/>
    </row>
    <row r="5956" spans="10:10" x14ac:dyDescent="0.4">
      <c r="J5956" s="140"/>
    </row>
    <row r="5957" spans="10:10" x14ac:dyDescent="0.4">
      <c r="J5957" s="140"/>
    </row>
    <row r="5958" spans="10:10" x14ac:dyDescent="0.4">
      <c r="J5958" s="140"/>
    </row>
    <row r="5959" spans="10:10" x14ac:dyDescent="0.4">
      <c r="J5959" s="140"/>
    </row>
    <row r="5960" spans="10:10" x14ac:dyDescent="0.4">
      <c r="J5960" s="140"/>
    </row>
    <row r="5961" spans="10:10" x14ac:dyDescent="0.4">
      <c r="J5961" s="140"/>
    </row>
    <row r="5962" spans="10:10" x14ac:dyDescent="0.4">
      <c r="J5962" s="140"/>
    </row>
    <row r="5963" spans="10:10" x14ac:dyDescent="0.4">
      <c r="J5963" s="140"/>
    </row>
    <row r="5964" spans="10:10" x14ac:dyDescent="0.4">
      <c r="J5964" s="140"/>
    </row>
    <row r="5965" spans="10:10" x14ac:dyDescent="0.4">
      <c r="J5965" s="140"/>
    </row>
    <row r="5966" spans="10:10" x14ac:dyDescent="0.4">
      <c r="J5966" s="140"/>
    </row>
    <row r="5967" spans="10:10" x14ac:dyDescent="0.4">
      <c r="J5967" s="140"/>
    </row>
    <row r="5968" spans="10:10" x14ac:dyDescent="0.4">
      <c r="J5968" s="140"/>
    </row>
    <row r="5969" spans="10:10" x14ac:dyDescent="0.4">
      <c r="J5969" s="140"/>
    </row>
    <row r="5970" spans="10:10" x14ac:dyDescent="0.4">
      <c r="J5970" s="140"/>
    </row>
    <row r="5971" spans="10:10" x14ac:dyDescent="0.4">
      <c r="J5971" s="140"/>
    </row>
    <row r="5972" spans="10:10" x14ac:dyDescent="0.4">
      <c r="J5972" s="140"/>
    </row>
    <row r="5973" spans="10:10" x14ac:dyDescent="0.4">
      <c r="J5973" s="140"/>
    </row>
    <row r="5974" spans="10:10" x14ac:dyDescent="0.4">
      <c r="J5974" s="140"/>
    </row>
    <row r="5975" spans="10:10" x14ac:dyDescent="0.4">
      <c r="J5975" s="140"/>
    </row>
    <row r="5976" spans="10:10" x14ac:dyDescent="0.4">
      <c r="J5976" s="140"/>
    </row>
    <row r="5977" spans="10:10" x14ac:dyDescent="0.4">
      <c r="J5977" s="140"/>
    </row>
    <row r="5978" spans="10:10" x14ac:dyDescent="0.4">
      <c r="J5978" s="140"/>
    </row>
    <row r="5979" spans="10:10" x14ac:dyDescent="0.4">
      <c r="J5979" s="140"/>
    </row>
    <row r="5980" spans="10:10" x14ac:dyDescent="0.4">
      <c r="J5980" s="140"/>
    </row>
    <row r="5981" spans="10:10" x14ac:dyDescent="0.4">
      <c r="J5981" s="140"/>
    </row>
    <row r="5982" spans="10:10" x14ac:dyDescent="0.4">
      <c r="J5982" s="140"/>
    </row>
    <row r="5983" spans="10:10" x14ac:dyDescent="0.4">
      <c r="J5983" s="140"/>
    </row>
    <row r="5984" spans="10:10" x14ac:dyDescent="0.4">
      <c r="J5984" s="140"/>
    </row>
    <row r="5985" spans="10:10" x14ac:dyDescent="0.4">
      <c r="J5985" s="140"/>
    </row>
    <row r="5986" spans="10:10" x14ac:dyDescent="0.4">
      <c r="J5986" s="140"/>
    </row>
    <row r="5987" spans="10:10" x14ac:dyDescent="0.4">
      <c r="J5987" s="140"/>
    </row>
    <row r="5988" spans="10:10" x14ac:dyDescent="0.4">
      <c r="J5988" s="140"/>
    </row>
    <row r="5989" spans="10:10" x14ac:dyDescent="0.4">
      <c r="J5989" s="140"/>
    </row>
    <row r="5990" spans="10:10" x14ac:dyDescent="0.4">
      <c r="J5990" s="140"/>
    </row>
    <row r="5991" spans="10:10" x14ac:dyDescent="0.4">
      <c r="J5991" s="140"/>
    </row>
    <row r="5992" spans="10:10" x14ac:dyDescent="0.4">
      <c r="J5992" s="140"/>
    </row>
    <row r="5993" spans="10:10" x14ac:dyDescent="0.4">
      <c r="J5993" s="140"/>
    </row>
    <row r="5994" spans="10:10" x14ac:dyDescent="0.4">
      <c r="J5994" s="140"/>
    </row>
    <row r="5995" spans="10:10" x14ac:dyDescent="0.4">
      <c r="J5995" s="140"/>
    </row>
    <row r="5996" spans="10:10" x14ac:dyDescent="0.4">
      <c r="J5996" s="140"/>
    </row>
    <row r="5997" spans="10:10" x14ac:dyDescent="0.4">
      <c r="J5997" s="140"/>
    </row>
    <row r="5998" spans="10:10" x14ac:dyDescent="0.4">
      <c r="J5998" s="140"/>
    </row>
    <row r="5999" spans="10:10" x14ac:dyDescent="0.4">
      <c r="J5999" s="140"/>
    </row>
    <row r="6000" spans="10:10" x14ac:dyDescent="0.4">
      <c r="J6000" s="140"/>
    </row>
    <row r="6001" spans="10:10" x14ac:dyDescent="0.4">
      <c r="J6001" s="140"/>
    </row>
    <row r="6002" spans="10:10" x14ac:dyDescent="0.4">
      <c r="J6002" s="140"/>
    </row>
    <row r="6003" spans="10:10" x14ac:dyDescent="0.4">
      <c r="J6003" s="140"/>
    </row>
    <row r="6004" spans="10:10" x14ac:dyDescent="0.4">
      <c r="J6004" s="140"/>
    </row>
    <row r="6005" spans="10:10" x14ac:dyDescent="0.4">
      <c r="J6005" s="140"/>
    </row>
    <row r="6006" spans="10:10" x14ac:dyDescent="0.4">
      <c r="J6006" s="140"/>
    </row>
    <row r="6007" spans="10:10" x14ac:dyDescent="0.4">
      <c r="J6007" s="140"/>
    </row>
    <row r="6008" spans="10:10" x14ac:dyDescent="0.4">
      <c r="J6008" s="140"/>
    </row>
    <row r="6009" spans="10:10" x14ac:dyDescent="0.4">
      <c r="J6009" s="140"/>
    </row>
    <row r="6010" spans="10:10" x14ac:dyDescent="0.4">
      <c r="J6010" s="140"/>
    </row>
    <row r="6011" spans="10:10" x14ac:dyDescent="0.4">
      <c r="J6011" s="140"/>
    </row>
    <row r="6012" spans="10:10" x14ac:dyDescent="0.4">
      <c r="J6012" s="140"/>
    </row>
    <row r="6013" spans="10:10" x14ac:dyDescent="0.4">
      <c r="J6013" s="140"/>
    </row>
    <row r="6014" spans="10:10" x14ac:dyDescent="0.4">
      <c r="J6014" s="140"/>
    </row>
    <row r="6015" spans="10:10" x14ac:dyDescent="0.4">
      <c r="J6015" s="140"/>
    </row>
    <row r="6016" spans="10:10" x14ac:dyDescent="0.4">
      <c r="J6016" s="140"/>
    </row>
    <row r="6017" spans="10:10" x14ac:dyDescent="0.4">
      <c r="J6017" s="140"/>
    </row>
    <row r="6018" spans="10:10" x14ac:dyDescent="0.4">
      <c r="J6018" s="140"/>
    </row>
    <row r="6019" spans="10:10" x14ac:dyDescent="0.4">
      <c r="J6019" s="140"/>
    </row>
    <row r="6020" spans="10:10" x14ac:dyDescent="0.4">
      <c r="J6020" s="140"/>
    </row>
    <row r="6021" spans="10:10" x14ac:dyDescent="0.4">
      <c r="J6021" s="140"/>
    </row>
    <row r="6022" spans="10:10" x14ac:dyDescent="0.4">
      <c r="J6022" s="140"/>
    </row>
    <row r="6023" spans="10:10" x14ac:dyDescent="0.4">
      <c r="J6023" s="140"/>
    </row>
    <row r="6024" spans="10:10" x14ac:dyDescent="0.4">
      <c r="J6024" s="140"/>
    </row>
    <row r="6025" spans="10:10" x14ac:dyDescent="0.4">
      <c r="J6025" s="140"/>
    </row>
    <row r="6026" spans="10:10" x14ac:dyDescent="0.4">
      <c r="J6026" s="140"/>
    </row>
    <row r="6027" spans="10:10" x14ac:dyDescent="0.4">
      <c r="J6027" s="140"/>
    </row>
    <row r="6028" spans="10:10" x14ac:dyDescent="0.4">
      <c r="J6028" s="140"/>
    </row>
    <row r="6029" spans="10:10" x14ac:dyDescent="0.4">
      <c r="J6029" s="140"/>
    </row>
    <row r="6030" spans="10:10" x14ac:dyDescent="0.4">
      <c r="J6030" s="140"/>
    </row>
    <row r="6031" spans="10:10" x14ac:dyDescent="0.4">
      <c r="J6031" s="140"/>
    </row>
    <row r="6032" spans="10:10" x14ac:dyDescent="0.4">
      <c r="J6032" s="140"/>
    </row>
    <row r="6033" spans="10:10" x14ac:dyDescent="0.4">
      <c r="J6033" s="140"/>
    </row>
    <row r="6034" spans="10:10" x14ac:dyDescent="0.4">
      <c r="J6034" s="140"/>
    </row>
    <row r="6035" spans="10:10" x14ac:dyDescent="0.4">
      <c r="J6035" s="140"/>
    </row>
    <row r="6036" spans="10:10" x14ac:dyDescent="0.4">
      <c r="J6036" s="140"/>
    </row>
    <row r="6037" spans="10:10" x14ac:dyDescent="0.4">
      <c r="J6037" s="140"/>
    </row>
    <row r="6038" spans="10:10" x14ac:dyDescent="0.4">
      <c r="J6038" s="140"/>
    </row>
    <row r="6039" spans="10:10" x14ac:dyDescent="0.4">
      <c r="J6039" s="140"/>
    </row>
    <row r="6040" spans="10:10" x14ac:dyDescent="0.4">
      <c r="J6040" s="140"/>
    </row>
    <row r="6041" spans="10:10" x14ac:dyDescent="0.4">
      <c r="J6041" s="140"/>
    </row>
    <row r="6042" spans="10:10" x14ac:dyDescent="0.4">
      <c r="J6042" s="140"/>
    </row>
    <row r="6043" spans="10:10" x14ac:dyDescent="0.4">
      <c r="J6043" s="140"/>
    </row>
    <row r="6044" spans="10:10" x14ac:dyDescent="0.4">
      <c r="J6044" s="140"/>
    </row>
    <row r="6045" spans="10:10" x14ac:dyDescent="0.4">
      <c r="J6045" s="140"/>
    </row>
    <row r="6046" spans="10:10" x14ac:dyDescent="0.4">
      <c r="J6046" s="140"/>
    </row>
    <row r="6047" spans="10:10" x14ac:dyDescent="0.4">
      <c r="J6047" s="140"/>
    </row>
    <row r="6048" spans="10:10" x14ac:dyDescent="0.4">
      <c r="J6048" s="140"/>
    </row>
    <row r="6049" spans="10:10" x14ac:dyDescent="0.4">
      <c r="J6049" s="140"/>
    </row>
    <row r="6050" spans="10:10" x14ac:dyDescent="0.4">
      <c r="J6050" s="140"/>
    </row>
    <row r="6051" spans="10:10" x14ac:dyDescent="0.4">
      <c r="J6051" s="140"/>
    </row>
    <row r="6052" spans="10:10" x14ac:dyDescent="0.4">
      <c r="J6052" s="140"/>
    </row>
    <row r="6053" spans="10:10" x14ac:dyDescent="0.4">
      <c r="J6053" s="140"/>
    </row>
    <row r="6054" spans="10:10" x14ac:dyDescent="0.4">
      <c r="J6054" s="140"/>
    </row>
    <row r="6055" spans="10:10" x14ac:dyDescent="0.4">
      <c r="J6055" s="140"/>
    </row>
    <row r="6056" spans="10:10" x14ac:dyDescent="0.4">
      <c r="J6056" s="140"/>
    </row>
    <row r="6057" spans="10:10" x14ac:dyDescent="0.4">
      <c r="J6057" s="140"/>
    </row>
    <row r="6058" spans="10:10" x14ac:dyDescent="0.4">
      <c r="J6058" s="140"/>
    </row>
    <row r="6059" spans="10:10" x14ac:dyDescent="0.4">
      <c r="J6059" s="140"/>
    </row>
    <row r="6060" spans="10:10" x14ac:dyDescent="0.4">
      <c r="J6060" s="140"/>
    </row>
    <row r="6061" spans="10:10" x14ac:dyDescent="0.4">
      <c r="J6061" s="140"/>
    </row>
    <row r="6062" spans="10:10" x14ac:dyDescent="0.4">
      <c r="J6062" s="140"/>
    </row>
    <row r="6063" spans="10:10" x14ac:dyDescent="0.4">
      <c r="J6063" s="140"/>
    </row>
    <row r="6064" spans="10:10" x14ac:dyDescent="0.4">
      <c r="J6064" s="140"/>
    </row>
    <row r="6065" spans="10:10" x14ac:dyDescent="0.4">
      <c r="J6065" s="140"/>
    </row>
    <row r="6066" spans="10:10" x14ac:dyDescent="0.4">
      <c r="J6066" s="140"/>
    </row>
    <row r="6067" spans="10:10" x14ac:dyDescent="0.4">
      <c r="J6067" s="140"/>
    </row>
    <row r="6068" spans="10:10" x14ac:dyDescent="0.4">
      <c r="J6068" s="140"/>
    </row>
    <row r="6069" spans="10:10" x14ac:dyDescent="0.4">
      <c r="J6069" s="140"/>
    </row>
    <row r="6070" spans="10:10" x14ac:dyDescent="0.4">
      <c r="J6070" s="140"/>
    </row>
    <row r="6071" spans="10:10" x14ac:dyDescent="0.4">
      <c r="J6071" s="140"/>
    </row>
    <row r="6072" spans="10:10" x14ac:dyDescent="0.4">
      <c r="J6072" s="140"/>
    </row>
    <row r="6073" spans="10:10" x14ac:dyDescent="0.4">
      <c r="J6073" s="140"/>
    </row>
    <row r="6074" spans="10:10" x14ac:dyDescent="0.4">
      <c r="J6074" s="140"/>
    </row>
    <row r="6075" spans="10:10" x14ac:dyDescent="0.4">
      <c r="J6075" s="140"/>
    </row>
    <row r="6076" spans="10:10" x14ac:dyDescent="0.4">
      <c r="J6076" s="140"/>
    </row>
    <row r="6077" spans="10:10" x14ac:dyDescent="0.4">
      <c r="J6077" s="140"/>
    </row>
    <row r="6078" spans="10:10" x14ac:dyDescent="0.4">
      <c r="J6078" s="140"/>
    </row>
    <row r="6079" spans="10:10" x14ac:dyDescent="0.4">
      <c r="J6079" s="140"/>
    </row>
    <row r="6080" spans="10:10" x14ac:dyDescent="0.4">
      <c r="J6080" s="140"/>
    </row>
    <row r="6081" spans="10:10" x14ac:dyDescent="0.4">
      <c r="J6081" s="140"/>
    </row>
    <row r="6082" spans="10:10" x14ac:dyDescent="0.4">
      <c r="J6082" s="140"/>
    </row>
    <row r="6083" spans="10:10" x14ac:dyDescent="0.4">
      <c r="J6083" s="140"/>
    </row>
    <row r="6084" spans="10:10" x14ac:dyDescent="0.4">
      <c r="J6084" s="140"/>
    </row>
    <row r="6085" spans="10:10" x14ac:dyDescent="0.4">
      <c r="J6085" s="140"/>
    </row>
    <row r="6086" spans="10:10" x14ac:dyDescent="0.4">
      <c r="J6086" s="140"/>
    </row>
    <row r="6087" spans="10:10" x14ac:dyDescent="0.4">
      <c r="J6087" s="140"/>
    </row>
    <row r="6088" spans="10:10" x14ac:dyDescent="0.4">
      <c r="J6088" s="140"/>
    </row>
    <row r="6089" spans="10:10" x14ac:dyDescent="0.4">
      <c r="J6089" s="140"/>
    </row>
    <row r="6090" spans="10:10" x14ac:dyDescent="0.4">
      <c r="J6090" s="140"/>
    </row>
    <row r="6091" spans="10:10" x14ac:dyDescent="0.4">
      <c r="J6091" s="140"/>
    </row>
    <row r="6092" spans="10:10" x14ac:dyDescent="0.4">
      <c r="J6092" s="140"/>
    </row>
    <row r="6093" spans="10:10" x14ac:dyDescent="0.4">
      <c r="J6093" s="140"/>
    </row>
    <row r="6094" spans="10:10" x14ac:dyDescent="0.4">
      <c r="J6094" s="140"/>
    </row>
    <row r="6095" spans="10:10" x14ac:dyDescent="0.4">
      <c r="J6095" s="140"/>
    </row>
    <row r="6096" spans="10:10" x14ac:dyDescent="0.4">
      <c r="J6096" s="140"/>
    </row>
    <row r="6097" spans="10:10" x14ac:dyDescent="0.4">
      <c r="J6097" s="140"/>
    </row>
    <row r="6098" spans="10:10" x14ac:dyDescent="0.4">
      <c r="J6098" s="140"/>
    </row>
    <row r="6099" spans="10:10" x14ac:dyDescent="0.4">
      <c r="J6099" s="140"/>
    </row>
    <row r="6100" spans="10:10" x14ac:dyDescent="0.4">
      <c r="J6100" s="140"/>
    </row>
    <row r="6101" spans="10:10" x14ac:dyDescent="0.4">
      <c r="J6101" s="140"/>
    </row>
    <row r="6102" spans="10:10" x14ac:dyDescent="0.4">
      <c r="J6102" s="140"/>
    </row>
    <row r="6103" spans="10:10" x14ac:dyDescent="0.4">
      <c r="J6103" s="140"/>
    </row>
    <row r="6104" spans="10:10" x14ac:dyDescent="0.4">
      <c r="J6104" s="140"/>
    </row>
    <row r="6105" spans="10:10" x14ac:dyDescent="0.4">
      <c r="J6105" s="140"/>
    </row>
    <row r="6106" spans="10:10" x14ac:dyDescent="0.4">
      <c r="J6106" s="140"/>
    </row>
    <row r="6107" spans="10:10" x14ac:dyDescent="0.4">
      <c r="J6107" s="140"/>
    </row>
    <row r="6108" spans="10:10" x14ac:dyDescent="0.4">
      <c r="J6108" s="140"/>
    </row>
    <row r="6109" spans="10:10" x14ac:dyDescent="0.4">
      <c r="J6109" s="140"/>
    </row>
    <row r="6110" spans="10:10" x14ac:dyDescent="0.4">
      <c r="J6110" s="140"/>
    </row>
    <row r="6111" spans="10:10" x14ac:dyDescent="0.4">
      <c r="J6111" s="140"/>
    </row>
    <row r="6112" spans="10:10" x14ac:dyDescent="0.4">
      <c r="J6112" s="140"/>
    </row>
    <row r="6113" spans="10:10" x14ac:dyDescent="0.4">
      <c r="J6113" s="140"/>
    </row>
    <row r="6114" spans="10:10" x14ac:dyDescent="0.4">
      <c r="J6114" s="140"/>
    </row>
    <row r="6115" spans="10:10" x14ac:dyDescent="0.4">
      <c r="J6115" s="140"/>
    </row>
    <row r="6116" spans="10:10" x14ac:dyDescent="0.4">
      <c r="J6116" s="140"/>
    </row>
    <row r="6117" spans="10:10" x14ac:dyDescent="0.4">
      <c r="J6117" s="140"/>
    </row>
    <row r="6118" spans="10:10" x14ac:dyDescent="0.4">
      <c r="J6118" s="140"/>
    </row>
    <row r="6119" spans="10:10" x14ac:dyDescent="0.4">
      <c r="J6119" s="140"/>
    </row>
    <row r="6120" spans="10:10" x14ac:dyDescent="0.4">
      <c r="J6120" s="140"/>
    </row>
    <row r="6121" spans="10:10" x14ac:dyDescent="0.4">
      <c r="J6121" s="140"/>
    </row>
    <row r="6122" spans="10:10" x14ac:dyDescent="0.4">
      <c r="J6122" s="140"/>
    </row>
    <row r="6123" spans="10:10" x14ac:dyDescent="0.4">
      <c r="J6123" s="140"/>
    </row>
    <row r="6124" spans="10:10" x14ac:dyDescent="0.4">
      <c r="J6124" s="140"/>
    </row>
    <row r="6125" spans="10:10" x14ac:dyDescent="0.4">
      <c r="J6125" s="140"/>
    </row>
    <row r="6126" spans="10:10" x14ac:dyDescent="0.4">
      <c r="J6126" s="140"/>
    </row>
    <row r="6127" spans="10:10" x14ac:dyDescent="0.4">
      <c r="J6127" s="140"/>
    </row>
    <row r="6128" spans="10:10" x14ac:dyDescent="0.4">
      <c r="J6128" s="140"/>
    </row>
    <row r="6129" spans="10:10" x14ac:dyDescent="0.4">
      <c r="J6129" s="140"/>
    </row>
    <row r="6130" spans="10:10" x14ac:dyDescent="0.4">
      <c r="J6130" s="140"/>
    </row>
    <row r="6131" spans="10:10" x14ac:dyDescent="0.4">
      <c r="J6131" s="140"/>
    </row>
    <row r="6132" spans="10:10" x14ac:dyDescent="0.4">
      <c r="J6132" s="140"/>
    </row>
    <row r="6133" spans="10:10" x14ac:dyDescent="0.4">
      <c r="J6133" s="140"/>
    </row>
    <row r="6134" spans="10:10" x14ac:dyDescent="0.4">
      <c r="J6134" s="140"/>
    </row>
    <row r="6135" spans="10:10" x14ac:dyDescent="0.4">
      <c r="J6135" s="140"/>
    </row>
    <row r="6136" spans="10:10" x14ac:dyDescent="0.4">
      <c r="J6136" s="140"/>
    </row>
    <row r="6137" spans="10:10" x14ac:dyDescent="0.4">
      <c r="J6137" s="140"/>
    </row>
    <row r="6138" spans="10:10" x14ac:dyDescent="0.4">
      <c r="J6138" s="140"/>
    </row>
    <row r="6139" spans="10:10" x14ac:dyDescent="0.4">
      <c r="J6139" s="140"/>
    </row>
    <row r="6140" spans="10:10" x14ac:dyDescent="0.4">
      <c r="J6140" s="140"/>
    </row>
    <row r="6141" spans="10:10" x14ac:dyDescent="0.4">
      <c r="J6141" s="140"/>
    </row>
    <row r="6142" spans="10:10" x14ac:dyDescent="0.4">
      <c r="J6142" s="140"/>
    </row>
    <row r="6143" spans="10:10" x14ac:dyDescent="0.4">
      <c r="J6143" s="140"/>
    </row>
    <row r="6144" spans="10:10" x14ac:dyDescent="0.4">
      <c r="J6144" s="140"/>
    </row>
    <row r="6145" spans="10:10" x14ac:dyDescent="0.4">
      <c r="J6145" s="140"/>
    </row>
    <row r="6146" spans="10:10" x14ac:dyDescent="0.4">
      <c r="J6146" s="140"/>
    </row>
    <row r="6147" spans="10:10" x14ac:dyDescent="0.4">
      <c r="J6147" s="140"/>
    </row>
    <row r="6148" spans="10:10" x14ac:dyDescent="0.4">
      <c r="J6148" s="140"/>
    </row>
    <row r="6149" spans="10:10" x14ac:dyDescent="0.4">
      <c r="J6149" s="140"/>
    </row>
    <row r="6150" spans="10:10" x14ac:dyDescent="0.4">
      <c r="J6150" s="140"/>
    </row>
    <row r="6151" spans="10:10" x14ac:dyDescent="0.4">
      <c r="J6151" s="140"/>
    </row>
    <row r="6152" spans="10:10" x14ac:dyDescent="0.4">
      <c r="J6152" s="140"/>
    </row>
    <row r="6153" spans="10:10" x14ac:dyDescent="0.4">
      <c r="J6153" s="140"/>
    </row>
    <row r="6154" spans="10:10" x14ac:dyDescent="0.4">
      <c r="J6154" s="140"/>
    </row>
    <row r="6155" spans="10:10" x14ac:dyDescent="0.4">
      <c r="J6155" s="140"/>
    </row>
    <row r="6156" spans="10:10" x14ac:dyDescent="0.4">
      <c r="J6156" s="140"/>
    </row>
    <row r="6157" spans="10:10" x14ac:dyDescent="0.4">
      <c r="J6157" s="140"/>
    </row>
    <row r="6158" spans="10:10" x14ac:dyDescent="0.4">
      <c r="J6158" s="140"/>
    </row>
    <row r="6159" spans="10:10" x14ac:dyDescent="0.4">
      <c r="J6159" s="140"/>
    </row>
    <row r="6160" spans="10:10" x14ac:dyDescent="0.4">
      <c r="J6160" s="140"/>
    </row>
    <row r="6161" spans="10:10" x14ac:dyDescent="0.4">
      <c r="J6161" s="140"/>
    </row>
    <row r="6162" spans="10:10" x14ac:dyDescent="0.4">
      <c r="J6162" s="140"/>
    </row>
    <row r="6163" spans="10:10" x14ac:dyDescent="0.4">
      <c r="J6163" s="140"/>
    </row>
    <row r="6164" spans="10:10" x14ac:dyDescent="0.4">
      <c r="J6164" s="140"/>
    </row>
    <row r="6165" spans="10:10" x14ac:dyDescent="0.4">
      <c r="J6165" s="140"/>
    </row>
    <row r="6166" spans="10:10" x14ac:dyDescent="0.4">
      <c r="J6166" s="140"/>
    </row>
    <row r="6167" spans="10:10" x14ac:dyDescent="0.4">
      <c r="J6167" s="140"/>
    </row>
    <row r="6168" spans="10:10" x14ac:dyDescent="0.4">
      <c r="J6168" s="140"/>
    </row>
    <row r="6169" spans="10:10" x14ac:dyDescent="0.4">
      <c r="J6169" s="140"/>
    </row>
    <row r="6170" spans="10:10" x14ac:dyDescent="0.4">
      <c r="J6170" s="140"/>
    </row>
    <row r="6171" spans="10:10" x14ac:dyDescent="0.4">
      <c r="J6171" s="140"/>
    </row>
    <row r="6172" spans="10:10" x14ac:dyDescent="0.4">
      <c r="J6172" s="140"/>
    </row>
    <row r="6173" spans="10:10" x14ac:dyDescent="0.4">
      <c r="J6173" s="140"/>
    </row>
    <row r="6174" spans="10:10" x14ac:dyDescent="0.4">
      <c r="J6174" s="140"/>
    </row>
    <row r="6175" spans="10:10" x14ac:dyDescent="0.4">
      <c r="J6175" s="140"/>
    </row>
    <row r="6176" spans="10:10" x14ac:dyDescent="0.4">
      <c r="J6176" s="140"/>
    </row>
    <row r="6177" spans="10:10" x14ac:dyDescent="0.4">
      <c r="J6177" s="140"/>
    </row>
    <row r="6178" spans="10:10" x14ac:dyDescent="0.4">
      <c r="J6178" s="140"/>
    </row>
    <row r="6179" spans="10:10" x14ac:dyDescent="0.4">
      <c r="J6179" s="140"/>
    </row>
    <row r="6180" spans="10:10" x14ac:dyDescent="0.4">
      <c r="J6180" s="140"/>
    </row>
    <row r="6181" spans="10:10" x14ac:dyDescent="0.4">
      <c r="J6181" s="140"/>
    </row>
    <row r="6182" spans="10:10" x14ac:dyDescent="0.4">
      <c r="J6182" s="140"/>
    </row>
    <row r="6183" spans="10:10" x14ac:dyDescent="0.4">
      <c r="J6183" s="140"/>
    </row>
    <row r="6184" spans="10:10" x14ac:dyDescent="0.4">
      <c r="J6184" s="140"/>
    </row>
    <row r="6185" spans="10:10" x14ac:dyDescent="0.4">
      <c r="J6185" s="140"/>
    </row>
    <row r="6186" spans="10:10" x14ac:dyDescent="0.4">
      <c r="J6186" s="140"/>
    </row>
    <row r="6187" spans="10:10" x14ac:dyDescent="0.4">
      <c r="J6187" s="140"/>
    </row>
    <row r="6188" spans="10:10" x14ac:dyDescent="0.4">
      <c r="J6188" s="140"/>
    </row>
    <row r="6189" spans="10:10" x14ac:dyDescent="0.4">
      <c r="J6189" s="140"/>
    </row>
    <row r="6190" spans="10:10" x14ac:dyDescent="0.4">
      <c r="J6190" s="140"/>
    </row>
    <row r="6191" spans="10:10" x14ac:dyDescent="0.4">
      <c r="J6191" s="140"/>
    </row>
    <row r="6192" spans="10:10" x14ac:dyDescent="0.4">
      <c r="J6192" s="140"/>
    </row>
    <row r="6193" spans="10:10" x14ac:dyDescent="0.4">
      <c r="J6193" s="140"/>
    </row>
    <row r="6194" spans="10:10" x14ac:dyDescent="0.4">
      <c r="J6194" s="140"/>
    </row>
    <row r="6195" spans="10:10" x14ac:dyDescent="0.4">
      <c r="J6195" s="140"/>
    </row>
    <row r="6196" spans="10:10" x14ac:dyDescent="0.4">
      <c r="J6196" s="140"/>
    </row>
    <row r="6197" spans="10:10" x14ac:dyDescent="0.4">
      <c r="J6197" s="140"/>
    </row>
    <row r="6198" spans="10:10" x14ac:dyDescent="0.4">
      <c r="J6198" s="140"/>
    </row>
    <row r="6199" spans="10:10" x14ac:dyDescent="0.4">
      <c r="J6199" s="140"/>
    </row>
    <row r="6200" spans="10:10" x14ac:dyDescent="0.4">
      <c r="J6200" s="140"/>
    </row>
    <row r="6201" spans="10:10" x14ac:dyDescent="0.4">
      <c r="J6201" s="140"/>
    </row>
    <row r="6202" spans="10:10" x14ac:dyDescent="0.4">
      <c r="J6202" s="140"/>
    </row>
    <row r="6203" spans="10:10" x14ac:dyDescent="0.4">
      <c r="J6203" s="140"/>
    </row>
    <row r="6204" spans="10:10" x14ac:dyDescent="0.4">
      <c r="J6204" s="140"/>
    </row>
    <row r="6205" spans="10:10" x14ac:dyDescent="0.4">
      <c r="J6205" s="140"/>
    </row>
    <row r="6206" spans="10:10" x14ac:dyDescent="0.4">
      <c r="J6206" s="140"/>
    </row>
    <row r="6207" spans="10:10" x14ac:dyDescent="0.4">
      <c r="J6207" s="140"/>
    </row>
    <row r="6208" spans="10:10" x14ac:dyDescent="0.4">
      <c r="J6208" s="140"/>
    </row>
    <row r="6209" spans="10:10" x14ac:dyDescent="0.4">
      <c r="J6209" s="140"/>
    </row>
    <row r="6210" spans="10:10" x14ac:dyDescent="0.4">
      <c r="J6210" s="140"/>
    </row>
    <row r="6211" spans="10:10" x14ac:dyDescent="0.4">
      <c r="J6211" s="140"/>
    </row>
    <row r="6212" spans="10:10" x14ac:dyDescent="0.4">
      <c r="J6212" s="140"/>
    </row>
    <row r="6213" spans="10:10" x14ac:dyDescent="0.4">
      <c r="J6213" s="140"/>
    </row>
    <row r="6214" spans="10:10" x14ac:dyDescent="0.4">
      <c r="J6214" s="140"/>
    </row>
    <row r="6215" spans="10:10" x14ac:dyDescent="0.4">
      <c r="J6215" s="140"/>
    </row>
    <row r="6216" spans="10:10" x14ac:dyDescent="0.4">
      <c r="J6216" s="140"/>
    </row>
    <row r="6217" spans="10:10" x14ac:dyDescent="0.4">
      <c r="J6217" s="140"/>
    </row>
    <row r="6218" spans="10:10" x14ac:dyDescent="0.4">
      <c r="J6218" s="140"/>
    </row>
    <row r="6219" spans="10:10" x14ac:dyDescent="0.4">
      <c r="J6219" s="140"/>
    </row>
    <row r="6220" spans="10:10" x14ac:dyDescent="0.4">
      <c r="J6220" s="140"/>
    </row>
    <row r="6221" spans="10:10" x14ac:dyDescent="0.4">
      <c r="J6221" s="140"/>
    </row>
    <row r="6222" spans="10:10" x14ac:dyDescent="0.4">
      <c r="J6222" s="140"/>
    </row>
    <row r="6223" spans="10:10" x14ac:dyDescent="0.4">
      <c r="J6223" s="140"/>
    </row>
    <row r="6224" spans="10:10" x14ac:dyDescent="0.4">
      <c r="J6224" s="140"/>
    </row>
    <row r="6225" spans="10:10" x14ac:dyDescent="0.4">
      <c r="J6225" s="140"/>
    </row>
    <row r="6226" spans="10:10" x14ac:dyDescent="0.4">
      <c r="J6226" s="140"/>
    </row>
    <row r="6227" spans="10:10" x14ac:dyDescent="0.4">
      <c r="J6227" s="140"/>
    </row>
    <row r="6228" spans="10:10" x14ac:dyDescent="0.4">
      <c r="J6228" s="140"/>
    </row>
    <row r="6229" spans="10:10" x14ac:dyDescent="0.4">
      <c r="J6229" s="140"/>
    </row>
    <row r="6230" spans="10:10" x14ac:dyDescent="0.4">
      <c r="J6230" s="140"/>
    </row>
    <row r="6231" spans="10:10" x14ac:dyDescent="0.4">
      <c r="J6231" s="140"/>
    </row>
    <row r="6232" spans="10:10" x14ac:dyDescent="0.4">
      <c r="J6232" s="140"/>
    </row>
    <row r="6233" spans="10:10" x14ac:dyDescent="0.4">
      <c r="J6233" s="140"/>
    </row>
    <row r="6234" spans="10:10" x14ac:dyDescent="0.4">
      <c r="J6234" s="140"/>
    </row>
    <row r="6235" spans="10:10" x14ac:dyDescent="0.4">
      <c r="J6235" s="140"/>
    </row>
    <row r="6236" spans="10:10" x14ac:dyDescent="0.4">
      <c r="J6236" s="140"/>
    </row>
    <row r="6237" spans="10:10" x14ac:dyDescent="0.4">
      <c r="J6237" s="140"/>
    </row>
    <row r="6238" spans="10:10" x14ac:dyDescent="0.4">
      <c r="J6238" s="140"/>
    </row>
    <row r="6239" spans="10:10" x14ac:dyDescent="0.4">
      <c r="J6239" s="140"/>
    </row>
    <row r="6240" spans="10:10" x14ac:dyDescent="0.4">
      <c r="J6240" s="140"/>
    </row>
    <row r="6241" spans="10:10" x14ac:dyDescent="0.4">
      <c r="J6241" s="140"/>
    </row>
    <row r="6242" spans="10:10" x14ac:dyDescent="0.4">
      <c r="J6242" s="140"/>
    </row>
    <row r="6243" spans="10:10" x14ac:dyDescent="0.4">
      <c r="J6243" s="140"/>
    </row>
    <row r="6244" spans="10:10" x14ac:dyDescent="0.4">
      <c r="J6244" s="140"/>
    </row>
    <row r="6245" spans="10:10" x14ac:dyDescent="0.4">
      <c r="J6245" s="140"/>
    </row>
    <row r="6246" spans="10:10" x14ac:dyDescent="0.4">
      <c r="J6246" s="140"/>
    </row>
    <row r="6247" spans="10:10" x14ac:dyDescent="0.4">
      <c r="J6247" s="140"/>
    </row>
    <row r="6248" spans="10:10" x14ac:dyDescent="0.4">
      <c r="J6248" s="140"/>
    </row>
    <row r="6249" spans="10:10" x14ac:dyDescent="0.4">
      <c r="J6249" s="140"/>
    </row>
    <row r="6250" spans="10:10" x14ac:dyDescent="0.4">
      <c r="J6250" s="140"/>
    </row>
    <row r="6251" spans="10:10" x14ac:dyDescent="0.4">
      <c r="J6251" s="140"/>
    </row>
    <row r="6252" spans="10:10" x14ac:dyDescent="0.4">
      <c r="J6252" s="140"/>
    </row>
    <row r="6253" spans="10:10" x14ac:dyDescent="0.4">
      <c r="J6253" s="140"/>
    </row>
    <row r="6254" spans="10:10" x14ac:dyDescent="0.4">
      <c r="J6254" s="140"/>
    </row>
    <row r="6255" spans="10:10" x14ac:dyDescent="0.4">
      <c r="J6255" s="140"/>
    </row>
    <row r="6256" spans="10:10" x14ac:dyDescent="0.4">
      <c r="J6256" s="140"/>
    </row>
    <row r="6257" spans="10:10" x14ac:dyDescent="0.4">
      <c r="J6257" s="140"/>
    </row>
    <row r="6258" spans="10:10" x14ac:dyDescent="0.4">
      <c r="J6258" s="140"/>
    </row>
    <row r="6259" spans="10:10" x14ac:dyDescent="0.4">
      <c r="J6259" s="140"/>
    </row>
    <row r="6260" spans="10:10" x14ac:dyDescent="0.4">
      <c r="J6260" s="140"/>
    </row>
    <row r="6261" spans="10:10" x14ac:dyDescent="0.4">
      <c r="J6261" s="140"/>
    </row>
    <row r="6262" spans="10:10" x14ac:dyDescent="0.4">
      <c r="J6262" s="140"/>
    </row>
    <row r="6263" spans="10:10" x14ac:dyDescent="0.4">
      <c r="J6263" s="140"/>
    </row>
    <row r="6264" spans="10:10" x14ac:dyDescent="0.4">
      <c r="J6264" s="140"/>
    </row>
    <row r="6265" spans="10:10" x14ac:dyDescent="0.4">
      <c r="J6265" s="140"/>
    </row>
    <row r="6266" spans="10:10" x14ac:dyDescent="0.4">
      <c r="J6266" s="140"/>
    </row>
    <row r="6267" spans="10:10" x14ac:dyDescent="0.4">
      <c r="J6267" s="140"/>
    </row>
    <row r="6268" spans="10:10" x14ac:dyDescent="0.4">
      <c r="J6268" s="140"/>
    </row>
    <row r="6269" spans="10:10" x14ac:dyDescent="0.4">
      <c r="J6269" s="140"/>
    </row>
    <row r="6270" spans="10:10" x14ac:dyDescent="0.4">
      <c r="J6270" s="140"/>
    </row>
    <row r="6271" spans="10:10" x14ac:dyDescent="0.4">
      <c r="J6271" s="140"/>
    </row>
    <row r="6272" spans="10:10" x14ac:dyDescent="0.4">
      <c r="J6272" s="140"/>
    </row>
    <row r="6273" spans="10:10" x14ac:dyDescent="0.4">
      <c r="J6273" s="140"/>
    </row>
    <row r="6274" spans="10:10" x14ac:dyDescent="0.4">
      <c r="J6274" s="140"/>
    </row>
    <row r="6275" spans="10:10" x14ac:dyDescent="0.4">
      <c r="J6275" s="140"/>
    </row>
    <row r="6276" spans="10:10" x14ac:dyDescent="0.4">
      <c r="J6276" s="140"/>
    </row>
    <row r="6277" spans="10:10" x14ac:dyDescent="0.4">
      <c r="J6277" s="140"/>
    </row>
    <row r="6278" spans="10:10" x14ac:dyDescent="0.4">
      <c r="J6278" s="140"/>
    </row>
    <row r="6279" spans="10:10" x14ac:dyDescent="0.4">
      <c r="J6279" s="140"/>
    </row>
    <row r="6280" spans="10:10" x14ac:dyDescent="0.4">
      <c r="J6280" s="140"/>
    </row>
    <row r="6281" spans="10:10" x14ac:dyDescent="0.4">
      <c r="J6281" s="140"/>
    </row>
    <row r="6282" spans="10:10" x14ac:dyDescent="0.4">
      <c r="J6282" s="140"/>
    </row>
    <row r="6283" spans="10:10" x14ac:dyDescent="0.4">
      <c r="J6283" s="140"/>
    </row>
    <row r="6284" spans="10:10" x14ac:dyDescent="0.4">
      <c r="J6284" s="140"/>
    </row>
    <row r="6285" spans="10:10" x14ac:dyDescent="0.4">
      <c r="J6285" s="140"/>
    </row>
    <row r="6286" spans="10:10" x14ac:dyDescent="0.4">
      <c r="J6286" s="140"/>
    </row>
    <row r="6287" spans="10:10" x14ac:dyDescent="0.4">
      <c r="J6287" s="140"/>
    </row>
    <row r="6288" spans="10:10" x14ac:dyDescent="0.4">
      <c r="J6288" s="140"/>
    </row>
    <row r="6289" spans="10:10" x14ac:dyDescent="0.4">
      <c r="J6289" s="140"/>
    </row>
    <row r="6290" spans="10:10" x14ac:dyDescent="0.4">
      <c r="J6290" s="140"/>
    </row>
    <row r="6291" spans="10:10" x14ac:dyDescent="0.4">
      <c r="J6291" s="140"/>
    </row>
    <row r="6292" spans="10:10" x14ac:dyDescent="0.4">
      <c r="J6292" s="140"/>
    </row>
    <row r="6293" spans="10:10" x14ac:dyDescent="0.4">
      <c r="J6293" s="140"/>
    </row>
    <row r="6294" spans="10:10" x14ac:dyDescent="0.4">
      <c r="J6294" s="140"/>
    </row>
    <row r="6295" spans="10:10" x14ac:dyDescent="0.4">
      <c r="J6295" s="140"/>
    </row>
    <row r="6296" spans="10:10" x14ac:dyDescent="0.4">
      <c r="J6296" s="140"/>
    </row>
    <row r="6297" spans="10:10" x14ac:dyDescent="0.4">
      <c r="J6297" s="140"/>
    </row>
    <row r="6298" spans="10:10" x14ac:dyDescent="0.4">
      <c r="J6298" s="140"/>
    </row>
    <row r="6299" spans="10:10" x14ac:dyDescent="0.4">
      <c r="J6299" s="140"/>
    </row>
    <row r="6300" spans="10:10" x14ac:dyDescent="0.4">
      <c r="J6300" s="140"/>
    </row>
    <row r="6301" spans="10:10" x14ac:dyDescent="0.4">
      <c r="J6301" s="140"/>
    </row>
    <row r="6302" spans="10:10" x14ac:dyDescent="0.4">
      <c r="J6302" s="140"/>
    </row>
    <row r="6303" spans="10:10" x14ac:dyDescent="0.4">
      <c r="J6303" s="140"/>
    </row>
    <row r="6304" spans="10:10" x14ac:dyDescent="0.4">
      <c r="J6304" s="140"/>
    </row>
    <row r="6305" spans="10:10" x14ac:dyDescent="0.4">
      <c r="J6305" s="140"/>
    </row>
    <row r="6306" spans="10:10" x14ac:dyDescent="0.4">
      <c r="J6306" s="140"/>
    </row>
    <row r="6307" spans="10:10" x14ac:dyDescent="0.4">
      <c r="J6307" s="140"/>
    </row>
    <row r="6308" spans="10:10" x14ac:dyDescent="0.4">
      <c r="J6308" s="140"/>
    </row>
    <row r="6309" spans="10:10" x14ac:dyDescent="0.4">
      <c r="J6309" s="140"/>
    </row>
    <row r="6310" spans="10:10" x14ac:dyDescent="0.4">
      <c r="J6310" s="140"/>
    </row>
    <row r="6311" spans="10:10" x14ac:dyDescent="0.4">
      <c r="J6311" s="140"/>
    </row>
    <row r="6312" spans="10:10" x14ac:dyDescent="0.4">
      <c r="J6312" s="140"/>
    </row>
    <row r="6313" spans="10:10" x14ac:dyDescent="0.4">
      <c r="J6313" s="140"/>
    </row>
    <row r="6314" spans="10:10" x14ac:dyDescent="0.4">
      <c r="J6314" s="140"/>
    </row>
    <row r="6315" spans="10:10" x14ac:dyDescent="0.4">
      <c r="J6315" s="140"/>
    </row>
    <row r="6316" spans="10:10" x14ac:dyDescent="0.4">
      <c r="J6316" s="140"/>
    </row>
    <row r="6317" spans="10:10" x14ac:dyDescent="0.4">
      <c r="J6317" s="140"/>
    </row>
    <row r="6318" spans="10:10" x14ac:dyDescent="0.4">
      <c r="J6318" s="140"/>
    </row>
    <row r="6319" spans="10:10" x14ac:dyDescent="0.4">
      <c r="J6319" s="140"/>
    </row>
    <row r="6320" spans="10:10" x14ac:dyDescent="0.4">
      <c r="J6320" s="140"/>
    </row>
    <row r="6321" spans="10:10" x14ac:dyDescent="0.4">
      <c r="J6321" s="140"/>
    </row>
    <row r="6322" spans="10:10" x14ac:dyDescent="0.4">
      <c r="J6322" s="140"/>
    </row>
    <row r="6323" spans="10:10" x14ac:dyDescent="0.4">
      <c r="J6323" s="140"/>
    </row>
    <row r="6324" spans="10:10" x14ac:dyDescent="0.4">
      <c r="J6324" s="140"/>
    </row>
    <row r="6325" spans="10:10" x14ac:dyDescent="0.4">
      <c r="J6325" s="140"/>
    </row>
    <row r="6326" spans="10:10" x14ac:dyDescent="0.4">
      <c r="J6326" s="140"/>
    </row>
    <row r="6327" spans="10:10" x14ac:dyDescent="0.4">
      <c r="J6327" s="140"/>
    </row>
    <row r="6328" spans="10:10" x14ac:dyDescent="0.4">
      <c r="J6328" s="140"/>
    </row>
    <row r="6329" spans="10:10" x14ac:dyDescent="0.4">
      <c r="J6329" s="140"/>
    </row>
    <row r="6330" spans="10:10" x14ac:dyDescent="0.4">
      <c r="J6330" s="140"/>
    </row>
    <row r="6331" spans="10:10" x14ac:dyDescent="0.4">
      <c r="J6331" s="140"/>
    </row>
    <row r="6332" spans="10:10" x14ac:dyDescent="0.4">
      <c r="J6332" s="140"/>
    </row>
    <row r="6333" spans="10:10" x14ac:dyDescent="0.4">
      <c r="J6333" s="140"/>
    </row>
    <row r="6334" spans="10:10" x14ac:dyDescent="0.4">
      <c r="J6334" s="140"/>
    </row>
    <row r="6335" spans="10:10" x14ac:dyDescent="0.4">
      <c r="J6335" s="140"/>
    </row>
    <row r="6336" spans="10:10" x14ac:dyDescent="0.4">
      <c r="J6336" s="140"/>
    </row>
    <row r="6337" spans="10:10" x14ac:dyDescent="0.4">
      <c r="J6337" s="140"/>
    </row>
    <row r="6338" spans="10:10" x14ac:dyDescent="0.4">
      <c r="J6338" s="140"/>
    </row>
    <row r="6339" spans="10:10" x14ac:dyDescent="0.4">
      <c r="J6339" s="140"/>
    </row>
    <row r="6340" spans="10:10" x14ac:dyDescent="0.4">
      <c r="J6340" s="140"/>
    </row>
    <row r="6341" spans="10:10" x14ac:dyDescent="0.4">
      <c r="J6341" s="140"/>
    </row>
    <row r="6342" spans="10:10" x14ac:dyDescent="0.4">
      <c r="J6342" s="140"/>
    </row>
    <row r="6343" spans="10:10" x14ac:dyDescent="0.4">
      <c r="J6343" s="140"/>
    </row>
    <row r="6344" spans="10:10" x14ac:dyDescent="0.4">
      <c r="J6344" s="140"/>
    </row>
    <row r="6345" spans="10:10" x14ac:dyDescent="0.4">
      <c r="J6345" s="140"/>
    </row>
    <row r="6346" spans="10:10" x14ac:dyDescent="0.4">
      <c r="J6346" s="140"/>
    </row>
    <row r="6347" spans="10:10" x14ac:dyDescent="0.4">
      <c r="J6347" s="140"/>
    </row>
    <row r="6348" spans="10:10" x14ac:dyDescent="0.4">
      <c r="J6348" s="140"/>
    </row>
    <row r="6349" spans="10:10" x14ac:dyDescent="0.4">
      <c r="J6349" s="140"/>
    </row>
    <row r="6350" spans="10:10" x14ac:dyDescent="0.4">
      <c r="J6350" s="140"/>
    </row>
    <row r="6351" spans="10:10" x14ac:dyDescent="0.4">
      <c r="J6351" s="140"/>
    </row>
    <row r="6352" spans="10:10" x14ac:dyDescent="0.4">
      <c r="J6352" s="140"/>
    </row>
    <row r="6353" spans="10:10" x14ac:dyDescent="0.4">
      <c r="J6353" s="140"/>
    </row>
    <row r="6354" spans="10:10" x14ac:dyDescent="0.4">
      <c r="J6354" s="140"/>
    </row>
    <row r="6355" spans="10:10" x14ac:dyDescent="0.4">
      <c r="J6355" s="140"/>
    </row>
    <row r="6356" spans="10:10" x14ac:dyDescent="0.4">
      <c r="J6356" s="140"/>
    </row>
    <row r="6357" spans="10:10" x14ac:dyDescent="0.4">
      <c r="J6357" s="140"/>
    </row>
    <row r="6358" spans="10:10" x14ac:dyDescent="0.4">
      <c r="J6358" s="140"/>
    </row>
    <row r="6359" spans="10:10" x14ac:dyDescent="0.4">
      <c r="J6359" s="140"/>
    </row>
    <row r="6360" spans="10:10" x14ac:dyDescent="0.4">
      <c r="J6360" s="140"/>
    </row>
    <row r="6361" spans="10:10" x14ac:dyDescent="0.4">
      <c r="J6361" s="140"/>
    </row>
    <row r="6362" spans="10:10" x14ac:dyDescent="0.4">
      <c r="J6362" s="140"/>
    </row>
    <row r="6363" spans="10:10" x14ac:dyDescent="0.4">
      <c r="J6363" s="140"/>
    </row>
    <row r="6364" spans="10:10" x14ac:dyDescent="0.4">
      <c r="J6364" s="140"/>
    </row>
    <row r="6365" spans="10:10" x14ac:dyDescent="0.4">
      <c r="J6365" s="140"/>
    </row>
    <row r="6366" spans="10:10" x14ac:dyDescent="0.4">
      <c r="J6366" s="140"/>
    </row>
    <row r="6367" spans="10:10" x14ac:dyDescent="0.4">
      <c r="J6367" s="140"/>
    </row>
    <row r="6368" spans="10:10" x14ac:dyDescent="0.4">
      <c r="J6368" s="140"/>
    </row>
    <row r="6369" spans="10:10" x14ac:dyDescent="0.4">
      <c r="J6369" s="140"/>
    </row>
    <row r="6370" spans="10:10" x14ac:dyDescent="0.4">
      <c r="J6370" s="140"/>
    </row>
    <row r="6371" spans="10:10" x14ac:dyDescent="0.4">
      <c r="J6371" s="140"/>
    </row>
    <row r="6372" spans="10:10" x14ac:dyDescent="0.4">
      <c r="J6372" s="140"/>
    </row>
    <row r="6373" spans="10:10" x14ac:dyDescent="0.4">
      <c r="J6373" s="140"/>
    </row>
    <row r="6374" spans="10:10" x14ac:dyDescent="0.4">
      <c r="J6374" s="140"/>
    </row>
    <row r="6375" spans="10:10" x14ac:dyDescent="0.4">
      <c r="J6375" s="140"/>
    </row>
    <row r="6376" spans="10:10" x14ac:dyDescent="0.4">
      <c r="J6376" s="140"/>
    </row>
    <row r="6377" spans="10:10" x14ac:dyDescent="0.4">
      <c r="J6377" s="140"/>
    </row>
    <row r="6378" spans="10:10" x14ac:dyDescent="0.4">
      <c r="J6378" s="140"/>
    </row>
    <row r="6379" spans="10:10" x14ac:dyDescent="0.4">
      <c r="J6379" s="140"/>
    </row>
    <row r="6380" spans="10:10" x14ac:dyDescent="0.4">
      <c r="J6380" s="140"/>
    </row>
    <row r="6381" spans="10:10" x14ac:dyDescent="0.4">
      <c r="J6381" s="140"/>
    </row>
    <row r="6382" spans="10:10" x14ac:dyDescent="0.4">
      <c r="J6382" s="140"/>
    </row>
    <row r="6383" spans="10:10" x14ac:dyDescent="0.4">
      <c r="J6383" s="140"/>
    </row>
    <row r="6384" spans="10:10" x14ac:dyDescent="0.4">
      <c r="J6384" s="140"/>
    </row>
    <row r="6385" spans="10:10" x14ac:dyDescent="0.4">
      <c r="J6385" s="140"/>
    </row>
    <row r="6386" spans="10:10" x14ac:dyDescent="0.4">
      <c r="J6386" s="140"/>
    </row>
    <row r="6387" spans="10:10" x14ac:dyDescent="0.4">
      <c r="J6387" s="140"/>
    </row>
    <row r="6388" spans="10:10" x14ac:dyDescent="0.4">
      <c r="J6388" s="140"/>
    </row>
    <row r="6389" spans="10:10" x14ac:dyDescent="0.4">
      <c r="J6389" s="140"/>
    </row>
    <row r="6390" spans="10:10" x14ac:dyDescent="0.4">
      <c r="J6390" s="140"/>
    </row>
    <row r="6391" spans="10:10" x14ac:dyDescent="0.4">
      <c r="J6391" s="140"/>
    </row>
    <row r="6392" spans="10:10" x14ac:dyDescent="0.4">
      <c r="J6392" s="140"/>
    </row>
    <row r="6393" spans="10:10" x14ac:dyDescent="0.4">
      <c r="J6393" s="140"/>
    </row>
    <row r="6394" spans="10:10" x14ac:dyDescent="0.4">
      <c r="J6394" s="140"/>
    </row>
    <row r="6395" spans="10:10" x14ac:dyDescent="0.4">
      <c r="J6395" s="140"/>
    </row>
    <row r="6396" spans="10:10" x14ac:dyDescent="0.4">
      <c r="J6396" s="140"/>
    </row>
    <row r="6397" spans="10:10" x14ac:dyDescent="0.4">
      <c r="J6397" s="140"/>
    </row>
    <row r="6398" spans="10:10" x14ac:dyDescent="0.4">
      <c r="J6398" s="140"/>
    </row>
    <row r="6399" spans="10:10" x14ac:dyDescent="0.4">
      <c r="J6399" s="140"/>
    </row>
    <row r="6400" spans="10:10" x14ac:dyDescent="0.4">
      <c r="J6400" s="140"/>
    </row>
    <row r="6401" spans="10:10" x14ac:dyDescent="0.4">
      <c r="J6401" s="140"/>
    </row>
    <row r="6402" spans="10:10" x14ac:dyDescent="0.4">
      <c r="J6402" s="140"/>
    </row>
    <row r="6403" spans="10:10" x14ac:dyDescent="0.4">
      <c r="J6403" s="140"/>
    </row>
    <row r="6404" spans="10:10" x14ac:dyDescent="0.4">
      <c r="J6404" s="140"/>
    </row>
    <row r="6405" spans="10:10" x14ac:dyDescent="0.4">
      <c r="J6405" s="140"/>
    </row>
    <row r="6406" spans="10:10" x14ac:dyDescent="0.4">
      <c r="J6406" s="140"/>
    </row>
    <row r="6407" spans="10:10" x14ac:dyDescent="0.4">
      <c r="J6407" s="140"/>
    </row>
    <row r="6408" spans="10:10" x14ac:dyDescent="0.4">
      <c r="J6408" s="140"/>
    </row>
    <row r="6409" spans="10:10" x14ac:dyDescent="0.4">
      <c r="J6409" s="140"/>
    </row>
    <row r="6410" spans="10:10" x14ac:dyDescent="0.4">
      <c r="J6410" s="140"/>
    </row>
    <row r="6411" spans="10:10" x14ac:dyDescent="0.4">
      <c r="J6411" s="140"/>
    </row>
    <row r="6412" spans="10:10" x14ac:dyDescent="0.4">
      <c r="J6412" s="140"/>
    </row>
    <row r="6413" spans="10:10" x14ac:dyDescent="0.4">
      <c r="J6413" s="140"/>
    </row>
    <row r="6414" spans="10:10" x14ac:dyDescent="0.4">
      <c r="J6414" s="140"/>
    </row>
    <row r="6415" spans="10:10" x14ac:dyDescent="0.4">
      <c r="J6415" s="140"/>
    </row>
    <row r="6416" spans="10:10" x14ac:dyDescent="0.4">
      <c r="J6416" s="140"/>
    </row>
    <row r="6417" spans="10:10" x14ac:dyDescent="0.4">
      <c r="J6417" s="140"/>
    </row>
    <row r="6418" spans="10:10" x14ac:dyDescent="0.4">
      <c r="J6418" s="140"/>
    </row>
    <row r="6419" spans="10:10" x14ac:dyDescent="0.4">
      <c r="J6419" s="140"/>
    </row>
    <row r="6420" spans="10:10" x14ac:dyDescent="0.4">
      <c r="J6420" s="140"/>
    </row>
    <row r="6421" spans="10:10" x14ac:dyDescent="0.4">
      <c r="J6421" s="140"/>
    </row>
    <row r="6422" spans="10:10" x14ac:dyDescent="0.4">
      <c r="J6422" s="140"/>
    </row>
    <row r="6423" spans="10:10" x14ac:dyDescent="0.4">
      <c r="J6423" s="140"/>
    </row>
    <row r="6424" spans="10:10" x14ac:dyDescent="0.4">
      <c r="J6424" s="140"/>
    </row>
    <row r="6425" spans="10:10" x14ac:dyDescent="0.4">
      <c r="J6425" s="140"/>
    </row>
    <row r="6426" spans="10:10" x14ac:dyDescent="0.4">
      <c r="J6426" s="140"/>
    </row>
    <row r="6427" spans="10:10" x14ac:dyDescent="0.4">
      <c r="J6427" s="140"/>
    </row>
    <row r="6428" spans="10:10" x14ac:dyDescent="0.4">
      <c r="J6428" s="140"/>
    </row>
    <row r="6429" spans="10:10" x14ac:dyDescent="0.4">
      <c r="J6429" s="140"/>
    </row>
    <row r="6430" spans="10:10" x14ac:dyDescent="0.4">
      <c r="J6430" s="140"/>
    </row>
    <row r="6431" spans="10:10" x14ac:dyDescent="0.4">
      <c r="J6431" s="140"/>
    </row>
    <row r="6432" spans="10:10" x14ac:dyDescent="0.4">
      <c r="J6432" s="140"/>
    </row>
    <row r="6433" spans="10:10" x14ac:dyDescent="0.4">
      <c r="J6433" s="140"/>
    </row>
    <row r="6434" spans="10:10" x14ac:dyDescent="0.4">
      <c r="J6434" s="140"/>
    </row>
    <row r="6435" spans="10:10" x14ac:dyDescent="0.4">
      <c r="J6435" s="140"/>
    </row>
    <row r="6436" spans="10:10" x14ac:dyDescent="0.4">
      <c r="J6436" s="140"/>
    </row>
    <row r="6437" spans="10:10" x14ac:dyDescent="0.4">
      <c r="J6437" s="140"/>
    </row>
    <row r="6438" spans="10:10" x14ac:dyDescent="0.4">
      <c r="J6438" s="140"/>
    </row>
    <row r="6439" spans="10:10" x14ac:dyDescent="0.4">
      <c r="J6439" s="140"/>
    </row>
    <row r="6440" spans="10:10" x14ac:dyDescent="0.4">
      <c r="J6440" s="140"/>
    </row>
    <row r="6441" spans="10:10" x14ac:dyDescent="0.4">
      <c r="J6441" s="140"/>
    </row>
    <row r="6442" spans="10:10" x14ac:dyDescent="0.4">
      <c r="J6442" s="140"/>
    </row>
    <row r="6443" spans="10:10" x14ac:dyDescent="0.4">
      <c r="J6443" s="140"/>
    </row>
    <row r="6444" spans="10:10" x14ac:dyDescent="0.4">
      <c r="J6444" s="140"/>
    </row>
    <row r="6445" spans="10:10" x14ac:dyDescent="0.4">
      <c r="J6445" s="140"/>
    </row>
    <row r="6446" spans="10:10" x14ac:dyDescent="0.4">
      <c r="J6446" s="140"/>
    </row>
    <row r="6447" spans="10:10" x14ac:dyDescent="0.4">
      <c r="J6447" s="140"/>
    </row>
    <row r="6448" spans="10:10" x14ac:dyDescent="0.4">
      <c r="J6448" s="140"/>
    </row>
    <row r="6449" spans="10:10" x14ac:dyDescent="0.4">
      <c r="J6449" s="140"/>
    </row>
    <row r="6450" spans="10:10" x14ac:dyDescent="0.4">
      <c r="J6450" s="140"/>
    </row>
    <row r="6451" spans="10:10" x14ac:dyDescent="0.4">
      <c r="J6451" s="140"/>
    </row>
    <row r="6452" spans="10:10" x14ac:dyDescent="0.4">
      <c r="J6452" s="140"/>
    </row>
    <row r="6453" spans="10:10" x14ac:dyDescent="0.4">
      <c r="J6453" s="140"/>
    </row>
    <row r="6454" spans="10:10" x14ac:dyDescent="0.4">
      <c r="J6454" s="140"/>
    </row>
    <row r="6455" spans="10:10" x14ac:dyDescent="0.4">
      <c r="J6455" s="140"/>
    </row>
    <row r="6456" spans="10:10" x14ac:dyDescent="0.4">
      <c r="J6456" s="140"/>
    </row>
    <row r="6457" spans="10:10" x14ac:dyDescent="0.4">
      <c r="J6457" s="140"/>
    </row>
    <row r="6458" spans="10:10" x14ac:dyDescent="0.4">
      <c r="J6458" s="140"/>
    </row>
    <row r="6459" spans="10:10" x14ac:dyDescent="0.4">
      <c r="J6459" s="140"/>
    </row>
    <row r="6460" spans="10:10" x14ac:dyDescent="0.4">
      <c r="J6460" s="140"/>
    </row>
    <row r="6461" spans="10:10" x14ac:dyDescent="0.4">
      <c r="J6461" s="140"/>
    </row>
    <row r="6462" spans="10:10" x14ac:dyDescent="0.4">
      <c r="J6462" s="140"/>
    </row>
    <row r="6463" spans="10:10" x14ac:dyDescent="0.4">
      <c r="J6463" s="140"/>
    </row>
    <row r="6464" spans="10:10" x14ac:dyDescent="0.4">
      <c r="J6464" s="140"/>
    </row>
    <row r="6465" spans="10:10" x14ac:dyDescent="0.4">
      <c r="J6465" s="140"/>
    </row>
    <row r="6466" spans="10:10" x14ac:dyDescent="0.4">
      <c r="J6466" s="140"/>
    </row>
    <row r="6467" spans="10:10" x14ac:dyDescent="0.4">
      <c r="J6467" s="140"/>
    </row>
    <row r="6468" spans="10:10" x14ac:dyDescent="0.4">
      <c r="J6468" s="140"/>
    </row>
    <row r="6469" spans="10:10" x14ac:dyDescent="0.4">
      <c r="J6469" s="140"/>
    </row>
    <row r="6470" spans="10:10" x14ac:dyDescent="0.4">
      <c r="J6470" s="140"/>
    </row>
    <row r="6471" spans="10:10" x14ac:dyDescent="0.4">
      <c r="J6471" s="140"/>
    </row>
    <row r="6472" spans="10:10" x14ac:dyDescent="0.4">
      <c r="J6472" s="140"/>
    </row>
    <row r="6473" spans="10:10" x14ac:dyDescent="0.4">
      <c r="J6473" s="140"/>
    </row>
    <row r="6474" spans="10:10" x14ac:dyDescent="0.4">
      <c r="J6474" s="140"/>
    </row>
    <row r="6475" spans="10:10" x14ac:dyDescent="0.4">
      <c r="J6475" s="140"/>
    </row>
    <row r="6476" spans="10:10" x14ac:dyDescent="0.4">
      <c r="J6476" s="140"/>
    </row>
    <row r="6477" spans="10:10" x14ac:dyDescent="0.4">
      <c r="J6477" s="140"/>
    </row>
    <row r="6478" spans="10:10" x14ac:dyDescent="0.4">
      <c r="J6478" s="140"/>
    </row>
    <row r="6479" spans="10:10" x14ac:dyDescent="0.4">
      <c r="J6479" s="140"/>
    </row>
    <row r="6480" spans="10:10" x14ac:dyDescent="0.4">
      <c r="J6480" s="140"/>
    </row>
    <row r="6481" spans="10:10" x14ac:dyDescent="0.4">
      <c r="J6481" s="140"/>
    </row>
    <row r="6482" spans="10:10" x14ac:dyDescent="0.4">
      <c r="J6482" s="140"/>
    </row>
    <row r="6483" spans="10:10" x14ac:dyDescent="0.4">
      <c r="J6483" s="140"/>
    </row>
    <row r="6484" spans="10:10" x14ac:dyDescent="0.4">
      <c r="J6484" s="140"/>
    </row>
    <row r="6485" spans="10:10" x14ac:dyDescent="0.4">
      <c r="J6485" s="140"/>
    </row>
    <row r="6486" spans="10:10" x14ac:dyDescent="0.4">
      <c r="J6486" s="140"/>
    </row>
    <row r="6487" spans="10:10" x14ac:dyDescent="0.4">
      <c r="J6487" s="140"/>
    </row>
    <row r="6488" spans="10:10" x14ac:dyDescent="0.4">
      <c r="J6488" s="140"/>
    </row>
    <row r="6489" spans="10:10" x14ac:dyDescent="0.4">
      <c r="J6489" s="140"/>
    </row>
    <row r="6490" spans="10:10" x14ac:dyDescent="0.4">
      <c r="J6490" s="140"/>
    </row>
    <row r="6491" spans="10:10" x14ac:dyDescent="0.4">
      <c r="J6491" s="140"/>
    </row>
    <row r="6492" spans="10:10" x14ac:dyDescent="0.4">
      <c r="J6492" s="140"/>
    </row>
    <row r="6493" spans="10:10" x14ac:dyDescent="0.4">
      <c r="J6493" s="140"/>
    </row>
    <row r="6494" spans="10:10" x14ac:dyDescent="0.4">
      <c r="J6494" s="140"/>
    </row>
    <row r="6495" spans="10:10" x14ac:dyDescent="0.4">
      <c r="J6495" s="140"/>
    </row>
    <row r="6496" spans="10:10" x14ac:dyDescent="0.4">
      <c r="J6496" s="140"/>
    </row>
    <row r="6497" spans="10:10" x14ac:dyDescent="0.4">
      <c r="J6497" s="140"/>
    </row>
    <row r="6498" spans="10:10" x14ac:dyDescent="0.4">
      <c r="J6498" s="140"/>
    </row>
    <row r="6499" spans="10:10" x14ac:dyDescent="0.4">
      <c r="J6499" s="140"/>
    </row>
    <row r="6500" spans="10:10" x14ac:dyDescent="0.4">
      <c r="J6500" s="140"/>
    </row>
    <row r="6501" spans="10:10" x14ac:dyDescent="0.4">
      <c r="J6501" s="140"/>
    </row>
    <row r="6502" spans="10:10" x14ac:dyDescent="0.4">
      <c r="J6502" s="140"/>
    </row>
    <row r="6503" spans="10:10" x14ac:dyDescent="0.4">
      <c r="J6503" s="140"/>
    </row>
    <row r="6504" spans="10:10" x14ac:dyDescent="0.4">
      <c r="J6504" s="140"/>
    </row>
    <row r="6505" spans="10:10" x14ac:dyDescent="0.4">
      <c r="J6505" s="140"/>
    </row>
    <row r="6506" spans="10:10" x14ac:dyDescent="0.4">
      <c r="J6506" s="140"/>
    </row>
    <row r="6507" spans="10:10" x14ac:dyDescent="0.4">
      <c r="J6507" s="140"/>
    </row>
    <row r="6508" spans="10:10" x14ac:dyDescent="0.4">
      <c r="J6508" s="140"/>
    </row>
    <row r="6509" spans="10:10" x14ac:dyDescent="0.4">
      <c r="J6509" s="140"/>
    </row>
    <row r="6510" spans="10:10" x14ac:dyDescent="0.4">
      <c r="J6510" s="140"/>
    </row>
    <row r="6511" spans="10:10" x14ac:dyDescent="0.4">
      <c r="J6511" s="140"/>
    </row>
    <row r="6512" spans="10:10" x14ac:dyDescent="0.4">
      <c r="J6512" s="140"/>
    </row>
    <row r="6513" spans="10:10" x14ac:dyDescent="0.4">
      <c r="J6513" s="140"/>
    </row>
    <row r="6514" spans="10:10" x14ac:dyDescent="0.4">
      <c r="J6514" s="140"/>
    </row>
    <row r="6515" spans="10:10" x14ac:dyDescent="0.4">
      <c r="J6515" s="140"/>
    </row>
    <row r="6516" spans="10:10" x14ac:dyDescent="0.4">
      <c r="J6516" s="140"/>
    </row>
    <row r="6517" spans="10:10" x14ac:dyDescent="0.4">
      <c r="J6517" s="140"/>
    </row>
    <row r="6518" spans="10:10" x14ac:dyDescent="0.4">
      <c r="J6518" s="140"/>
    </row>
    <row r="6519" spans="10:10" x14ac:dyDescent="0.4">
      <c r="J6519" s="140"/>
    </row>
    <row r="6520" spans="10:10" x14ac:dyDescent="0.4">
      <c r="J6520" s="140"/>
    </row>
    <row r="6521" spans="10:10" x14ac:dyDescent="0.4">
      <c r="J6521" s="140"/>
    </row>
    <row r="6522" spans="10:10" x14ac:dyDescent="0.4">
      <c r="J6522" s="140"/>
    </row>
    <row r="6523" spans="10:10" x14ac:dyDescent="0.4">
      <c r="J6523" s="140"/>
    </row>
    <row r="6524" spans="10:10" x14ac:dyDescent="0.4">
      <c r="J6524" s="140"/>
    </row>
    <row r="6525" spans="10:10" x14ac:dyDescent="0.4">
      <c r="J6525" s="140"/>
    </row>
    <row r="6526" spans="10:10" x14ac:dyDescent="0.4">
      <c r="J6526" s="140"/>
    </row>
    <row r="6527" spans="10:10" x14ac:dyDescent="0.4">
      <c r="J6527" s="140"/>
    </row>
    <row r="6528" spans="10:10" x14ac:dyDescent="0.4">
      <c r="J6528" s="140"/>
    </row>
    <row r="6529" spans="10:10" x14ac:dyDescent="0.4">
      <c r="J6529" s="140"/>
    </row>
    <row r="6530" spans="10:10" x14ac:dyDescent="0.4">
      <c r="J6530" s="140"/>
    </row>
    <row r="6531" spans="10:10" x14ac:dyDescent="0.4">
      <c r="J6531" s="140"/>
    </row>
    <row r="6532" spans="10:10" x14ac:dyDescent="0.4">
      <c r="J6532" s="140"/>
    </row>
    <row r="6533" spans="10:10" x14ac:dyDescent="0.4">
      <c r="J6533" s="140"/>
    </row>
    <row r="6534" spans="10:10" x14ac:dyDescent="0.4">
      <c r="J6534" s="140"/>
    </row>
    <row r="6535" spans="10:10" x14ac:dyDescent="0.4">
      <c r="J6535" s="140"/>
    </row>
    <row r="6536" spans="10:10" x14ac:dyDescent="0.4">
      <c r="J6536" s="140"/>
    </row>
    <row r="6537" spans="10:10" x14ac:dyDescent="0.4">
      <c r="J6537" s="140"/>
    </row>
    <row r="6538" spans="10:10" x14ac:dyDescent="0.4">
      <c r="J6538" s="140"/>
    </row>
    <row r="6539" spans="10:10" x14ac:dyDescent="0.4">
      <c r="J6539" s="140"/>
    </row>
    <row r="6540" spans="10:10" x14ac:dyDescent="0.4">
      <c r="J6540" s="140"/>
    </row>
    <row r="6541" spans="10:10" x14ac:dyDescent="0.4">
      <c r="J6541" s="140"/>
    </row>
    <row r="6542" spans="10:10" x14ac:dyDescent="0.4">
      <c r="J6542" s="140"/>
    </row>
    <row r="6543" spans="10:10" x14ac:dyDescent="0.4">
      <c r="J6543" s="140"/>
    </row>
    <row r="6544" spans="10:10" x14ac:dyDescent="0.4">
      <c r="J6544" s="140"/>
    </row>
    <row r="6545" spans="10:10" x14ac:dyDescent="0.4">
      <c r="J6545" s="140"/>
    </row>
    <row r="6546" spans="10:10" x14ac:dyDescent="0.4">
      <c r="J6546" s="140"/>
    </row>
    <row r="6547" spans="10:10" x14ac:dyDescent="0.4">
      <c r="J6547" s="140"/>
    </row>
    <row r="6548" spans="10:10" x14ac:dyDescent="0.4">
      <c r="J6548" s="140"/>
    </row>
    <row r="6549" spans="10:10" x14ac:dyDescent="0.4">
      <c r="J6549" s="140"/>
    </row>
    <row r="6550" spans="10:10" x14ac:dyDescent="0.4">
      <c r="J6550" s="140"/>
    </row>
    <row r="6551" spans="10:10" x14ac:dyDescent="0.4">
      <c r="J6551" s="140"/>
    </row>
    <row r="6552" spans="10:10" x14ac:dyDescent="0.4">
      <c r="J6552" s="140"/>
    </row>
    <row r="6553" spans="10:10" x14ac:dyDescent="0.4">
      <c r="J6553" s="140"/>
    </row>
    <row r="6554" spans="10:10" x14ac:dyDescent="0.4">
      <c r="J6554" s="140"/>
    </row>
    <row r="6555" spans="10:10" x14ac:dyDescent="0.4">
      <c r="J6555" s="140"/>
    </row>
    <row r="6556" spans="10:10" x14ac:dyDescent="0.4">
      <c r="J6556" s="140"/>
    </row>
    <row r="6557" spans="10:10" x14ac:dyDescent="0.4">
      <c r="J6557" s="140"/>
    </row>
    <row r="6558" spans="10:10" x14ac:dyDescent="0.4">
      <c r="J6558" s="140"/>
    </row>
    <row r="6559" spans="10:10" x14ac:dyDescent="0.4">
      <c r="J6559" s="140"/>
    </row>
    <row r="6560" spans="10:10" x14ac:dyDescent="0.4">
      <c r="J6560" s="140"/>
    </row>
    <row r="6561" spans="10:10" x14ac:dyDescent="0.4">
      <c r="J6561" s="140"/>
    </row>
    <row r="6562" spans="10:10" x14ac:dyDescent="0.4">
      <c r="J6562" s="140"/>
    </row>
    <row r="6563" spans="10:10" x14ac:dyDescent="0.4">
      <c r="J6563" s="140"/>
    </row>
    <row r="6564" spans="10:10" x14ac:dyDescent="0.4">
      <c r="J6564" s="140"/>
    </row>
    <row r="6565" spans="10:10" x14ac:dyDescent="0.4">
      <c r="J6565" s="140"/>
    </row>
    <row r="6566" spans="10:10" x14ac:dyDescent="0.4">
      <c r="J6566" s="140"/>
    </row>
    <row r="6567" spans="10:10" x14ac:dyDescent="0.4">
      <c r="J6567" s="140"/>
    </row>
    <row r="6568" spans="10:10" x14ac:dyDescent="0.4">
      <c r="J6568" s="140"/>
    </row>
    <row r="6569" spans="10:10" x14ac:dyDescent="0.4">
      <c r="J6569" s="140"/>
    </row>
    <row r="6570" spans="10:10" x14ac:dyDescent="0.4">
      <c r="J6570" s="140"/>
    </row>
    <row r="6571" spans="10:10" x14ac:dyDescent="0.4">
      <c r="J6571" s="140"/>
    </row>
    <row r="6572" spans="10:10" x14ac:dyDescent="0.4">
      <c r="J6572" s="140"/>
    </row>
    <row r="6573" spans="10:10" x14ac:dyDescent="0.4">
      <c r="J6573" s="140"/>
    </row>
    <row r="6574" spans="10:10" x14ac:dyDescent="0.4">
      <c r="J6574" s="140"/>
    </row>
    <row r="6575" spans="10:10" x14ac:dyDescent="0.4">
      <c r="J6575" s="140"/>
    </row>
    <row r="6576" spans="10:10" x14ac:dyDescent="0.4">
      <c r="J6576" s="140"/>
    </row>
    <row r="6577" spans="10:10" x14ac:dyDescent="0.4">
      <c r="J6577" s="140"/>
    </row>
    <row r="6578" spans="10:10" x14ac:dyDescent="0.4">
      <c r="J6578" s="140"/>
    </row>
    <row r="6579" spans="10:10" x14ac:dyDescent="0.4">
      <c r="J6579" s="140"/>
    </row>
    <row r="6580" spans="10:10" x14ac:dyDescent="0.4">
      <c r="J6580" s="140"/>
    </row>
    <row r="6581" spans="10:10" x14ac:dyDescent="0.4">
      <c r="J6581" s="140"/>
    </row>
    <row r="6582" spans="10:10" x14ac:dyDescent="0.4">
      <c r="J6582" s="140"/>
    </row>
    <row r="6583" spans="10:10" x14ac:dyDescent="0.4">
      <c r="J6583" s="140"/>
    </row>
    <row r="6584" spans="10:10" x14ac:dyDescent="0.4">
      <c r="J6584" s="140"/>
    </row>
    <row r="6585" spans="10:10" x14ac:dyDescent="0.4">
      <c r="J6585" s="140"/>
    </row>
    <row r="6586" spans="10:10" x14ac:dyDescent="0.4">
      <c r="J6586" s="140"/>
    </row>
    <row r="6587" spans="10:10" x14ac:dyDescent="0.4">
      <c r="J6587" s="140"/>
    </row>
    <row r="6588" spans="10:10" x14ac:dyDescent="0.4">
      <c r="J6588" s="140"/>
    </row>
    <row r="6589" spans="10:10" x14ac:dyDescent="0.4">
      <c r="J6589" s="140"/>
    </row>
    <row r="6590" spans="10:10" x14ac:dyDescent="0.4">
      <c r="J6590" s="140"/>
    </row>
    <row r="6591" spans="10:10" x14ac:dyDescent="0.4">
      <c r="J6591" s="140"/>
    </row>
    <row r="6592" spans="10:10" x14ac:dyDescent="0.4">
      <c r="J6592" s="140"/>
    </row>
    <row r="6593" spans="10:10" x14ac:dyDescent="0.4">
      <c r="J6593" s="140"/>
    </row>
    <row r="6594" spans="10:10" x14ac:dyDescent="0.4">
      <c r="J6594" s="140"/>
    </row>
    <row r="6595" spans="10:10" x14ac:dyDescent="0.4">
      <c r="J6595" s="140"/>
    </row>
    <row r="6596" spans="10:10" x14ac:dyDescent="0.4">
      <c r="J6596" s="140"/>
    </row>
    <row r="6597" spans="10:10" x14ac:dyDescent="0.4">
      <c r="J6597" s="140"/>
    </row>
    <row r="6598" spans="10:10" x14ac:dyDescent="0.4">
      <c r="J6598" s="140"/>
    </row>
    <row r="6599" spans="10:10" x14ac:dyDescent="0.4">
      <c r="J6599" s="140"/>
    </row>
    <row r="6600" spans="10:10" x14ac:dyDescent="0.4">
      <c r="J6600" s="140"/>
    </row>
    <row r="6601" spans="10:10" x14ac:dyDescent="0.4">
      <c r="J6601" s="140"/>
    </row>
    <row r="6602" spans="10:10" x14ac:dyDescent="0.4">
      <c r="J6602" s="140"/>
    </row>
    <row r="6603" spans="10:10" x14ac:dyDescent="0.4">
      <c r="J6603" s="140"/>
    </row>
    <row r="6604" spans="10:10" x14ac:dyDescent="0.4">
      <c r="J6604" s="140"/>
    </row>
    <row r="6605" spans="10:10" x14ac:dyDescent="0.4">
      <c r="J6605" s="140"/>
    </row>
    <row r="6606" spans="10:10" x14ac:dyDescent="0.4">
      <c r="J6606" s="140"/>
    </row>
    <row r="6607" spans="10:10" x14ac:dyDescent="0.4">
      <c r="J6607" s="140"/>
    </row>
    <row r="6608" spans="10:10" x14ac:dyDescent="0.4">
      <c r="J6608" s="140"/>
    </row>
    <row r="6609" spans="10:10" x14ac:dyDescent="0.4">
      <c r="J6609" s="140"/>
    </row>
    <row r="6610" spans="10:10" x14ac:dyDescent="0.4">
      <c r="J6610" s="140"/>
    </row>
    <row r="6611" spans="10:10" x14ac:dyDescent="0.4">
      <c r="J6611" s="140"/>
    </row>
    <row r="6612" spans="10:10" x14ac:dyDescent="0.4">
      <c r="J6612" s="140"/>
    </row>
    <row r="6613" spans="10:10" x14ac:dyDescent="0.4">
      <c r="J6613" s="140"/>
    </row>
    <row r="6614" spans="10:10" x14ac:dyDescent="0.4">
      <c r="J6614" s="140"/>
    </row>
    <row r="6615" spans="10:10" x14ac:dyDescent="0.4">
      <c r="J6615" s="140"/>
    </row>
    <row r="6616" spans="10:10" x14ac:dyDescent="0.4">
      <c r="J6616" s="140"/>
    </row>
    <row r="6617" spans="10:10" x14ac:dyDescent="0.4">
      <c r="J6617" s="140"/>
    </row>
    <row r="6618" spans="10:10" x14ac:dyDescent="0.4">
      <c r="J6618" s="140"/>
    </row>
    <row r="6619" spans="10:10" x14ac:dyDescent="0.4">
      <c r="J6619" s="140"/>
    </row>
    <row r="6620" spans="10:10" x14ac:dyDescent="0.4">
      <c r="J6620" s="140"/>
    </row>
    <row r="6621" spans="10:10" x14ac:dyDescent="0.4">
      <c r="J6621" s="140"/>
    </row>
    <row r="6622" spans="10:10" x14ac:dyDescent="0.4">
      <c r="J6622" s="140"/>
    </row>
    <row r="6623" spans="10:10" x14ac:dyDescent="0.4">
      <c r="J6623" s="140"/>
    </row>
    <row r="6624" spans="10:10" x14ac:dyDescent="0.4">
      <c r="J6624" s="140"/>
    </row>
    <row r="6625" spans="10:10" x14ac:dyDescent="0.4">
      <c r="J6625" s="140"/>
    </row>
    <row r="6626" spans="10:10" x14ac:dyDescent="0.4">
      <c r="J6626" s="140"/>
    </row>
    <row r="6627" spans="10:10" x14ac:dyDescent="0.4">
      <c r="J6627" s="140"/>
    </row>
    <row r="6628" spans="10:10" x14ac:dyDescent="0.4">
      <c r="J6628" s="140"/>
    </row>
    <row r="6629" spans="10:10" x14ac:dyDescent="0.4">
      <c r="J6629" s="140"/>
    </row>
    <row r="6630" spans="10:10" x14ac:dyDescent="0.4">
      <c r="J6630" s="140"/>
    </row>
    <row r="6631" spans="10:10" x14ac:dyDescent="0.4">
      <c r="J6631" s="140"/>
    </row>
    <row r="6632" spans="10:10" x14ac:dyDescent="0.4">
      <c r="J6632" s="140"/>
    </row>
    <row r="6633" spans="10:10" x14ac:dyDescent="0.4">
      <c r="J6633" s="140"/>
    </row>
    <row r="6634" spans="10:10" x14ac:dyDescent="0.4">
      <c r="J6634" s="140"/>
    </row>
    <row r="6635" spans="10:10" x14ac:dyDescent="0.4">
      <c r="J6635" s="140"/>
    </row>
    <row r="6636" spans="10:10" x14ac:dyDescent="0.4">
      <c r="J6636" s="140"/>
    </row>
    <row r="6637" spans="10:10" x14ac:dyDescent="0.4">
      <c r="J6637" s="140"/>
    </row>
    <row r="6638" spans="10:10" x14ac:dyDescent="0.4">
      <c r="J6638" s="140"/>
    </row>
    <row r="6639" spans="10:10" x14ac:dyDescent="0.4">
      <c r="J6639" s="140"/>
    </row>
    <row r="6640" spans="10:10" x14ac:dyDescent="0.4">
      <c r="J6640" s="140"/>
    </row>
    <row r="6641" spans="10:10" x14ac:dyDescent="0.4">
      <c r="J6641" s="140"/>
    </row>
    <row r="6642" spans="10:10" x14ac:dyDescent="0.4">
      <c r="J6642" s="140"/>
    </row>
    <row r="6643" spans="10:10" x14ac:dyDescent="0.4">
      <c r="J6643" s="140"/>
    </row>
    <row r="6644" spans="10:10" x14ac:dyDescent="0.4">
      <c r="J6644" s="140"/>
    </row>
    <row r="6645" spans="10:10" x14ac:dyDescent="0.4">
      <c r="J6645" s="140"/>
    </row>
    <row r="6646" spans="10:10" x14ac:dyDescent="0.4">
      <c r="J6646" s="140"/>
    </row>
    <row r="6647" spans="10:10" x14ac:dyDescent="0.4">
      <c r="J6647" s="140"/>
    </row>
    <row r="6648" spans="10:10" x14ac:dyDescent="0.4">
      <c r="J6648" s="140"/>
    </row>
    <row r="6649" spans="10:10" x14ac:dyDescent="0.4">
      <c r="J6649" s="140"/>
    </row>
    <row r="6650" spans="10:10" x14ac:dyDescent="0.4">
      <c r="J6650" s="140"/>
    </row>
    <row r="6651" spans="10:10" x14ac:dyDescent="0.4">
      <c r="J6651" s="140"/>
    </row>
    <row r="6652" spans="10:10" x14ac:dyDescent="0.4">
      <c r="J6652" s="140"/>
    </row>
    <row r="6653" spans="10:10" x14ac:dyDescent="0.4">
      <c r="J6653" s="140"/>
    </row>
    <row r="6654" spans="10:10" x14ac:dyDescent="0.4">
      <c r="J6654" s="140"/>
    </row>
    <row r="6655" spans="10:10" x14ac:dyDescent="0.4">
      <c r="J6655" s="140"/>
    </row>
    <row r="6656" spans="10:10" x14ac:dyDescent="0.4">
      <c r="J6656" s="140"/>
    </row>
    <row r="6657" spans="10:10" x14ac:dyDescent="0.4">
      <c r="J6657" s="140"/>
    </row>
    <row r="6658" spans="10:10" x14ac:dyDescent="0.4">
      <c r="J6658" s="140"/>
    </row>
    <row r="6659" spans="10:10" x14ac:dyDescent="0.4">
      <c r="J6659" s="140"/>
    </row>
    <row r="6660" spans="10:10" x14ac:dyDescent="0.4">
      <c r="J6660" s="140"/>
    </row>
    <row r="6661" spans="10:10" x14ac:dyDescent="0.4">
      <c r="J6661" s="140"/>
    </row>
    <row r="6662" spans="10:10" x14ac:dyDescent="0.4">
      <c r="J6662" s="140"/>
    </row>
    <row r="6663" spans="10:10" x14ac:dyDescent="0.4">
      <c r="J6663" s="140"/>
    </row>
    <row r="6664" spans="10:10" x14ac:dyDescent="0.4">
      <c r="J6664" s="140"/>
    </row>
    <row r="6665" spans="10:10" x14ac:dyDescent="0.4">
      <c r="J6665" s="140"/>
    </row>
    <row r="6666" spans="10:10" x14ac:dyDescent="0.4">
      <c r="J6666" s="140"/>
    </row>
    <row r="6667" spans="10:10" x14ac:dyDescent="0.4">
      <c r="J6667" s="140"/>
    </row>
    <row r="6668" spans="10:10" x14ac:dyDescent="0.4">
      <c r="J6668" s="140"/>
    </row>
    <row r="6669" spans="10:10" x14ac:dyDescent="0.4">
      <c r="J6669" s="140"/>
    </row>
    <row r="6670" spans="10:10" x14ac:dyDescent="0.4">
      <c r="J6670" s="140"/>
    </row>
    <row r="6671" spans="10:10" x14ac:dyDescent="0.4">
      <c r="J6671" s="140"/>
    </row>
    <row r="6672" spans="10:10" x14ac:dyDescent="0.4">
      <c r="J6672" s="140"/>
    </row>
    <row r="6673" spans="10:10" x14ac:dyDescent="0.4">
      <c r="J6673" s="140"/>
    </row>
    <row r="6674" spans="10:10" x14ac:dyDescent="0.4">
      <c r="J6674" s="140"/>
    </row>
    <row r="6675" spans="10:10" x14ac:dyDescent="0.4">
      <c r="J6675" s="140"/>
    </row>
    <row r="6676" spans="10:10" x14ac:dyDescent="0.4">
      <c r="J6676" s="140"/>
    </row>
    <row r="6677" spans="10:10" x14ac:dyDescent="0.4">
      <c r="J6677" s="140"/>
    </row>
    <row r="6678" spans="10:10" x14ac:dyDescent="0.4">
      <c r="J6678" s="140"/>
    </row>
    <row r="6679" spans="10:10" x14ac:dyDescent="0.4">
      <c r="J6679" s="140"/>
    </row>
    <row r="6680" spans="10:10" x14ac:dyDescent="0.4">
      <c r="J6680" s="140"/>
    </row>
    <row r="6681" spans="10:10" x14ac:dyDescent="0.4">
      <c r="J6681" s="140"/>
    </row>
    <row r="6682" spans="10:10" x14ac:dyDescent="0.4">
      <c r="J6682" s="140"/>
    </row>
    <row r="6683" spans="10:10" x14ac:dyDescent="0.4">
      <c r="J6683" s="140"/>
    </row>
    <row r="6684" spans="10:10" x14ac:dyDescent="0.4">
      <c r="J6684" s="140"/>
    </row>
    <row r="6685" spans="10:10" x14ac:dyDescent="0.4">
      <c r="J6685" s="140"/>
    </row>
    <row r="6686" spans="10:10" x14ac:dyDescent="0.4">
      <c r="J6686" s="140"/>
    </row>
    <row r="6687" spans="10:10" x14ac:dyDescent="0.4">
      <c r="J6687" s="140"/>
    </row>
    <row r="6688" spans="10:10" x14ac:dyDescent="0.4">
      <c r="J6688" s="140"/>
    </row>
    <row r="6689" spans="10:10" x14ac:dyDescent="0.4">
      <c r="J6689" s="140"/>
    </row>
    <row r="6690" spans="10:10" x14ac:dyDescent="0.4">
      <c r="J6690" s="140"/>
    </row>
    <row r="6691" spans="10:10" x14ac:dyDescent="0.4">
      <c r="J6691" s="140"/>
    </row>
    <row r="6692" spans="10:10" x14ac:dyDescent="0.4">
      <c r="J6692" s="140"/>
    </row>
    <row r="6693" spans="10:10" x14ac:dyDescent="0.4">
      <c r="J6693" s="140"/>
    </row>
    <row r="6694" spans="10:10" x14ac:dyDescent="0.4">
      <c r="J6694" s="140"/>
    </row>
    <row r="6695" spans="10:10" x14ac:dyDescent="0.4">
      <c r="J6695" s="140"/>
    </row>
    <row r="6696" spans="10:10" x14ac:dyDescent="0.4">
      <c r="J6696" s="140"/>
    </row>
    <row r="6697" spans="10:10" x14ac:dyDescent="0.4">
      <c r="J6697" s="140"/>
    </row>
    <row r="6698" spans="10:10" x14ac:dyDescent="0.4">
      <c r="J6698" s="140"/>
    </row>
    <row r="6699" spans="10:10" x14ac:dyDescent="0.4">
      <c r="J6699" s="140"/>
    </row>
    <row r="6700" spans="10:10" x14ac:dyDescent="0.4">
      <c r="J6700" s="140"/>
    </row>
    <row r="6701" spans="10:10" x14ac:dyDescent="0.4">
      <c r="J6701" s="140"/>
    </row>
    <row r="6702" spans="10:10" x14ac:dyDescent="0.4">
      <c r="J6702" s="140"/>
    </row>
    <row r="6703" spans="10:10" x14ac:dyDescent="0.4">
      <c r="J6703" s="140"/>
    </row>
    <row r="6704" spans="10:10" x14ac:dyDescent="0.4">
      <c r="J6704" s="140"/>
    </row>
    <row r="6705" spans="10:10" x14ac:dyDescent="0.4">
      <c r="J6705" s="140"/>
    </row>
    <row r="6706" spans="10:10" x14ac:dyDescent="0.4">
      <c r="J6706" s="140"/>
    </row>
    <row r="6707" spans="10:10" x14ac:dyDescent="0.4">
      <c r="J6707" s="140"/>
    </row>
    <row r="6708" spans="10:10" x14ac:dyDescent="0.4">
      <c r="J6708" s="140"/>
    </row>
    <row r="6709" spans="10:10" x14ac:dyDescent="0.4">
      <c r="J6709" s="140"/>
    </row>
    <row r="6710" spans="10:10" x14ac:dyDescent="0.4">
      <c r="J6710" s="140"/>
    </row>
    <row r="6711" spans="10:10" x14ac:dyDescent="0.4">
      <c r="J6711" s="140"/>
    </row>
    <row r="6712" spans="10:10" x14ac:dyDescent="0.4">
      <c r="J6712" s="140"/>
    </row>
    <row r="6713" spans="10:10" x14ac:dyDescent="0.4">
      <c r="J6713" s="140"/>
    </row>
    <row r="6714" spans="10:10" x14ac:dyDescent="0.4">
      <c r="J6714" s="140"/>
    </row>
    <row r="6715" spans="10:10" x14ac:dyDescent="0.4">
      <c r="J6715" s="140"/>
    </row>
    <row r="6716" spans="10:10" x14ac:dyDescent="0.4">
      <c r="J6716" s="140"/>
    </row>
    <row r="6717" spans="10:10" x14ac:dyDescent="0.4">
      <c r="J6717" s="140"/>
    </row>
    <row r="6718" spans="10:10" x14ac:dyDescent="0.4">
      <c r="J6718" s="140"/>
    </row>
    <row r="6719" spans="10:10" x14ac:dyDescent="0.4">
      <c r="J6719" s="140"/>
    </row>
    <row r="6720" spans="10:10" x14ac:dyDescent="0.4">
      <c r="J6720" s="140"/>
    </row>
    <row r="6721" spans="10:10" x14ac:dyDescent="0.4">
      <c r="J6721" s="140"/>
    </row>
    <row r="6722" spans="10:10" x14ac:dyDescent="0.4">
      <c r="J6722" s="140"/>
    </row>
    <row r="6723" spans="10:10" x14ac:dyDescent="0.4">
      <c r="J6723" s="140"/>
    </row>
    <row r="6724" spans="10:10" x14ac:dyDescent="0.4">
      <c r="J6724" s="140"/>
    </row>
    <row r="6725" spans="10:10" x14ac:dyDescent="0.4">
      <c r="J6725" s="140"/>
    </row>
    <row r="6726" spans="10:10" x14ac:dyDescent="0.4">
      <c r="J6726" s="140"/>
    </row>
    <row r="6727" spans="10:10" x14ac:dyDescent="0.4">
      <c r="J6727" s="140"/>
    </row>
    <row r="6728" spans="10:10" x14ac:dyDescent="0.4">
      <c r="J6728" s="140"/>
    </row>
    <row r="6729" spans="10:10" x14ac:dyDescent="0.4">
      <c r="J6729" s="140"/>
    </row>
    <row r="6730" spans="10:10" x14ac:dyDescent="0.4">
      <c r="J6730" s="140"/>
    </row>
    <row r="6731" spans="10:10" x14ac:dyDescent="0.4">
      <c r="J6731" s="140"/>
    </row>
    <row r="6732" spans="10:10" x14ac:dyDescent="0.4">
      <c r="J6732" s="140"/>
    </row>
    <row r="6733" spans="10:10" x14ac:dyDescent="0.4">
      <c r="J6733" s="140"/>
    </row>
    <row r="6734" spans="10:10" x14ac:dyDescent="0.4">
      <c r="J6734" s="140"/>
    </row>
    <row r="6735" spans="10:10" x14ac:dyDescent="0.4">
      <c r="J6735" s="140"/>
    </row>
    <row r="6736" spans="10:10" x14ac:dyDescent="0.4">
      <c r="J6736" s="140"/>
    </row>
    <row r="6737" spans="10:10" x14ac:dyDescent="0.4">
      <c r="J6737" s="140"/>
    </row>
    <row r="6738" spans="10:10" x14ac:dyDescent="0.4">
      <c r="J6738" s="140"/>
    </row>
    <row r="6739" spans="10:10" x14ac:dyDescent="0.4">
      <c r="J6739" s="140"/>
    </row>
    <row r="6740" spans="10:10" x14ac:dyDescent="0.4">
      <c r="J6740" s="140"/>
    </row>
    <row r="6741" spans="10:10" x14ac:dyDescent="0.4">
      <c r="J6741" s="140"/>
    </row>
    <row r="6742" spans="10:10" x14ac:dyDescent="0.4">
      <c r="J6742" s="140"/>
    </row>
    <row r="6743" spans="10:10" x14ac:dyDescent="0.4">
      <c r="J6743" s="140"/>
    </row>
    <row r="6744" spans="10:10" x14ac:dyDescent="0.4">
      <c r="J6744" s="140"/>
    </row>
    <row r="6745" spans="10:10" x14ac:dyDescent="0.4">
      <c r="J6745" s="140"/>
    </row>
    <row r="6746" spans="10:10" x14ac:dyDescent="0.4">
      <c r="J6746" s="140"/>
    </row>
    <row r="6747" spans="10:10" x14ac:dyDescent="0.4">
      <c r="J6747" s="140"/>
    </row>
    <row r="6748" spans="10:10" x14ac:dyDescent="0.4">
      <c r="J6748" s="140"/>
    </row>
    <row r="6749" spans="10:10" x14ac:dyDescent="0.4">
      <c r="J6749" s="140"/>
    </row>
    <row r="6750" spans="10:10" x14ac:dyDescent="0.4">
      <c r="J6750" s="140"/>
    </row>
    <row r="6751" spans="10:10" x14ac:dyDescent="0.4">
      <c r="J6751" s="140"/>
    </row>
    <row r="6752" spans="10:10" x14ac:dyDescent="0.4">
      <c r="J6752" s="140"/>
    </row>
    <row r="6753" spans="10:10" x14ac:dyDescent="0.4">
      <c r="J6753" s="140"/>
    </row>
    <row r="6754" spans="10:10" x14ac:dyDescent="0.4">
      <c r="J6754" s="140"/>
    </row>
    <row r="6755" spans="10:10" x14ac:dyDescent="0.4">
      <c r="J6755" s="140"/>
    </row>
    <row r="6756" spans="10:10" x14ac:dyDescent="0.4">
      <c r="J6756" s="140"/>
    </row>
    <row r="6757" spans="10:10" x14ac:dyDescent="0.4">
      <c r="J6757" s="140"/>
    </row>
    <row r="6758" spans="10:10" x14ac:dyDescent="0.4">
      <c r="J6758" s="140"/>
    </row>
    <row r="6759" spans="10:10" x14ac:dyDescent="0.4">
      <c r="J6759" s="140"/>
    </row>
    <row r="6760" spans="10:10" x14ac:dyDescent="0.4">
      <c r="J6760" s="140"/>
    </row>
    <row r="6761" spans="10:10" x14ac:dyDescent="0.4">
      <c r="J6761" s="140"/>
    </row>
    <row r="6762" spans="10:10" x14ac:dyDescent="0.4">
      <c r="J6762" s="140"/>
    </row>
    <row r="6763" spans="10:10" x14ac:dyDescent="0.4">
      <c r="J6763" s="140"/>
    </row>
    <row r="6764" spans="10:10" x14ac:dyDescent="0.4">
      <c r="J6764" s="140"/>
    </row>
    <row r="6765" spans="10:10" x14ac:dyDescent="0.4">
      <c r="J6765" s="140"/>
    </row>
    <row r="6766" spans="10:10" x14ac:dyDescent="0.4">
      <c r="J6766" s="140"/>
    </row>
    <row r="6767" spans="10:10" x14ac:dyDescent="0.4">
      <c r="J6767" s="140"/>
    </row>
    <row r="6768" spans="10:10" x14ac:dyDescent="0.4">
      <c r="J6768" s="140"/>
    </row>
    <row r="6769" spans="10:10" x14ac:dyDescent="0.4">
      <c r="J6769" s="140"/>
    </row>
    <row r="6770" spans="10:10" x14ac:dyDescent="0.4">
      <c r="J6770" s="140"/>
    </row>
    <row r="6771" spans="10:10" x14ac:dyDescent="0.4">
      <c r="J6771" s="140"/>
    </row>
    <row r="6772" spans="10:10" x14ac:dyDescent="0.4">
      <c r="J6772" s="140"/>
    </row>
    <row r="6773" spans="10:10" x14ac:dyDescent="0.4">
      <c r="J6773" s="140"/>
    </row>
    <row r="6774" spans="10:10" x14ac:dyDescent="0.4">
      <c r="J6774" s="140"/>
    </row>
    <row r="6775" spans="10:10" x14ac:dyDescent="0.4">
      <c r="J6775" s="140"/>
    </row>
    <row r="6776" spans="10:10" x14ac:dyDescent="0.4">
      <c r="J6776" s="140"/>
    </row>
    <row r="6777" spans="10:10" x14ac:dyDescent="0.4">
      <c r="J6777" s="140"/>
    </row>
    <row r="6778" spans="10:10" x14ac:dyDescent="0.4">
      <c r="J6778" s="140"/>
    </row>
    <row r="6779" spans="10:10" x14ac:dyDescent="0.4">
      <c r="J6779" s="140"/>
    </row>
    <row r="6780" spans="10:10" x14ac:dyDescent="0.4">
      <c r="J6780" s="140"/>
    </row>
    <row r="6781" spans="10:10" x14ac:dyDescent="0.4">
      <c r="J6781" s="140"/>
    </row>
    <row r="6782" spans="10:10" x14ac:dyDescent="0.4">
      <c r="J6782" s="140"/>
    </row>
    <row r="6783" spans="10:10" x14ac:dyDescent="0.4">
      <c r="J6783" s="140"/>
    </row>
    <row r="6784" spans="10:10" x14ac:dyDescent="0.4">
      <c r="J6784" s="140"/>
    </row>
    <row r="6785" spans="10:10" x14ac:dyDescent="0.4">
      <c r="J6785" s="140"/>
    </row>
    <row r="6786" spans="10:10" x14ac:dyDescent="0.4">
      <c r="J6786" s="140"/>
    </row>
    <row r="6787" spans="10:10" x14ac:dyDescent="0.4">
      <c r="J6787" s="140"/>
    </row>
    <row r="6788" spans="10:10" x14ac:dyDescent="0.4">
      <c r="J6788" s="140"/>
    </row>
    <row r="6789" spans="10:10" x14ac:dyDescent="0.4">
      <c r="J6789" s="140"/>
    </row>
    <row r="6790" spans="10:10" x14ac:dyDescent="0.4">
      <c r="J6790" s="140"/>
    </row>
    <row r="6791" spans="10:10" x14ac:dyDescent="0.4">
      <c r="J6791" s="140"/>
    </row>
    <row r="6792" spans="10:10" x14ac:dyDescent="0.4">
      <c r="J6792" s="140"/>
    </row>
    <row r="6793" spans="10:10" x14ac:dyDescent="0.4">
      <c r="J6793" s="140"/>
    </row>
    <row r="6794" spans="10:10" x14ac:dyDescent="0.4">
      <c r="J6794" s="140"/>
    </row>
    <row r="6795" spans="10:10" x14ac:dyDescent="0.4">
      <c r="J6795" s="140"/>
    </row>
    <row r="6796" spans="10:10" x14ac:dyDescent="0.4">
      <c r="J6796" s="140"/>
    </row>
    <row r="6797" spans="10:10" x14ac:dyDescent="0.4">
      <c r="J6797" s="140"/>
    </row>
    <row r="6798" spans="10:10" x14ac:dyDescent="0.4">
      <c r="J6798" s="140"/>
    </row>
    <row r="6799" spans="10:10" x14ac:dyDescent="0.4">
      <c r="J6799" s="140"/>
    </row>
    <row r="6800" spans="10:10" x14ac:dyDescent="0.4">
      <c r="J6800" s="140"/>
    </row>
    <row r="6801" spans="10:10" x14ac:dyDescent="0.4">
      <c r="J6801" s="140"/>
    </row>
    <row r="6802" spans="10:10" x14ac:dyDescent="0.4">
      <c r="J6802" s="140"/>
    </row>
    <row r="6803" spans="10:10" x14ac:dyDescent="0.4">
      <c r="J6803" s="140"/>
    </row>
    <row r="6804" spans="10:10" x14ac:dyDescent="0.4">
      <c r="J6804" s="140"/>
    </row>
    <row r="6805" spans="10:10" x14ac:dyDescent="0.4">
      <c r="J6805" s="140"/>
    </row>
    <row r="6806" spans="10:10" x14ac:dyDescent="0.4">
      <c r="J6806" s="140"/>
    </row>
    <row r="6807" spans="10:10" x14ac:dyDescent="0.4">
      <c r="J6807" s="140"/>
    </row>
    <row r="6808" spans="10:10" x14ac:dyDescent="0.4">
      <c r="J6808" s="140"/>
    </row>
    <row r="6809" spans="10:10" x14ac:dyDescent="0.4">
      <c r="J6809" s="140"/>
    </row>
    <row r="6810" spans="10:10" x14ac:dyDescent="0.4">
      <c r="J6810" s="140"/>
    </row>
    <row r="6811" spans="10:10" x14ac:dyDescent="0.4">
      <c r="J6811" s="140"/>
    </row>
    <row r="6812" spans="10:10" x14ac:dyDescent="0.4">
      <c r="J6812" s="140"/>
    </row>
    <row r="6813" spans="10:10" x14ac:dyDescent="0.4">
      <c r="J6813" s="140"/>
    </row>
    <row r="6814" spans="10:10" x14ac:dyDescent="0.4">
      <c r="J6814" s="140"/>
    </row>
    <row r="6815" spans="10:10" x14ac:dyDescent="0.4">
      <c r="J6815" s="140"/>
    </row>
    <row r="6816" spans="10:10" x14ac:dyDescent="0.4">
      <c r="J6816" s="140"/>
    </row>
    <row r="6817" spans="10:10" x14ac:dyDescent="0.4">
      <c r="J6817" s="140"/>
    </row>
    <row r="6818" spans="10:10" x14ac:dyDescent="0.4">
      <c r="J6818" s="140"/>
    </row>
    <row r="6819" spans="10:10" x14ac:dyDescent="0.4">
      <c r="J6819" s="140"/>
    </row>
    <row r="6820" spans="10:10" x14ac:dyDescent="0.4">
      <c r="J6820" s="140"/>
    </row>
    <row r="6821" spans="10:10" x14ac:dyDescent="0.4">
      <c r="J6821" s="140"/>
    </row>
    <row r="6822" spans="10:10" x14ac:dyDescent="0.4">
      <c r="J6822" s="140"/>
    </row>
    <row r="6823" spans="10:10" x14ac:dyDescent="0.4">
      <c r="J6823" s="140"/>
    </row>
    <row r="6824" spans="10:10" x14ac:dyDescent="0.4">
      <c r="J6824" s="140"/>
    </row>
    <row r="6825" spans="10:10" x14ac:dyDescent="0.4">
      <c r="J6825" s="140"/>
    </row>
    <row r="6826" spans="10:10" x14ac:dyDescent="0.4">
      <c r="J6826" s="140"/>
    </row>
    <row r="6827" spans="10:10" x14ac:dyDescent="0.4">
      <c r="J6827" s="140"/>
    </row>
    <row r="6828" spans="10:10" x14ac:dyDescent="0.4">
      <c r="J6828" s="140"/>
    </row>
    <row r="6829" spans="10:10" x14ac:dyDescent="0.4">
      <c r="J6829" s="140"/>
    </row>
    <row r="6830" spans="10:10" x14ac:dyDescent="0.4">
      <c r="J6830" s="140"/>
    </row>
    <row r="6831" spans="10:10" x14ac:dyDescent="0.4">
      <c r="J6831" s="140"/>
    </row>
    <row r="6832" spans="10:10" x14ac:dyDescent="0.4">
      <c r="J6832" s="140"/>
    </row>
    <row r="6833" spans="10:10" x14ac:dyDescent="0.4">
      <c r="J6833" s="140"/>
    </row>
    <row r="6834" spans="10:10" x14ac:dyDescent="0.4">
      <c r="J6834" s="140"/>
    </row>
    <row r="6835" spans="10:10" x14ac:dyDescent="0.4">
      <c r="J6835" s="140"/>
    </row>
    <row r="6836" spans="10:10" x14ac:dyDescent="0.4">
      <c r="J6836" s="140"/>
    </row>
    <row r="6837" spans="10:10" x14ac:dyDescent="0.4">
      <c r="J6837" s="140"/>
    </row>
    <row r="6838" spans="10:10" x14ac:dyDescent="0.4">
      <c r="J6838" s="140"/>
    </row>
    <row r="6839" spans="10:10" x14ac:dyDescent="0.4">
      <c r="J6839" s="140"/>
    </row>
    <row r="6840" spans="10:10" x14ac:dyDescent="0.4">
      <c r="J6840" s="140"/>
    </row>
    <row r="6841" spans="10:10" x14ac:dyDescent="0.4">
      <c r="J6841" s="140"/>
    </row>
    <row r="6842" spans="10:10" x14ac:dyDescent="0.4">
      <c r="J6842" s="140"/>
    </row>
    <row r="6843" spans="10:10" x14ac:dyDescent="0.4">
      <c r="J6843" s="140"/>
    </row>
    <row r="6844" spans="10:10" x14ac:dyDescent="0.4">
      <c r="J6844" s="140"/>
    </row>
    <row r="6845" spans="10:10" x14ac:dyDescent="0.4">
      <c r="J6845" s="140"/>
    </row>
    <row r="6846" spans="10:10" x14ac:dyDescent="0.4">
      <c r="J6846" s="140"/>
    </row>
    <row r="6847" spans="10:10" x14ac:dyDescent="0.4">
      <c r="J6847" s="140"/>
    </row>
    <row r="6848" spans="10:10" x14ac:dyDescent="0.4">
      <c r="J6848" s="140"/>
    </row>
    <row r="6849" spans="10:10" x14ac:dyDescent="0.4">
      <c r="J6849" s="140"/>
    </row>
    <row r="6850" spans="10:10" x14ac:dyDescent="0.4">
      <c r="J6850" s="140"/>
    </row>
    <row r="6851" spans="10:10" x14ac:dyDescent="0.4">
      <c r="J6851" s="140"/>
    </row>
    <row r="6852" spans="10:10" x14ac:dyDescent="0.4">
      <c r="J6852" s="140"/>
    </row>
    <row r="6853" spans="10:10" x14ac:dyDescent="0.4">
      <c r="J6853" s="140"/>
    </row>
    <row r="6854" spans="10:10" x14ac:dyDescent="0.4">
      <c r="J6854" s="140"/>
    </row>
    <row r="6855" spans="10:10" x14ac:dyDescent="0.4">
      <c r="J6855" s="140"/>
    </row>
    <row r="6856" spans="10:10" x14ac:dyDescent="0.4">
      <c r="J6856" s="140"/>
    </row>
    <row r="6857" spans="10:10" x14ac:dyDescent="0.4">
      <c r="J6857" s="140"/>
    </row>
    <row r="6858" spans="10:10" x14ac:dyDescent="0.4">
      <c r="J6858" s="140"/>
    </row>
    <row r="6859" spans="10:10" x14ac:dyDescent="0.4">
      <c r="J6859" s="140"/>
    </row>
    <row r="6860" spans="10:10" x14ac:dyDescent="0.4">
      <c r="J6860" s="140"/>
    </row>
    <row r="6861" spans="10:10" x14ac:dyDescent="0.4">
      <c r="J6861" s="140"/>
    </row>
    <row r="6862" spans="10:10" x14ac:dyDescent="0.4">
      <c r="J6862" s="140"/>
    </row>
    <row r="6863" spans="10:10" x14ac:dyDescent="0.4">
      <c r="J6863" s="140"/>
    </row>
    <row r="6864" spans="10:10" x14ac:dyDescent="0.4">
      <c r="J6864" s="140"/>
    </row>
    <row r="6865" spans="10:10" x14ac:dyDescent="0.4">
      <c r="J6865" s="140"/>
    </row>
    <row r="6866" spans="10:10" x14ac:dyDescent="0.4">
      <c r="J6866" s="140"/>
    </row>
    <row r="6867" spans="10:10" x14ac:dyDescent="0.4">
      <c r="J6867" s="140"/>
    </row>
    <row r="6868" spans="10:10" x14ac:dyDescent="0.4">
      <c r="J6868" s="140"/>
    </row>
    <row r="6869" spans="10:10" x14ac:dyDescent="0.4">
      <c r="J6869" s="140"/>
    </row>
    <row r="6870" spans="10:10" x14ac:dyDescent="0.4">
      <c r="J6870" s="140"/>
    </row>
    <row r="6871" spans="10:10" x14ac:dyDescent="0.4">
      <c r="J6871" s="140"/>
    </row>
    <row r="6872" spans="10:10" x14ac:dyDescent="0.4">
      <c r="J6872" s="140"/>
    </row>
    <row r="6873" spans="10:10" x14ac:dyDescent="0.4">
      <c r="J6873" s="140"/>
    </row>
    <row r="6874" spans="10:10" x14ac:dyDescent="0.4">
      <c r="J6874" s="140"/>
    </row>
    <row r="6875" spans="10:10" x14ac:dyDescent="0.4">
      <c r="J6875" s="140"/>
    </row>
    <row r="6876" spans="10:10" x14ac:dyDescent="0.4">
      <c r="J6876" s="140"/>
    </row>
    <row r="6877" spans="10:10" x14ac:dyDescent="0.4">
      <c r="J6877" s="140"/>
    </row>
    <row r="6878" spans="10:10" x14ac:dyDescent="0.4">
      <c r="J6878" s="140"/>
    </row>
    <row r="6879" spans="10:10" x14ac:dyDescent="0.4">
      <c r="J6879" s="140"/>
    </row>
    <row r="6880" spans="10:10" x14ac:dyDescent="0.4">
      <c r="J6880" s="140"/>
    </row>
    <row r="6881" spans="10:10" x14ac:dyDescent="0.4">
      <c r="J6881" s="140"/>
    </row>
    <row r="6882" spans="10:10" x14ac:dyDescent="0.4">
      <c r="J6882" s="140"/>
    </row>
    <row r="6883" spans="10:10" x14ac:dyDescent="0.4">
      <c r="J6883" s="140"/>
    </row>
    <row r="6884" spans="10:10" x14ac:dyDescent="0.4">
      <c r="J6884" s="140"/>
    </row>
    <row r="6885" spans="10:10" x14ac:dyDescent="0.4">
      <c r="J6885" s="140"/>
    </row>
    <row r="6886" spans="10:10" x14ac:dyDescent="0.4">
      <c r="J6886" s="140"/>
    </row>
    <row r="6887" spans="10:10" x14ac:dyDescent="0.4">
      <c r="J6887" s="140"/>
    </row>
    <row r="6888" spans="10:10" x14ac:dyDescent="0.4">
      <c r="J6888" s="140"/>
    </row>
    <row r="6889" spans="10:10" x14ac:dyDescent="0.4">
      <c r="J6889" s="140"/>
    </row>
    <row r="6890" spans="10:10" x14ac:dyDescent="0.4">
      <c r="J6890" s="140"/>
    </row>
    <row r="6891" spans="10:10" x14ac:dyDescent="0.4">
      <c r="J6891" s="140"/>
    </row>
    <row r="6892" spans="10:10" x14ac:dyDescent="0.4">
      <c r="J6892" s="140"/>
    </row>
    <row r="6893" spans="10:10" x14ac:dyDescent="0.4">
      <c r="J6893" s="140"/>
    </row>
    <row r="6894" spans="10:10" x14ac:dyDescent="0.4">
      <c r="J6894" s="140"/>
    </row>
    <row r="6895" spans="10:10" x14ac:dyDescent="0.4">
      <c r="J6895" s="140"/>
    </row>
    <row r="6896" spans="10:10" x14ac:dyDescent="0.4">
      <c r="J6896" s="140"/>
    </row>
    <row r="6897" spans="10:10" x14ac:dyDescent="0.4">
      <c r="J6897" s="140"/>
    </row>
    <row r="6898" spans="10:10" x14ac:dyDescent="0.4">
      <c r="J6898" s="140"/>
    </row>
    <row r="6899" spans="10:10" x14ac:dyDescent="0.4">
      <c r="J6899" s="140"/>
    </row>
    <row r="6900" spans="10:10" x14ac:dyDescent="0.4">
      <c r="J6900" s="140"/>
    </row>
    <row r="6901" spans="10:10" x14ac:dyDescent="0.4">
      <c r="J6901" s="140"/>
    </row>
    <row r="6902" spans="10:10" x14ac:dyDescent="0.4">
      <c r="J6902" s="140"/>
    </row>
    <row r="6903" spans="10:10" x14ac:dyDescent="0.4">
      <c r="J6903" s="140"/>
    </row>
    <row r="6904" spans="10:10" x14ac:dyDescent="0.4">
      <c r="J6904" s="140"/>
    </row>
    <row r="6905" spans="10:10" x14ac:dyDescent="0.4">
      <c r="J6905" s="140"/>
    </row>
    <row r="6906" spans="10:10" x14ac:dyDescent="0.4">
      <c r="J6906" s="140"/>
    </row>
    <row r="6907" spans="10:10" x14ac:dyDescent="0.4">
      <c r="J6907" s="140"/>
    </row>
    <row r="6908" spans="10:10" x14ac:dyDescent="0.4">
      <c r="J6908" s="140"/>
    </row>
    <row r="6909" spans="10:10" x14ac:dyDescent="0.4">
      <c r="J6909" s="140"/>
    </row>
    <row r="6910" spans="10:10" x14ac:dyDescent="0.4">
      <c r="J6910" s="140"/>
    </row>
    <row r="6911" spans="10:10" x14ac:dyDescent="0.4">
      <c r="J6911" s="140"/>
    </row>
    <row r="6912" spans="10:10" x14ac:dyDescent="0.4">
      <c r="J6912" s="140"/>
    </row>
    <row r="6913" spans="10:10" x14ac:dyDescent="0.4">
      <c r="J6913" s="140"/>
    </row>
    <row r="6914" spans="10:10" x14ac:dyDescent="0.4">
      <c r="J6914" s="140"/>
    </row>
    <row r="6915" spans="10:10" x14ac:dyDescent="0.4">
      <c r="J6915" s="140"/>
    </row>
    <row r="6916" spans="10:10" x14ac:dyDescent="0.4">
      <c r="J6916" s="140"/>
    </row>
    <row r="6917" spans="10:10" x14ac:dyDescent="0.4">
      <c r="J6917" s="140"/>
    </row>
    <row r="6918" spans="10:10" x14ac:dyDescent="0.4">
      <c r="J6918" s="140"/>
    </row>
    <row r="6919" spans="10:10" x14ac:dyDescent="0.4">
      <c r="J6919" s="140"/>
    </row>
    <row r="6920" spans="10:10" x14ac:dyDescent="0.4">
      <c r="J6920" s="140"/>
    </row>
    <row r="6921" spans="10:10" x14ac:dyDescent="0.4">
      <c r="J6921" s="140"/>
    </row>
    <row r="6922" spans="10:10" x14ac:dyDescent="0.4">
      <c r="J6922" s="140"/>
    </row>
    <row r="6923" spans="10:10" x14ac:dyDescent="0.4">
      <c r="J6923" s="140"/>
    </row>
    <row r="6924" spans="10:10" x14ac:dyDescent="0.4">
      <c r="J6924" s="140"/>
    </row>
    <row r="6925" spans="10:10" x14ac:dyDescent="0.4">
      <c r="J6925" s="140"/>
    </row>
    <row r="6926" spans="10:10" x14ac:dyDescent="0.4">
      <c r="J6926" s="140"/>
    </row>
    <row r="6927" spans="10:10" x14ac:dyDescent="0.4">
      <c r="J6927" s="140"/>
    </row>
    <row r="6928" spans="10:10" x14ac:dyDescent="0.4">
      <c r="J6928" s="140"/>
    </row>
    <row r="6929" spans="10:10" x14ac:dyDescent="0.4">
      <c r="J6929" s="140"/>
    </row>
    <row r="6930" spans="10:10" x14ac:dyDescent="0.4">
      <c r="J6930" s="140"/>
    </row>
    <row r="6931" spans="10:10" x14ac:dyDescent="0.4">
      <c r="J6931" s="140"/>
    </row>
    <row r="6932" spans="10:10" x14ac:dyDescent="0.4">
      <c r="J6932" s="140"/>
    </row>
    <row r="6933" spans="10:10" x14ac:dyDescent="0.4">
      <c r="J6933" s="140"/>
    </row>
    <row r="6934" spans="10:10" x14ac:dyDescent="0.4">
      <c r="J6934" s="140"/>
    </row>
    <row r="6935" spans="10:10" x14ac:dyDescent="0.4">
      <c r="J6935" s="140"/>
    </row>
    <row r="6936" spans="10:10" x14ac:dyDescent="0.4">
      <c r="J6936" s="140"/>
    </row>
    <row r="6937" spans="10:10" x14ac:dyDescent="0.4">
      <c r="J6937" s="140"/>
    </row>
    <row r="6938" spans="10:10" x14ac:dyDescent="0.4">
      <c r="J6938" s="140"/>
    </row>
    <row r="6939" spans="10:10" x14ac:dyDescent="0.4">
      <c r="J6939" s="140"/>
    </row>
    <row r="6940" spans="10:10" x14ac:dyDescent="0.4">
      <c r="J6940" s="140"/>
    </row>
    <row r="6941" spans="10:10" x14ac:dyDescent="0.4">
      <c r="J6941" s="140"/>
    </row>
    <row r="6942" spans="10:10" x14ac:dyDescent="0.4">
      <c r="J6942" s="140"/>
    </row>
    <row r="6943" spans="10:10" x14ac:dyDescent="0.4">
      <c r="J6943" s="140"/>
    </row>
    <row r="6944" spans="10:10" x14ac:dyDescent="0.4">
      <c r="J6944" s="140"/>
    </row>
    <row r="6945" spans="10:10" x14ac:dyDescent="0.4">
      <c r="J6945" s="140"/>
    </row>
    <row r="6946" spans="10:10" x14ac:dyDescent="0.4">
      <c r="J6946" s="140"/>
    </row>
    <row r="6947" spans="10:10" x14ac:dyDescent="0.4">
      <c r="J6947" s="140"/>
    </row>
    <row r="6948" spans="10:10" x14ac:dyDescent="0.4">
      <c r="J6948" s="140"/>
    </row>
    <row r="6949" spans="10:10" x14ac:dyDescent="0.4">
      <c r="J6949" s="140"/>
    </row>
    <row r="6950" spans="10:10" x14ac:dyDescent="0.4">
      <c r="J6950" s="140"/>
    </row>
    <row r="6951" spans="10:10" x14ac:dyDescent="0.4">
      <c r="J6951" s="140"/>
    </row>
    <row r="6952" spans="10:10" x14ac:dyDescent="0.4">
      <c r="J6952" s="140"/>
    </row>
    <row r="6953" spans="10:10" x14ac:dyDescent="0.4">
      <c r="J6953" s="140"/>
    </row>
    <row r="6954" spans="10:10" x14ac:dyDescent="0.4">
      <c r="J6954" s="140"/>
    </row>
    <row r="6955" spans="10:10" x14ac:dyDescent="0.4">
      <c r="J6955" s="140"/>
    </row>
    <row r="6956" spans="10:10" x14ac:dyDescent="0.4">
      <c r="J6956" s="140"/>
    </row>
    <row r="6957" spans="10:10" x14ac:dyDescent="0.4">
      <c r="J6957" s="140"/>
    </row>
    <row r="6958" spans="10:10" x14ac:dyDescent="0.4">
      <c r="J6958" s="140"/>
    </row>
    <row r="6959" spans="10:10" x14ac:dyDescent="0.4">
      <c r="J6959" s="140"/>
    </row>
    <row r="6960" spans="10:10" x14ac:dyDescent="0.4">
      <c r="J6960" s="140"/>
    </row>
    <row r="6961" spans="10:10" x14ac:dyDescent="0.4">
      <c r="J6961" s="140"/>
    </row>
    <row r="6962" spans="10:10" x14ac:dyDescent="0.4">
      <c r="J6962" s="140"/>
    </row>
    <row r="6963" spans="10:10" x14ac:dyDescent="0.4">
      <c r="J6963" s="140"/>
    </row>
    <row r="6964" spans="10:10" x14ac:dyDescent="0.4">
      <c r="J6964" s="140"/>
    </row>
    <row r="6965" spans="10:10" x14ac:dyDescent="0.4">
      <c r="J6965" s="140"/>
    </row>
    <row r="6966" spans="10:10" x14ac:dyDescent="0.4">
      <c r="J6966" s="140"/>
    </row>
    <row r="6967" spans="10:10" x14ac:dyDescent="0.4">
      <c r="J6967" s="140"/>
    </row>
    <row r="6968" spans="10:10" x14ac:dyDescent="0.4">
      <c r="J6968" s="140"/>
    </row>
    <row r="6969" spans="10:10" x14ac:dyDescent="0.4">
      <c r="J6969" s="140"/>
    </row>
    <row r="6970" spans="10:10" x14ac:dyDescent="0.4">
      <c r="J6970" s="140"/>
    </row>
    <row r="6971" spans="10:10" x14ac:dyDescent="0.4">
      <c r="J6971" s="140"/>
    </row>
    <row r="6972" spans="10:10" x14ac:dyDescent="0.4">
      <c r="J6972" s="140"/>
    </row>
    <row r="6973" spans="10:10" x14ac:dyDescent="0.4">
      <c r="J6973" s="140"/>
    </row>
    <row r="6974" spans="10:10" x14ac:dyDescent="0.4">
      <c r="J6974" s="140"/>
    </row>
    <row r="6975" spans="10:10" x14ac:dyDescent="0.4">
      <c r="J6975" s="140"/>
    </row>
    <row r="6976" spans="10:10" x14ac:dyDescent="0.4">
      <c r="J6976" s="140"/>
    </row>
    <row r="6977" spans="10:10" x14ac:dyDescent="0.4">
      <c r="J6977" s="140"/>
    </row>
    <row r="6978" spans="10:10" x14ac:dyDescent="0.4">
      <c r="J6978" s="140"/>
    </row>
    <row r="6979" spans="10:10" x14ac:dyDescent="0.4">
      <c r="J6979" s="140"/>
    </row>
    <row r="6980" spans="10:10" x14ac:dyDescent="0.4">
      <c r="J6980" s="140"/>
    </row>
    <row r="6981" spans="10:10" x14ac:dyDescent="0.4">
      <c r="J6981" s="140"/>
    </row>
    <row r="6982" spans="10:10" x14ac:dyDescent="0.4">
      <c r="J6982" s="140"/>
    </row>
    <row r="6983" spans="10:10" x14ac:dyDescent="0.4">
      <c r="J6983" s="140"/>
    </row>
    <row r="6984" spans="10:10" x14ac:dyDescent="0.4">
      <c r="J6984" s="140"/>
    </row>
    <row r="6985" spans="10:10" x14ac:dyDescent="0.4">
      <c r="J6985" s="140"/>
    </row>
    <row r="6986" spans="10:10" x14ac:dyDescent="0.4">
      <c r="J6986" s="140"/>
    </row>
    <row r="6987" spans="10:10" x14ac:dyDescent="0.4">
      <c r="J6987" s="140"/>
    </row>
    <row r="6988" spans="10:10" x14ac:dyDescent="0.4">
      <c r="J6988" s="140"/>
    </row>
    <row r="6989" spans="10:10" x14ac:dyDescent="0.4">
      <c r="J6989" s="140"/>
    </row>
    <row r="6990" spans="10:10" x14ac:dyDescent="0.4">
      <c r="J6990" s="140"/>
    </row>
    <row r="6991" spans="10:10" x14ac:dyDescent="0.4">
      <c r="J6991" s="140"/>
    </row>
    <row r="6992" spans="10:10" x14ac:dyDescent="0.4">
      <c r="J6992" s="140"/>
    </row>
    <row r="6993" spans="10:10" x14ac:dyDescent="0.4">
      <c r="J6993" s="140"/>
    </row>
    <row r="6994" spans="10:10" x14ac:dyDescent="0.4">
      <c r="J6994" s="140"/>
    </row>
    <row r="6995" spans="10:10" x14ac:dyDescent="0.4">
      <c r="J6995" s="140"/>
    </row>
    <row r="6996" spans="10:10" x14ac:dyDescent="0.4">
      <c r="J6996" s="140"/>
    </row>
    <row r="6997" spans="10:10" x14ac:dyDescent="0.4">
      <c r="J6997" s="140"/>
    </row>
    <row r="6998" spans="10:10" x14ac:dyDescent="0.4">
      <c r="J6998" s="140"/>
    </row>
    <row r="6999" spans="10:10" x14ac:dyDescent="0.4">
      <c r="J6999" s="140"/>
    </row>
    <row r="7000" spans="10:10" x14ac:dyDescent="0.4">
      <c r="J7000" s="140"/>
    </row>
    <row r="7001" spans="10:10" x14ac:dyDescent="0.4">
      <c r="J7001" s="140"/>
    </row>
    <row r="7002" spans="10:10" x14ac:dyDescent="0.4">
      <c r="J7002" s="140"/>
    </row>
    <row r="7003" spans="10:10" x14ac:dyDescent="0.4">
      <c r="J7003" s="140"/>
    </row>
    <row r="7004" spans="10:10" x14ac:dyDescent="0.4">
      <c r="J7004" s="140"/>
    </row>
    <row r="7005" spans="10:10" x14ac:dyDescent="0.4">
      <c r="J7005" s="140"/>
    </row>
    <row r="7006" spans="10:10" x14ac:dyDescent="0.4">
      <c r="J7006" s="140"/>
    </row>
    <row r="7007" spans="10:10" x14ac:dyDescent="0.4">
      <c r="J7007" s="140"/>
    </row>
    <row r="7008" spans="10:10" x14ac:dyDescent="0.4">
      <c r="J7008" s="140"/>
    </row>
    <row r="7009" spans="10:10" x14ac:dyDescent="0.4">
      <c r="J7009" s="140"/>
    </row>
    <row r="7010" spans="10:10" x14ac:dyDescent="0.4">
      <c r="J7010" s="140"/>
    </row>
    <row r="7011" spans="10:10" x14ac:dyDescent="0.4">
      <c r="J7011" s="140"/>
    </row>
    <row r="7012" spans="10:10" x14ac:dyDescent="0.4">
      <c r="J7012" s="140"/>
    </row>
    <row r="7013" spans="10:10" x14ac:dyDescent="0.4">
      <c r="J7013" s="140"/>
    </row>
    <row r="7014" spans="10:10" x14ac:dyDescent="0.4">
      <c r="J7014" s="140"/>
    </row>
    <row r="7015" spans="10:10" x14ac:dyDescent="0.4">
      <c r="J7015" s="140"/>
    </row>
    <row r="7016" spans="10:10" x14ac:dyDescent="0.4">
      <c r="J7016" s="140"/>
    </row>
    <row r="7017" spans="10:10" x14ac:dyDescent="0.4">
      <c r="J7017" s="140"/>
    </row>
    <row r="7018" spans="10:10" x14ac:dyDescent="0.4">
      <c r="J7018" s="140"/>
    </row>
    <row r="7019" spans="10:10" x14ac:dyDescent="0.4">
      <c r="J7019" s="140"/>
    </row>
    <row r="7020" spans="10:10" x14ac:dyDescent="0.4">
      <c r="J7020" s="140"/>
    </row>
    <row r="7021" spans="10:10" x14ac:dyDescent="0.4">
      <c r="J7021" s="140"/>
    </row>
    <row r="7022" spans="10:10" x14ac:dyDescent="0.4">
      <c r="J7022" s="140"/>
    </row>
    <row r="7023" spans="10:10" x14ac:dyDescent="0.4">
      <c r="J7023" s="140"/>
    </row>
    <row r="7024" spans="10:10" x14ac:dyDescent="0.4">
      <c r="J7024" s="140"/>
    </row>
    <row r="7025" spans="10:10" x14ac:dyDescent="0.4">
      <c r="J7025" s="140"/>
    </row>
    <row r="7026" spans="10:10" x14ac:dyDescent="0.4">
      <c r="J7026" s="140"/>
    </row>
    <row r="7027" spans="10:10" x14ac:dyDescent="0.4">
      <c r="J7027" s="140"/>
    </row>
    <row r="7028" spans="10:10" x14ac:dyDescent="0.4">
      <c r="J7028" s="140"/>
    </row>
    <row r="7029" spans="10:10" x14ac:dyDescent="0.4">
      <c r="J7029" s="140"/>
    </row>
    <row r="7030" spans="10:10" x14ac:dyDescent="0.4">
      <c r="J7030" s="140"/>
    </row>
    <row r="7031" spans="10:10" x14ac:dyDescent="0.4">
      <c r="J7031" s="140"/>
    </row>
    <row r="7032" spans="10:10" x14ac:dyDescent="0.4">
      <c r="J7032" s="140"/>
    </row>
    <row r="7033" spans="10:10" x14ac:dyDescent="0.4">
      <c r="J7033" s="140"/>
    </row>
    <row r="7034" spans="10:10" x14ac:dyDescent="0.4">
      <c r="J7034" s="140"/>
    </row>
    <row r="7035" spans="10:10" x14ac:dyDescent="0.4">
      <c r="J7035" s="140"/>
    </row>
    <row r="7036" spans="10:10" x14ac:dyDescent="0.4">
      <c r="J7036" s="140"/>
    </row>
    <row r="7037" spans="10:10" x14ac:dyDescent="0.4">
      <c r="J7037" s="140"/>
    </row>
    <row r="7038" spans="10:10" x14ac:dyDescent="0.4">
      <c r="J7038" s="140"/>
    </row>
    <row r="7039" spans="10:10" x14ac:dyDescent="0.4">
      <c r="J7039" s="140"/>
    </row>
    <row r="7040" spans="10:10" x14ac:dyDescent="0.4">
      <c r="J7040" s="140"/>
    </row>
    <row r="7041" spans="10:10" x14ac:dyDescent="0.4">
      <c r="J7041" s="140"/>
    </row>
    <row r="7042" spans="10:10" x14ac:dyDescent="0.4">
      <c r="J7042" s="140"/>
    </row>
    <row r="7043" spans="10:10" x14ac:dyDescent="0.4">
      <c r="J7043" s="140"/>
    </row>
    <row r="7044" spans="10:10" x14ac:dyDescent="0.4">
      <c r="J7044" s="140"/>
    </row>
    <row r="7045" spans="10:10" x14ac:dyDescent="0.4">
      <c r="J7045" s="140"/>
    </row>
    <row r="7046" spans="10:10" x14ac:dyDescent="0.4">
      <c r="J7046" s="140"/>
    </row>
    <row r="7047" spans="10:10" x14ac:dyDescent="0.4">
      <c r="J7047" s="140"/>
    </row>
    <row r="7048" spans="10:10" x14ac:dyDescent="0.4">
      <c r="J7048" s="140"/>
    </row>
    <row r="7049" spans="10:10" x14ac:dyDescent="0.4">
      <c r="J7049" s="140"/>
    </row>
    <row r="7050" spans="10:10" x14ac:dyDescent="0.4">
      <c r="J7050" s="140"/>
    </row>
    <row r="7051" spans="10:10" x14ac:dyDescent="0.4">
      <c r="J7051" s="140"/>
    </row>
    <row r="7052" spans="10:10" x14ac:dyDescent="0.4">
      <c r="J7052" s="140"/>
    </row>
    <row r="7053" spans="10:10" x14ac:dyDescent="0.4">
      <c r="J7053" s="140"/>
    </row>
    <row r="7054" spans="10:10" x14ac:dyDescent="0.4">
      <c r="J7054" s="140"/>
    </row>
    <row r="7055" spans="10:10" x14ac:dyDescent="0.4">
      <c r="J7055" s="140"/>
    </row>
    <row r="7056" spans="10:10" x14ac:dyDescent="0.4">
      <c r="J7056" s="140"/>
    </row>
    <row r="7057" spans="10:10" x14ac:dyDescent="0.4">
      <c r="J7057" s="140"/>
    </row>
    <row r="7058" spans="10:10" x14ac:dyDescent="0.4">
      <c r="J7058" s="140"/>
    </row>
    <row r="7059" spans="10:10" x14ac:dyDescent="0.4">
      <c r="J7059" s="140"/>
    </row>
    <row r="7060" spans="10:10" x14ac:dyDescent="0.4">
      <c r="J7060" s="140"/>
    </row>
    <row r="7061" spans="10:10" x14ac:dyDescent="0.4">
      <c r="J7061" s="140"/>
    </row>
    <row r="7062" spans="10:10" x14ac:dyDescent="0.4">
      <c r="J7062" s="140"/>
    </row>
    <row r="7063" spans="10:10" x14ac:dyDescent="0.4">
      <c r="J7063" s="140"/>
    </row>
    <row r="7064" spans="10:10" x14ac:dyDescent="0.4">
      <c r="J7064" s="140"/>
    </row>
    <row r="7065" spans="10:10" x14ac:dyDescent="0.4">
      <c r="J7065" s="140"/>
    </row>
    <row r="7066" spans="10:10" x14ac:dyDescent="0.4">
      <c r="J7066" s="140"/>
    </row>
    <row r="7067" spans="10:10" x14ac:dyDescent="0.4">
      <c r="J7067" s="140"/>
    </row>
    <row r="7068" spans="10:10" x14ac:dyDescent="0.4">
      <c r="J7068" s="140"/>
    </row>
    <row r="7069" spans="10:10" x14ac:dyDescent="0.4">
      <c r="J7069" s="140"/>
    </row>
    <row r="7070" spans="10:10" x14ac:dyDescent="0.4">
      <c r="J7070" s="140"/>
    </row>
    <row r="7071" spans="10:10" x14ac:dyDescent="0.4">
      <c r="J7071" s="140"/>
    </row>
    <row r="7072" spans="10:10" x14ac:dyDescent="0.4">
      <c r="J7072" s="140"/>
    </row>
    <row r="7073" spans="10:10" x14ac:dyDescent="0.4">
      <c r="J7073" s="140"/>
    </row>
    <row r="7074" spans="10:10" x14ac:dyDescent="0.4">
      <c r="J7074" s="140"/>
    </row>
    <row r="7075" spans="10:10" x14ac:dyDescent="0.4">
      <c r="J7075" s="140"/>
    </row>
    <row r="7076" spans="10:10" x14ac:dyDescent="0.4">
      <c r="J7076" s="140"/>
    </row>
    <row r="7077" spans="10:10" x14ac:dyDescent="0.4">
      <c r="J7077" s="140"/>
    </row>
    <row r="7078" spans="10:10" x14ac:dyDescent="0.4">
      <c r="J7078" s="140"/>
    </row>
    <row r="7079" spans="10:10" x14ac:dyDescent="0.4">
      <c r="J7079" s="140"/>
    </row>
    <row r="7080" spans="10:10" x14ac:dyDescent="0.4">
      <c r="J7080" s="140"/>
    </row>
    <row r="7081" spans="10:10" x14ac:dyDescent="0.4">
      <c r="J7081" s="140"/>
    </row>
    <row r="7082" spans="10:10" x14ac:dyDescent="0.4">
      <c r="J7082" s="140"/>
    </row>
    <row r="7083" spans="10:10" x14ac:dyDescent="0.4">
      <c r="J7083" s="140"/>
    </row>
    <row r="7084" spans="10:10" x14ac:dyDescent="0.4">
      <c r="J7084" s="140"/>
    </row>
    <row r="7085" spans="10:10" x14ac:dyDescent="0.4">
      <c r="J7085" s="140"/>
    </row>
    <row r="7086" spans="10:10" x14ac:dyDescent="0.4">
      <c r="J7086" s="140"/>
    </row>
    <row r="7087" spans="10:10" x14ac:dyDescent="0.4">
      <c r="J7087" s="140"/>
    </row>
    <row r="7088" spans="10:10" x14ac:dyDescent="0.4">
      <c r="J7088" s="140"/>
    </row>
    <row r="7089" spans="10:10" x14ac:dyDescent="0.4">
      <c r="J7089" s="140"/>
    </row>
    <row r="7090" spans="10:10" x14ac:dyDescent="0.4">
      <c r="J7090" s="140"/>
    </row>
    <row r="7091" spans="10:10" x14ac:dyDescent="0.4">
      <c r="J7091" s="140"/>
    </row>
    <row r="7092" spans="10:10" x14ac:dyDescent="0.4">
      <c r="J7092" s="140"/>
    </row>
    <row r="7093" spans="10:10" x14ac:dyDescent="0.4">
      <c r="J7093" s="140"/>
    </row>
    <row r="7094" spans="10:10" x14ac:dyDescent="0.4">
      <c r="J7094" s="140"/>
    </row>
    <row r="7095" spans="10:10" x14ac:dyDescent="0.4">
      <c r="J7095" s="140"/>
    </row>
    <row r="7096" spans="10:10" x14ac:dyDescent="0.4">
      <c r="J7096" s="140"/>
    </row>
    <row r="7097" spans="10:10" x14ac:dyDescent="0.4">
      <c r="J7097" s="140"/>
    </row>
    <row r="7098" spans="10:10" x14ac:dyDescent="0.4">
      <c r="J7098" s="140"/>
    </row>
    <row r="7099" spans="10:10" x14ac:dyDescent="0.4">
      <c r="J7099" s="140"/>
    </row>
    <row r="7100" spans="10:10" x14ac:dyDescent="0.4">
      <c r="J7100" s="140"/>
    </row>
    <row r="7101" spans="10:10" x14ac:dyDescent="0.4">
      <c r="J7101" s="140"/>
    </row>
    <row r="7102" spans="10:10" x14ac:dyDescent="0.4">
      <c r="J7102" s="140"/>
    </row>
    <row r="7103" spans="10:10" x14ac:dyDescent="0.4">
      <c r="J7103" s="140"/>
    </row>
    <row r="7104" spans="10:10" x14ac:dyDescent="0.4">
      <c r="J7104" s="140"/>
    </row>
    <row r="7105" spans="10:10" x14ac:dyDescent="0.4">
      <c r="J7105" s="140"/>
    </row>
    <row r="7106" spans="10:10" x14ac:dyDescent="0.4">
      <c r="J7106" s="140"/>
    </row>
    <row r="7107" spans="10:10" x14ac:dyDescent="0.4">
      <c r="J7107" s="140"/>
    </row>
    <row r="7108" spans="10:10" x14ac:dyDescent="0.4">
      <c r="J7108" s="140"/>
    </row>
    <row r="7109" spans="10:10" x14ac:dyDescent="0.4">
      <c r="J7109" s="140"/>
    </row>
    <row r="7110" spans="10:10" x14ac:dyDescent="0.4">
      <c r="J7110" s="140"/>
    </row>
    <row r="7111" spans="10:10" x14ac:dyDescent="0.4">
      <c r="J7111" s="140"/>
    </row>
    <row r="7112" spans="10:10" x14ac:dyDescent="0.4">
      <c r="J7112" s="140"/>
    </row>
    <row r="7113" spans="10:10" x14ac:dyDescent="0.4">
      <c r="J7113" s="140"/>
    </row>
    <row r="7114" spans="10:10" x14ac:dyDescent="0.4">
      <c r="J7114" s="140"/>
    </row>
    <row r="7115" spans="10:10" x14ac:dyDescent="0.4">
      <c r="J7115" s="140"/>
    </row>
    <row r="7116" spans="10:10" x14ac:dyDescent="0.4">
      <c r="J7116" s="140"/>
    </row>
    <row r="7117" spans="10:10" x14ac:dyDescent="0.4">
      <c r="J7117" s="140"/>
    </row>
    <row r="7118" spans="10:10" x14ac:dyDescent="0.4">
      <c r="J7118" s="140"/>
    </row>
    <row r="7119" spans="10:10" x14ac:dyDescent="0.4">
      <c r="J7119" s="140"/>
    </row>
    <row r="7120" spans="10:10" x14ac:dyDescent="0.4">
      <c r="J7120" s="140"/>
    </row>
    <row r="7121" spans="10:10" x14ac:dyDescent="0.4">
      <c r="J7121" s="140"/>
    </row>
    <row r="7122" spans="10:10" x14ac:dyDescent="0.4">
      <c r="J7122" s="140"/>
    </row>
    <row r="7123" spans="10:10" x14ac:dyDescent="0.4">
      <c r="J7123" s="140"/>
    </row>
    <row r="7124" spans="10:10" x14ac:dyDescent="0.4">
      <c r="J7124" s="140"/>
    </row>
    <row r="7125" spans="10:10" x14ac:dyDescent="0.4">
      <c r="J7125" s="140"/>
    </row>
    <row r="7126" spans="10:10" x14ac:dyDescent="0.4">
      <c r="J7126" s="140"/>
    </row>
    <row r="7127" spans="10:10" x14ac:dyDescent="0.4">
      <c r="J7127" s="140"/>
    </row>
    <row r="7128" spans="10:10" x14ac:dyDescent="0.4">
      <c r="J7128" s="140"/>
    </row>
    <row r="7129" spans="10:10" x14ac:dyDescent="0.4">
      <c r="J7129" s="140"/>
    </row>
    <row r="7130" spans="10:10" x14ac:dyDescent="0.4">
      <c r="J7130" s="140"/>
    </row>
    <row r="7131" spans="10:10" x14ac:dyDescent="0.4">
      <c r="J7131" s="140"/>
    </row>
    <row r="7132" spans="10:10" x14ac:dyDescent="0.4">
      <c r="J7132" s="140"/>
    </row>
    <row r="7133" spans="10:10" x14ac:dyDescent="0.4">
      <c r="J7133" s="140"/>
    </row>
    <row r="7134" spans="10:10" x14ac:dyDescent="0.4">
      <c r="J7134" s="140"/>
    </row>
    <row r="7135" spans="10:10" x14ac:dyDescent="0.4">
      <c r="J7135" s="140"/>
    </row>
    <row r="7136" spans="10:10" x14ac:dyDescent="0.4">
      <c r="J7136" s="140"/>
    </row>
    <row r="7137" spans="10:10" x14ac:dyDescent="0.4">
      <c r="J7137" s="140"/>
    </row>
    <row r="7138" spans="10:10" x14ac:dyDescent="0.4">
      <c r="J7138" s="140"/>
    </row>
    <row r="7139" spans="10:10" x14ac:dyDescent="0.4">
      <c r="J7139" s="140"/>
    </row>
    <row r="7140" spans="10:10" x14ac:dyDescent="0.4">
      <c r="J7140" s="140"/>
    </row>
    <row r="7141" spans="10:10" x14ac:dyDescent="0.4">
      <c r="J7141" s="140"/>
    </row>
    <row r="7142" spans="10:10" x14ac:dyDescent="0.4">
      <c r="J7142" s="140"/>
    </row>
    <row r="7143" spans="10:10" x14ac:dyDescent="0.4">
      <c r="J7143" s="140"/>
    </row>
    <row r="7144" spans="10:10" x14ac:dyDescent="0.4">
      <c r="J7144" s="140"/>
    </row>
    <row r="7145" spans="10:10" x14ac:dyDescent="0.4">
      <c r="J7145" s="140"/>
    </row>
    <row r="7146" spans="10:10" x14ac:dyDescent="0.4">
      <c r="J7146" s="140"/>
    </row>
    <row r="7147" spans="10:10" x14ac:dyDescent="0.4">
      <c r="J7147" s="140"/>
    </row>
    <row r="7148" spans="10:10" x14ac:dyDescent="0.4">
      <c r="J7148" s="140"/>
    </row>
    <row r="7149" spans="10:10" x14ac:dyDescent="0.4">
      <c r="J7149" s="140"/>
    </row>
    <row r="7150" spans="10:10" x14ac:dyDescent="0.4">
      <c r="J7150" s="140"/>
    </row>
    <row r="7151" spans="10:10" x14ac:dyDescent="0.4">
      <c r="J7151" s="140"/>
    </row>
    <row r="7152" spans="10:10" x14ac:dyDescent="0.4">
      <c r="J7152" s="140"/>
    </row>
    <row r="7153" spans="10:10" x14ac:dyDescent="0.4">
      <c r="J7153" s="140"/>
    </row>
    <row r="7154" spans="10:10" x14ac:dyDescent="0.4">
      <c r="J7154" s="140"/>
    </row>
    <row r="7155" spans="10:10" x14ac:dyDescent="0.4">
      <c r="J7155" s="140"/>
    </row>
    <row r="7156" spans="10:10" x14ac:dyDescent="0.4">
      <c r="J7156" s="140"/>
    </row>
    <row r="7157" spans="10:10" x14ac:dyDescent="0.4">
      <c r="J7157" s="140"/>
    </row>
    <row r="7158" spans="10:10" x14ac:dyDescent="0.4">
      <c r="J7158" s="140"/>
    </row>
    <row r="7159" spans="10:10" x14ac:dyDescent="0.4">
      <c r="J7159" s="140"/>
    </row>
    <row r="7160" spans="10:10" x14ac:dyDescent="0.4">
      <c r="J7160" s="140"/>
    </row>
    <row r="7161" spans="10:10" x14ac:dyDescent="0.4">
      <c r="J7161" s="140"/>
    </row>
    <row r="7162" spans="10:10" x14ac:dyDescent="0.4">
      <c r="J7162" s="140"/>
    </row>
    <row r="7163" spans="10:10" x14ac:dyDescent="0.4">
      <c r="J7163" s="140"/>
    </row>
    <row r="7164" spans="10:10" x14ac:dyDescent="0.4">
      <c r="J7164" s="140"/>
    </row>
    <row r="7165" spans="10:10" x14ac:dyDescent="0.4">
      <c r="J7165" s="140"/>
    </row>
    <row r="7166" spans="10:10" x14ac:dyDescent="0.4">
      <c r="J7166" s="140"/>
    </row>
    <row r="7167" spans="10:10" x14ac:dyDescent="0.4">
      <c r="J7167" s="140"/>
    </row>
    <row r="7168" spans="10:10" x14ac:dyDescent="0.4">
      <c r="J7168" s="140"/>
    </row>
    <row r="7169" spans="10:10" x14ac:dyDescent="0.4">
      <c r="J7169" s="140"/>
    </row>
    <row r="7170" spans="10:10" x14ac:dyDescent="0.4">
      <c r="J7170" s="140"/>
    </row>
    <row r="7171" spans="10:10" x14ac:dyDescent="0.4">
      <c r="J7171" s="140"/>
    </row>
    <row r="7172" spans="10:10" x14ac:dyDescent="0.4">
      <c r="J7172" s="140"/>
    </row>
    <row r="7173" spans="10:10" x14ac:dyDescent="0.4">
      <c r="J7173" s="140"/>
    </row>
    <row r="7174" spans="10:10" x14ac:dyDescent="0.4">
      <c r="J7174" s="140"/>
    </row>
    <row r="7175" spans="10:10" x14ac:dyDescent="0.4">
      <c r="J7175" s="140"/>
    </row>
    <row r="7176" spans="10:10" x14ac:dyDescent="0.4">
      <c r="J7176" s="140"/>
    </row>
    <row r="7177" spans="10:10" x14ac:dyDescent="0.4">
      <c r="J7177" s="140"/>
    </row>
    <row r="7178" spans="10:10" x14ac:dyDescent="0.4">
      <c r="J7178" s="140"/>
    </row>
    <row r="7179" spans="10:10" x14ac:dyDescent="0.4">
      <c r="J7179" s="140"/>
    </row>
    <row r="7180" spans="10:10" x14ac:dyDescent="0.4">
      <c r="J7180" s="140"/>
    </row>
    <row r="7181" spans="10:10" x14ac:dyDescent="0.4">
      <c r="J7181" s="140"/>
    </row>
    <row r="7182" spans="10:10" x14ac:dyDescent="0.4">
      <c r="J7182" s="140"/>
    </row>
    <row r="7183" spans="10:10" x14ac:dyDescent="0.4">
      <c r="J7183" s="140"/>
    </row>
    <row r="7184" spans="10:10" x14ac:dyDescent="0.4">
      <c r="J7184" s="140"/>
    </row>
    <row r="7185" spans="10:10" x14ac:dyDescent="0.4">
      <c r="J7185" s="140"/>
    </row>
    <row r="7186" spans="10:10" x14ac:dyDescent="0.4">
      <c r="J7186" s="140"/>
    </row>
    <row r="7187" spans="10:10" x14ac:dyDescent="0.4">
      <c r="J7187" s="140"/>
    </row>
    <row r="7188" spans="10:10" x14ac:dyDescent="0.4">
      <c r="J7188" s="140"/>
    </row>
    <row r="7189" spans="10:10" x14ac:dyDescent="0.4">
      <c r="J7189" s="140"/>
    </row>
    <row r="7190" spans="10:10" x14ac:dyDescent="0.4">
      <c r="J7190" s="140"/>
    </row>
    <row r="7191" spans="10:10" x14ac:dyDescent="0.4">
      <c r="J7191" s="140"/>
    </row>
    <row r="7192" spans="10:10" x14ac:dyDescent="0.4">
      <c r="J7192" s="140"/>
    </row>
    <row r="7193" spans="10:10" x14ac:dyDescent="0.4">
      <c r="J7193" s="140"/>
    </row>
    <row r="7194" spans="10:10" x14ac:dyDescent="0.4">
      <c r="J7194" s="140"/>
    </row>
    <row r="7195" spans="10:10" x14ac:dyDescent="0.4">
      <c r="J7195" s="140"/>
    </row>
    <row r="7196" spans="10:10" x14ac:dyDescent="0.4">
      <c r="J7196" s="140"/>
    </row>
    <row r="7197" spans="10:10" x14ac:dyDescent="0.4">
      <c r="J7197" s="140"/>
    </row>
    <row r="7198" spans="10:10" x14ac:dyDescent="0.4">
      <c r="J7198" s="140"/>
    </row>
    <row r="7199" spans="10:10" x14ac:dyDescent="0.4">
      <c r="J7199" s="140"/>
    </row>
    <row r="7200" spans="10:10" x14ac:dyDescent="0.4">
      <c r="J7200" s="140"/>
    </row>
    <row r="7201" spans="10:10" x14ac:dyDescent="0.4">
      <c r="J7201" s="140"/>
    </row>
    <row r="7202" spans="10:10" x14ac:dyDescent="0.4">
      <c r="J7202" s="140"/>
    </row>
    <row r="7203" spans="10:10" x14ac:dyDescent="0.4">
      <c r="J7203" s="140"/>
    </row>
    <row r="7204" spans="10:10" x14ac:dyDescent="0.4">
      <c r="J7204" s="140"/>
    </row>
    <row r="7205" spans="10:10" x14ac:dyDescent="0.4">
      <c r="J7205" s="140"/>
    </row>
    <row r="7206" spans="10:10" x14ac:dyDescent="0.4">
      <c r="J7206" s="140"/>
    </row>
    <row r="7207" spans="10:10" x14ac:dyDescent="0.4">
      <c r="J7207" s="140"/>
    </row>
    <row r="7208" spans="10:10" x14ac:dyDescent="0.4">
      <c r="J7208" s="140"/>
    </row>
    <row r="7209" spans="10:10" x14ac:dyDescent="0.4">
      <c r="J7209" s="140"/>
    </row>
    <row r="7210" spans="10:10" x14ac:dyDescent="0.4">
      <c r="J7210" s="140"/>
    </row>
    <row r="7211" spans="10:10" x14ac:dyDescent="0.4">
      <c r="J7211" s="140"/>
    </row>
    <row r="7212" spans="10:10" x14ac:dyDescent="0.4">
      <c r="J7212" s="140"/>
    </row>
    <row r="7213" spans="10:10" x14ac:dyDescent="0.4">
      <c r="J7213" s="140"/>
    </row>
    <row r="7214" spans="10:10" x14ac:dyDescent="0.4">
      <c r="J7214" s="140"/>
    </row>
    <row r="7215" spans="10:10" x14ac:dyDescent="0.4">
      <c r="J7215" s="140"/>
    </row>
    <row r="7216" spans="10:10" x14ac:dyDescent="0.4">
      <c r="J7216" s="140"/>
    </row>
    <row r="7217" spans="10:10" x14ac:dyDescent="0.4">
      <c r="J7217" s="140"/>
    </row>
    <row r="7218" spans="10:10" x14ac:dyDescent="0.4">
      <c r="J7218" s="140"/>
    </row>
    <row r="7219" spans="10:10" x14ac:dyDescent="0.4">
      <c r="J7219" s="140"/>
    </row>
    <row r="7220" spans="10:10" x14ac:dyDescent="0.4">
      <c r="J7220" s="140"/>
    </row>
    <row r="7221" spans="10:10" x14ac:dyDescent="0.4">
      <c r="J7221" s="140"/>
    </row>
    <row r="7222" spans="10:10" x14ac:dyDescent="0.4">
      <c r="J7222" s="140"/>
    </row>
    <row r="7223" spans="10:10" x14ac:dyDescent="0.4">
      <c r="J7223" s="140"/>
    </row>
    <row r="7224" spans="10:10" x14ac:dyDescent="0.4">
      <c r="J7224" s="140"/>
    </row>
    <row r="7225" spans="10:10" x14ac:dyDescent="0.4">
      <c r="J7225" s="140"/>
    </row>
    <row r="7226" spans="10:10" x14ac:dyDescent="0.4">
      <c r="J7226" s="140"/>
    </row>
    <row r="7227" spans="10:10" x14ac:dyDescent="0.4">
      <c r="J7227" s="140"/>
    </row>
    <row r="7228" spans="10:10" x14ac:dyDescent="0.4">
      <c r="J7228" s="140"/>
    </row>
    <row r="7229" spans="10:10" x14ac:dyDescent="0.4">
      <c r="J7229" s="140"/>
    </row>
    <row r="7230" spans="10:10" x14ac:dyDescent="0.4">
      <c r="J7230" s="140"/>
    </row>
    <row r="7231" spans="10:10" x14ac:dyDescent="0.4">
      <c r="J7231" s="140"/>
    </row>
    <row r="7232" spans="10:10" x14ac:dyDescent="0.4">
      <c r="J7232" s="140"/>
    </row>
    <row r="7233" spans="10:10" x14ac:dyDescent="0.4">
      <c r="J7233" s="140"/>
    </row>
    <row r="7234" spans="10:10" x14ac:dyDescent="0.4">
      <c r="J7234" s="140"/>
    </row>
    <row r="7235" spans="10:10" x14ac:dyDescent="0.4">
      <c r="J7235" s="140"/>
    </row>
    <row r="7236" spans="10:10" x14ac:dyDescent="0.4">
      <c r="J7236" s="140"/>
    </row>
    <row r="7237" spans="10:10" x14ac:dyDescent="0.4">
      <c r="J7237" s="140"/>
    </row>
    <row r="7238" spans="10:10" x14ac:dyDescent="0.4">
      <c r="J7238" s="140"/>
    </row>
    <row r="7239" spans="10:10" x14ac:dyDescent="0.4">
      <c r="J7239" s="140"/>
    </row>
    <row r="7240" spans="10:10" x14ac:dyDescent="0.4">
      <c r="J7240" s="140"/>
    </row>
    <row r="7241" spans="10:10" x14ac:dyDescent="0.4">
      <c r="J7241" s="140"/>
    </row>
    <row r="7242" spans="10:10" x14ac:dyDescent="0.4">
      <c r="J7242" s="140"/>
    </row>
    <row r="7243" spans="10:10" x14ac:dyDescent="0.4">
      <c r="J7243" s="140"/>
    </row>
    <row r="7244" spans="10:10" x14ac:dyDescent="0.4">
      <c r="J7244" s="140"/>
    </row>
    <row r="7245" spans="10:10" x14ac:dyDescent="0.4">
      <c r="J7245" s="140"/>
    </row>
    <row r="7246" spans="10:10" x14ac:dyDescent="0.4">
      <c r="J7246" s="140"/>
    </row>
    <row r="7247" spans="10:10" x14ac:dyDescent="0.4">
      <c r="J7247" s="140"/>
    </row>
    <row r="7248" spans="10:10" x14ac:dyDescent="0.4">
      <c r="J7248" s="140"/>
    </row>
    <row r="7249" spans="10:10" x14ac:dyDescent="0.4">
      <c r="J7249" s="140"/>
    </row>
    <row r="7250" spans="10:10" x14ac:dyDescent="0.4">
      <c r="J7250" s="140"/>
    </row>
    <row r="7251" spans="10:10" x14ac:dyDescent="0.4">
      <c r="J7251" s="140"/>
    </row>
    <row r="7252" spans="10:10" x14ac:dyDescent="0.4">
      <c r="J7252" s="140"/>
    </row>
    <row r="7253" spans="10:10" x14ac:dyDescent="0.4">
      <c r="J7253" s="140"/>
    </row>
    <row r="7254" spans="10:10" x14ac:dyDescent="0.4">
      <c r="J7254" s="140"/>
    </row>
    <row r="7255" spans="10:10" x14ac:dyDescent="0.4">
      <c r="J7255" s="140"/>
    </row>
    <row r="7256" spans="10:10" x14ac:dyDescent="0.4">
      <c r="J7256" s="140"/>
    </row>
    <row r="7257" spans="10:10" x14ac:dyDescent="0.4">
      <c r="J7257" s="140"/>
    </row>
    <row r="7258" spans="10:10" x14ac:dyDescent="0.4">
      <c r="J7258" s="140"/>
    </row>
    <row r="7259" spans="10:10" x14ac:dyDescent="0.4">
      <c r="J7259" s="140"/>
    </row>
    <row r="7260" spans="10:10" x14ac:dyDescent="0.4">
      <c r="J7260" s="140"/>
    </row>
    <row r="7261" spans="10:10" x14ac:dyDescent="0.4">
      <c r="J7261" s="140"/>
    </row>
    <row r="7262" spans="10:10" x14ac:dyDescent="0.4">
      <c r="J7262" s="140"/>
    </row>
    <row r="7263" spans="10:10" x14ac:dyDescent="0.4">
      <c r="J7263" s="140"/>
    </row>
    <row r="7264" spans="10:10" x14ac:dyDescent="0.4">
      <c r="J7264" s="140"/>
    </row>
    <row r="7265" spans="10:10" x14ac:dyDescent="0.4">
      <c r="J7265" s="140"/>
    </row>
    <row r="7266" spans="10:10" x14ac:dyDescent="0.4">
      <c r="J7266" s="140"/>
    </row>
    <row r="7267" spans="10:10" x14ac:dyDescent="0.4">
      <c r="J7267" s="140"/>
    </row>
    <row r="7268" spans="10:10" x14ac:dyDescent="0.4">
      <c r="J7268" s="140"/>
    </row>
    <row r="7269" spans="10:10" x14ac:dyDescent="0.4">
      <c r="J7269" s="140"/>
    </row>
    <row r="7270" spans="10:10" x14ac:dyDescent="0.4">
      <c r="J7270" s="140"/>
    </row>
    <row r="7271" spans="10:10" x14ac:dyDescent="0.4">
      <c r="J7271" s="140"/>
    </row>
    <row r="7272" spans="10:10" x14ac:dyDescent="0.4">
      <c r="J7272" s="140"/>
    </row>
    <row r="7273" spans="10:10" x14ac:dyDescent="0.4">
      <c r="J7273" s="140"/>
    </row>
    <row r="7274" spans="10:10" x14ac:dyDescent="0.4">
      <c r="J7274" s="140"/>
    </row>
    <row r="7275" spans="10:10" x14ac:dyDescent="0.4">
      <c r="J7275" s="140"/>
    </row>
    <row r="7276" spans="10:10" x14ac:dyDescent="0.4">
      <c r="J7276" s="140"/>
    </row>
    <row r="7277" spans="10:10" x14ac:dyDescent="0.4">
      <c r="J7277" s="140"/>
    </row>
    <row r="7278" spans="10:10" x14ac:dyDescent="0.4">
      <c r="J7278" s="140"/>
    </row>
    <row r="7279" spans="10:10" x14ac:dyDescent="0.4">
      <c r="J7279" s="140"/>
    </row>
    <row r="7280" spans="10:10" x14ac:dyDescent="0.4">
      <c r="J7280" s="140"/>
    </row>
    <row r="7281" spans="10:10" x14ac:dyDescent="0.4">
      <c r="J7281" s="140"/>
    </row>
    <row r="7282" spans="10:10" x14ac:dyDescent="0.4">
      <c r="J7282" s="140"/>
    </row>
    <row r="7283" spans="10:10" x14ac:dyDescent="0.4">
      <c r="J7283" s="140"/>
    </row>
    <row r="7284" spans="10:10" x14ac:dyDescent="0.4">
      <c r="J7284" s="140"/>
    </row>
    <row r="7285" spans="10:10" x14ac:dyDescent="0.4">
      <c r="J7285" s="140"/>
    </row>
    <row r="7286" spans="10:10" x14ac:dyDescent="0.4">
      <c r="J7286" s="140"/>
    </row>
    <row r="7287" spans="10:10" x14ac:dyDescent="0.4">
      <c r="J7287" s="140"/>
    </row>
    <row r="7288" spans="10:10" x14ac:dyDescent="0.4">
      <c r="J7288" s="140"/>
    </row>
    <row r="7289" spans="10:10" x14ac:dyDescent="0.4">
      <c r="J7289" s="140"/>
    </row>
    <row r="7290" spans="10:10" x14ac:dyDescent="0.4">
      <c r="J7290" s="140"/>
    </row>
    <row r="7291" spans="10:10" x14ac:dyDescent="0.4">
      <c r="J7291" s="140"/>
    </row>
    <row r="7292" spans="10:10" x14ac:dyDescent="0.4">
      <c r="J7292" s="140"/>
    </row>
    <row r="7293" spans="10:10" x14ac:dyDescent="0.4">
      <c r="J7293" s="140"/>
    </row>
    <row r="7294" spans="10:10" x14ac:dyDescent="0.4">
      <c r="J7294" s="140"/>
    </row>
    <row r="7295" spans="10:10" x14ac:dyDescent="0.4">
      <c r="J7295" s="140"/>
    </row>
    <row r="7296" spans="10:10" x14ac:dyDescent="0.4">
      <c r="J7296" s="140"/>
    </row>
    <row r="7297" spans="10:10" x14ac:dyDescent="0.4">
      <c r="J7297" s="140"/>
    </row>
    <row r="7298" spans="10:10" x14ac:dyDescent="0.4">
      <c r="J7298" s="140"/>
    </row>
    <row r="7299" spans="10:10" x14ac:dyDescent="0.4">
      <c r="J7299" s="140"/>
    </row>
    <row r="7300" spans="10:10" x14ac:dyDescent="0.4">
      <c r="J7300" s="140"/>
    </row>
    <row r="7301" spans="10:10" x14ac:dyDescent="0.4">
      <c r="J7301" s="140"/>
    </row>
    <row r="7302" spans="10:10" x14ac:dyDescent="0.4">
      <c r="J7302" s="140"/>
    </row>
    <row r="7303" spans="10:10" x14ac:dyDescent="0.4">
      <c r="J7303" s="140"/>
    </row>
    <row r="7304" spans="10:10" x14ac:dyDescent="0.4">
      <c r="J7304" s="140"/>
    </row>
    <row r="7305" spans="10:10" x14ac:dyDescent="0.4">
      <c r="J7305" s="140"/>
    </row>
    <row r="7306" spans="10:10" x14ac:dyDescent="0.4">
      <c r="J7306" s="140"/>
    </row>
    <row r="7307" spans="10:10" x14ac:dyDescent="0.4">
      <c r="J7307" s="140"/>
    </row>
    <row r="7308" spans="10:10" x14ac:dyDescent="0.4">
      <c r="J7308" s="140"/>
    </row>
    <row r="7309" spans="10:10" x14ac:dyDescent="0.4">
      <c r="J7309" s="140"/>
    </row>
    <row r="7310" spans="10:10" x14ac:dyDescent="0.4">
      <c r="J7310" s="140"/>
    </row>
  </sheetData>
  <pageMargins left="0.7" right="0.7" top="0.75" bottom="0.75" header="0.3" footer="0.3"/>
  <pageSetup orientation="portrait" r:id="rId1"/>
  <drawing r:id="rId2"/>
  <legacyDrawing r:id="rId3"/>
  <controls>
    <mc:AlternateContent xmlns:mc="http://schemas.openxmlformats.org/markup-compatibility/2006">
      <mc:Choice Requires="x14">
        <control shapeId="98308" r:id="rId4" name="cmdWriteWnd">
          <controlPr defaultSize="0" autoLine="0" r:id="rId5">
            <anchor moveWithCells="1">
              <from>
                <xdr:col>7</xdr:col>
                <xdr:colOff>522514</xdr:colOff>
                <xdr:row>0</xdr:row>
                <xdr:rowOff>255814</xdr:rowOff>
              </from>
              <to>
                <xdr:col>8</xdr:col>
                <xdr:colOff>729343</xdr:colOff>
                <xdr:row>2</xdr:row>
                <xdr:rowOff>10886</xdr:rowOff>
              </to>
            </anchor>
          </controlPr>
        </control>
      </mc:Choice>
      <mc:Fallback>
        <control shapeId="98308" r:id="rId4" name="cmdWriteWnd"/>
      </mc:Fallback>
    </mc:AlternateContent>
    <mc:AlternateContent xmlns:mc="http://schemas.openxmlformats.org/markup-compatibility/2006">
      <mc:Choice Requires="x14">
        <control shapeId="98307" r:id="rId6" name="cmdGetWnd">
          <controlPr defaultSize="0" autoLine="0" r:id="rId7">
            <anchor moveWithCells="1">
              <from>
                <xdr:col>5</xdr:col>
                <xdr:colOff>65314</xdr:colOff>
                <xdr:row>0</xdr:row>
                <xdr:rowOff>255814</xdr:rowOff>
              </from>
              <to>
                <xdr:col>6</xdr:col>
                <xdr:colOff>244929</xdr:colOff>
                <xdr:row>2</xdr:row>
                <xdr:rowOff>0</xdr:rowOff>
              </to>
            </anchor>
          </controlPr>
        </control>
      </mc:Choice>
      <mc:Fallback>
        <control shapeId="98307" r:id="rId6" name="cmdGetWnd"/>
      </mc:Fallback>
    </mc:AlternateContent>
    <mc:AlternateContent xmlns:mc="http://schemas.openxmlformats.org/markup-compatibility/2006">
      <mc:Choice Requires="x14">
        <control shapeId="98306" r:id="rId8" name="cmbBoxWnd">
          <controlPr defaultSize="0" autoLine="0" linkedCell="B2" r:id="rId9">
            <anchor moveWithCells="1">
              <from>
                <xdr:col>1</xdr:col>
                <xdr:colOff>10886</xdr:colOff>
                <xdr:row>1</xdr:row>
                <xdr:rowOff>10886</xdr:rowOff>
              </from>
              <to>
                <xdr:col>2</xdr:col>
                <xdr:colOff>631371</xdr:colOff>
                <xdr:row>1</xdr:row>
                <xdr:rowOff>239486</xdr:rowOff>
              </to>
            </anchor>
          </controlPr>
        </control>
      </mc:Choice>
      <mc:Fallback>
        <control shapeId="98306" r:id="rId8" name="cmbBoxWnd"/>
      </mc:Fallback>
    </mc:AlternateContent>
    <mc:AlternateContent xmlns:mc="http://schemas.openxmlformats.org/markup-compatibility/2006">
      <mc:Choice Requires="x14">
        <control shapeId="98305" r:id="rId10" name="cmdReadWnd">
          <controlPr defaultSize="0" autoLine="0" r:id="rId11">
            <anchor moveWithCells="1">
              <from>
                <xdr:col>6</xdr:col>
                <xdr:colOff>315686</xdr:colOff>
                <xdr:row>0</xdr:row>
                <xdr:rowOff>255814</xdr:rowOff>
              </from>
              <to>
                <xdr:col>7</xdr:col>
                <xdr:colOff>522514</xdr:colOff>
                <xdr:row>2</xdr:row>
                <xdr:rowOff>10886</xdr:rowOff>
              </to>
            </anchor>
          </controlPr>
        </control>
      </mc:Choice>
      <mc:Fallback>
        <control shapeId="98305" r:id="rId10" name="cmdReadWnd"/>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4"/>
  <sheetViews>
    <sheetView workbookViewId="0">
      <pane ySplit="4" topLeftCell="A5" activePane="bottomLeft" state="frozen"/>
      <selection pane="bottomLeft"/>
    </sheetView>
  </sheetViews>
  <sheetFormatPr defaultRowHeight="14.6" x14ac:dyDescent="0.4"/>
  <cols>
    <col min="1" max="1" width="12.53515625" customWidth="1"/>
    <col min="2" max="2" width="14.69140625" style="6" customWidth="1"/>
    <col min="3" max="3" width="74" customWidth="1"/>
  </cols>
  <sheetData>
    <row r="1" spans="1:6" ht="20.6" x14ac:dyDescent="0.4">
      <c r="A1" s="94" t="s">
        <v>1291</v>
      </c>
      <c r="B1"/>
    </row>
    <row r="2" spans="1:6" x14ac:dyDescent="0.4">
      <c r="A2" s="5" t="s">
        <v>900</v>
      </c>
      <c r="B2"/>
      <c r="C2" s="73" t="s">
        <v>901</v>
      </c>
    </row>
    <row r="3" spans="1:6" x14ac:dyDescent="0.4">
      <c r="A3" s="69" t="s">
        <v>1610</v>
      </c>
      <c r="B3"/>
    </row>
    <row r="4" spans="1:6" s="7" customFormat="1" x14ac:dyDescent="0.4">
      <c r="A4" s="63" t="s">
        <v>659</v>
      </c>
      <c r="B4" s="63" t="s">
        <v>660</v>
      </c>
      <c r="C4" s="63" t="s">
        <v>1305</v>
      </c>
      <c r="D4" s="63"/>
      <c r="F4" s="139"/>
    </row>
  </sheetData>
  <pageMargins left="0.7" right="0.7" top="0.75" bottom="0.75" header="0.3" footer="0.3"/>
  <pageSetup orientation="portrait" r:id="rId1"/>
  <drawing r:id="rId2"/>
  <legacyDrawing r:id="rId3"/>
  <controls>
    <mc:AlternateContent xmlns:mc="http://schemas.openxmlformats.org/markup-compatibility/2006">
      <mc:Choice Requires="x14">
        <control shapeId="93186" r:id="rId4" name="cmdWriteSite">
          <controlPr defaultSize="0" autoLine="0" r:id="rId5">
            <anchor moveWithCells="1">
              <from>
                <xdr:col>2</xdr:col>
                <xdr:colOff>3913414</xdr:colOff>
                <xdr:row>0</xdr:row>
                <xdr:rowOff>65314</xdr:rowOff>
              </from>
              <to>
                <xdr:col>2</xdr:col>
                <xdr:colOff>4931229</xdr:colOff>
                <xdr:row>1</xdr:row>
                <xdr:rowOff>130629</xdr:rowOff>
              </to>
            </anchor>
          </controlPr>
        </control>
      </mc:Choice>
      <mc:Fallback>
        <control shapeId="93186" r:id="rId4" name="cmdWriteSite"/>
      </mc:Fallback>
    </mc:AlternateContent>
    <mc:AlternateContent xmlns:mc="http://schemas.openxmlformats.org/markup-compatibility/2006">
      <mc:Choice Requires="x14">
        <control shapeId="93185" r:id="rId6" name="cmdReadSite">
          <controlPr defaultSize="0" autoLine="0" r:id="rId7">
            <anchor moveWithCells="1">
              <from>
                <xdr:col>2</xdr:col>
                <xdr:colOff>2857500</xdr:colOff>
                <xdr:row>0</xdr:row>
                <xdr:rowOff>65314</xdr:rowOff>
              </from>
              <to>
                <xdr:col>2</xdr:col>
                <xdr:colOff>3875314</xdr:colOff>
                <xdr:row>1</xdr:row>
                <xdr:rowOff>130629</xdr:rowOff>
              </to>
            </anchor>
          </controlPr>
        </control>
      </mc:Choice>
      <mc:Fallback>
        <control shapeId="93185" r:id="rId6" name="cmdReadSite"/>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C4"/>
  <sheetViews>
    <sheetView workbookViewId="0">
      <pane ySplit="4" topLeftCell="A5" activePane="bottomLeft" state="frozen"/>
      <selection pane="bottomLeft"/>
    </sheetView>
  </sheetViews>
  <sheetFormatPr defaultRowHeight="14.6" x14ac:dyDescent="0.4"/>
  <cols>
    <col min="1" max="1" width="12.53515625" customWidth="1"/>
    <col min="2" max="2" width="25.53515625" style="6" customWidth="1"/>
    <col min="3" max="3" width="74" customWidth="1"/>
  </cols>
  <sheetData>
    <row r="1" spans="1:3" ht="20.6" x14ac:dyDescent="0.4">
      <c r="A1" s="94" t="s">
        <v>1295</v>
      </c>
      <c r="B1"/>
    </row>
    <row r="2" spans="1:3" x14ac:dyDescent="0.4">
      <c r="A2" s="5" t="s">
        <v>900</v>
      </c>
      <c r="B2"/>
      <c r="C2" s="73" t="s">
        <v>901</v>
      </c>
    </row>
    <row r="3" spans="1:3" x14ac:dyDescent="0.4">
      <c r="A3" s="69" t="s">
        <v>1610</v>
      </c>
      <c r="B3"/>
    </row>
    <row r="4" spans="1:3" s="7" customFormat="1" x14ac:dyDescent="0.4">
      <c r="A4" s="63" t="s">
        <v>659</v>
      </c>
      <c r="B4" s="63" t="s">
        <v>660</v>
      </c>
      <c r="C4" s="63" t="s">
        <v>1305</v>
      </c>
    </row>
  </sheetData>
  <pageMargins left="0.7" right="0.7" top="0.75" bottom="0.75" header="0.3" footer="0.3"/>
  <pageSetup orientation="portrait" r:id="rId1"/>
  <drawing r:id="rId2"/>
  <legacyDrawing r:id="rId3"/>
  <controls>
    <mc:AlternateContent xmlns:mc="http://schemas.openxmlformats.org/markup-compatibility/2006">
      <mc:Choice Requires="x14">
        <control shapeId="73730" r:id="rId4" name="cmdWriteOpsc">
          <controlPr defaultSize="0" autoLine="0" r:id="rId5">
            <anchor moveWithCells="1">
              <from>
                <xdr:col>2</xdr:col>
                <xdr:colOff>3913414</xdr:colOff>
                <xdr:row>0</xdr:row>
                <xdr:rowOff>65314</xdr:rowOff>
              </from>
              <to>
                <xdr:col>2</xdr:col>
                <xdr:colOff>4931229</xdr:colOff>
                <xdr:row>1</xdr:row>
                <xdr:rowOff>130629</xdr:rowOff>
              </to>
            </anchor>
          </controlPr>
        </control>
      </mc:Choice>
      <mc:Fallback>
        <control shapeId="73730" r:id="rId4" name="cmdWriteOpsc"/>
      </mc:Fallback>
    </mc:AlternateContent>
    <mc:AlternateContent xmlns:mc="http://schemas.openxmlformats.org/markup-compatibility/2006">
      <mc:Choice Requires="x14">
        <control shapeId="73729" r:id="rId6" name="cmdReadOpsc">
          <controlPr defaultSize="0" autoLine="0" r:id="rId7">
            <anchor moveWithCells="1">
              <from>
                <xdr:col>2</xdr:col>
                <xdr:colOff>2857500</xdr:colOff>
                <xdr:row>0</xdr:row>
                <xdr:rowOff>65314</xdr:rowOff>
              </from>
              <to>
                <xdr:col>2</xdr:col>
                <xdr:colOff>3875314</xdr:colOff>
                <xdr:row>1</xdr:row>
                <xdr:rowOff>130629</xdr:rowOff>
              </to>
            </anchor>
          </controlPr>
        </control>
      </mc:Choice>
      <mc:Fallback>
        <control shapeId="73729" r:id="rId6" name="cmdReadOpsc"/>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D1758"/>
  <sheetViews>
    <sheetView workbookViewId="0">
      <pane ySplit="4" topLeftCell="A5" activePane="bottomLeft" state="frozen"/>
      <selection pane="bottomLeft"/>
    </sheetView>
  </sheetViews>
  <sheetFormatPr defaultRowHeight="14.6" x14ac:dyDescent="0.4"/>
  <cols>
    <col min="1" max="1" width="12.53515625" customWidth="1"/>
    <col min="2" max="2" width="14.69140625" style="6" customWidth="1"/>
    <col min="3" max="3" width="74" customWidth="1"/>
  </cols>
  <sheetData>
    <row r="1" spans="1:4" ht="20.6" x14ac:dyDescent="0.4">
      <c r="A1" s="94" t="s">
        <v>1294</v>
      </c>
      <c r="B1"/>
    </row>
    <row r="2" spans="1:4" x14ac:dyDescent="0.4">
      <c r="A2" s="5" t="s">
        <v>900</v>
      </c>
      <c r="B2"/>
      <c r="C2" s="73" t="s">
        <v>901</v>
      </c>
    </row>
    <row r="3" spans="1:4" x14ac:dyDescent="0.4">
      <c r="A3" s="69" t="s">
        <v>1610</v>
      </c>
      <c r="B3"/>
    </row>
    <row r="4" spans="1:4" s="7" customFormat="1" x14ac:dyDescent="0.4">
      <c r="A4" s="63" t="s">
        <v>659</v>
      </c>
      <c r="B4" s="63" t="s">
        <v>660</v>
      </c>
      <c r="C4" s="63" t="s">
        <v>1305</v>
      </c>
      <c r="D4" s="63"/>
    </row>
    <row r="277" spans="4:4" x14ac:dyDescent="0.4">
      <c r="D277" s="190"/>
    </row>
    <row r="358" spans="4:4" x14ac:dyDescent="0.4">
      <c r="D358" s="190"/>
    </row>
    <row r="453" spans="4:4" x14ac:dyDescent="0.4">
      <c r="D453" s="190"/>
    </row>
    <row r="462" spans="4:4" x14ac:dyDescent="0.4">
      <c r="D462" s="190"/>
    </row>
    <row r="504" spans="4:4" x14ac:dyDescent="0.4">
      <c r="D504" s="190"/>
    </row>
    <row r="638" spans="4:4" x14ac:dyDescent="0.4">
      <c r="D638" s="190"/>
    </row>
    <row r="644" spans="4:4" x14ac:dyDescent="0.4">
      <c r="D644" s="190"/>
    </row>
    <row r="645" spans="4:4" x14ac:dyDescent="0.4">
      <c r="D645" s="190"/>
    </row>
    <row r="651" spans="4:4" x14ac:dyDescent="0.4">
      <c r="D651" s="190"/>
    </row>
    <row r="652" spans="4:4" x14ac:dyDescent="0.4">
      <c r="D652" s="190"/>
    </row>
    <row r="662" spans="4:4" x14ac:dyDescent="0.4">
      <c r="D662" s="190"/>
    </row>
    <row r="663" spans="4:4" x14ac:dyDescent="0.4">
      <c r="D663" s="190"/>
    </row>
    <row r="681" spans="4:4" x14ac:dyDescent="0.4">
      <c r="D681" s="190"/>
    </row>
    <row r="705" spans="4:4" x14ac:dyDescent="0.4">
      <c r="D705" s="190"/>
    </row>
    <row r="718" spans="4:4" x14ac:dyDescent="0.4">
      <c r="D718" s="190"/>
    </row>
    <row r="791" spans="4:4" x14ac:dyDescent="0.4">
      <c r="D791" s="190"/>
    </row>
    <row r="799" spans="4:4" x14ac:dyDescent="0.4">
      <c r="D799" s="190"/>
    </row>
    <row r="800" spans="4:4" x14ac:dyDescent="0.4">
      <c r="D800" s="190"/>
    </row>
    <row r="823" spans="4:4" x14ac:dyDescent="0.4">
      <c r="D823" s="190"/>
    </row>
    <row r="856" spans="4:4" x14ac:dyDescent="0.4">
      <c r="D856" s="190"/>
    </row>
    <row r="857" spans="4:4" x14ac:dyDescent="0.4">
      <c r="D857" s="190"/>
    </row>
    <row r="888" spans="4:4" x14ac:dyDescent="0.4">
      <c r="D888" s="190"/>
    </row>
    <row r="894" spans="4:4" x14ac:dyDescent="0.4">
      <c r="D894" s="190"/>
    </row>
    <row r="926" spans="4:4" x14ac:dyDescent="0.4">
      <c r="D926" s="190"/>
    </row>
    <row r="930" spans="4:4" x14ac:dyDescent="0.4">
      <c r="D930" s="190"/>
    </row>
    <row r="935" spans="4:4" x14ac:dyDescent="0.4">
      <c r="D935" s="190"/>
    </row>
    <row r="936" spans="4:4" x14ac:dyDescent="0.4">
      <c r="D936" s="190"/>
    </row>
    <row r="946" spans="4:4" x14ac:dyDescent="0.4">
      <c r="D946" s="190"/>
    </row>
    <row r="947" spans="4:4" x14ac:dyDescent="0.4">
      <c r="D947" s="190"/>
    </row>
    <row r="994" spans="4:4" x14ac:dyDescent="0.4">
      <c r="D994" s="190"/>
    </row>
    <row r="1117" spans="4:4" x14ac:dyDescent="0.4">
      <c r="D1117" s="190"/>
    </row>
    <row r="1208" spans="4:4" x14ac:dyDescent="0.4">
      <c r="D1208" s="190"/>
    </row>
    <row r="1488" spans="4:4" x14ac:dyDescent="0.4">
      <c r="D1488" s="190"/>
    </row>
    <row r="1499" spans="4:4" x14ac:dyDescent="0.4">
      <c r="D1499" s="190"/>
    </row>
    <row r="1723" spans="4:4" x14ac:dyDescent="0.4">
      <c r="D1723" s="190"/>
    </row>
    <row r="1758" spans="4:4" x14ac:dyDescent="0.4">
      <c r="D1758" s="190"/>
    </row>
  </sheetData>
  <pageMargins left="0.7" right="0.7" top="0.75" bottom="0.75" header="0.3" footer="0.3"/>
  <drawing r:id="rId1"/>
  <legacyDrawing r:id="rId2"/>
  <controls>
    <mc:AlternateContent xmlns:mc="http://schemas.openxmlformats.org/markup-compatibility/2006">
      <mc:Choice Requires="x14">
        <control shapeId="82946" r:id="rId3" name="cmdWriteSolc">
          <controlPr defaultSize="0" autoLine="0" r:id="rId4">
            <anchor moveWithCells="1">
              <from>
                <xdr:col>2</xdr:col>
                <xdr:colOff>3913414</xdr:colOff>
                <xdr:row>0</xdr:row>
                <xdr:rowOff>65314</xdr:rowOff>
              </from>
              <to>
                <xdr:col>2</xdr:col>
                <xdr:colOff>4931229</xdr:colOff>
                <xdr:row>1</xdr:row>
                <xdr:rowOff>130629</xdr:rowOff>
              </to>
            </anchor>
          </controlPr>
        </control>
      </mc:Choice>
      <mc:Fallback>
        <control shapeId="82946" r:id="rId3" name="cmdWriteSolc"/>
      </mc:Fallback>
    </mc:AlternateContent>
    <mc:AlternateContent xmlns:mc="http://schemas.openxmlformats.org/markup-compatibility/2006">
      <mc:Choice Requires="x14">
        <control shapeId="82945" r:id="rId5" name="cmdReadSolc">
          <controlPr defaultSize="0" autoLine="0" r:id="rId6">
            <anchor moveWithCells="1">
              <from>
                <xdr:col>2</xdr:col>
                <xdr:colOff>2857500</xdr:colOff>
                <xdr:row>0</xdr:row>
                <xdr:rowOff>65314</xdr:rowOff>
              </from>
              <to>
                <xdr:col>2</xdr:col>
                <xdr:colOff>3875314</xdr:colOff>
                <xdr:row>1</xdr:row>
                <xdr:rowOff>130629</xdr:rowOff>
              </to>
            </anchor>
          </controlPr>
        </control>
      </mc:Choice>
      <mc:Fallback>
        <control shapeId="82945" r:id="rId5" name="cmdReadSolc"/>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F4"/>
  <sheetViews>
    <sheetView workbookViewId="0">
      <pane ySplit="4" topLeftCell="A5" activePane="bottomLeft" state="frozen"/>
      <selection pane="bottomLeft"/>
    </sheetView>
  </sheetViews>
  <sheetFormatPr defaultRowHeight="14.6" x14ac:dyDescent="0.4"/>
  <cols>
    <col min="1" max="1" width="12.3046875" customWidth="1"/>
    <col min="2" max="2" width="17.15234375" customWidth="1"/>
    <col min="3" max="5" width="9.69140625" customWidth="1"/>
    <col min="6" max="6" width="21.53515625" bestFit="1" customWidth="1"/>
  </cols>
  <sheetData>
    <row r="1" spans="1:6" ht="20.6" x14ac:dyDescent="0.4">
      <c r="A1" s="94" t="s">
        <v>894</v>
      </c>
    </row>
    <row r="2" spans="1:6" x14ac:dyDescent="0.4">
      <c r="A2" s="5" t="s">
        <v>900</v>
      </c>
      <c r="C2" s="73" t="s">
        <v>901</v>
      </c>
    </row>
    <row r="3" spans="1:6" x14ac:dyDescent="0.4">
      <c r="A3" s="69" t="s">
        <v>1610</v>
      </c>
    </row>
    <row r="4" spans="1:6" s="7" customFormat="1" x14ac:dyDescent="0.4">
      <c r="A4" s="63" t="s">
        <v>659</v>
      </c>
      <c r="B4" s="63" t="s">
        <v>660</v>
      </c>
      <c r="C4" s="63" t="s">
        <v>760</v>
      </c>
      <c r="D4" s="63" t="s">
        <v>759</v>
      </c>
      <c r="E4" s="235" t="s">
        <v>982</v>
      </c>
      <c r="F4" s="235"/>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7649" r:id="rId3" name="cmdReadWtr">
          <controlPr defaultSize="0" autoLine="0" r:id="rId4">
            <anchor moveWithCells="1">
              <from>
                <xdr:col>5</xdr:col>
                <xdr:colOff>631371</xdr:colOff>
                <xdr:row>0</xdr:row>
                <xdr:rowOff>76200</xdr:rowOff>
              </from>
              <to>
                <xdr:col>6</xdr:col>
                <xdr:colOff>125186</xdr:colOff>
                <xdr:row>1</xdr:row>
                <xdr:rowOff>130629</xdr:rowOff>
              </to>
            </anchor>
          </controlPr>
        </control>
      </mc:Choice>
      <mc:Fallback>
        <control shapeId="27649" r:id="rId3" name="cmdReadWtr"/>
      </mc:Fallback>
    </mc:AlternateContent>
    <mc:AlternateContent xmlns:mc="http://schemas.openxmlformats.org/markup-compatibility/2006">
      <mc:Choice Requires="x14">
        <control shapeId="27650" r:id="rId5" name="cmdWriteWtr">
          <controlPr defaultSize="0" autoLine="0" r:id="rId6">
            <anchor moveWithCells="1">
              <from>
                <xdr:col>6</xdr:col>
                <xdr:colOff>255814</xdr:colOff>
                <xdr:row>0</xdr:row>
                <xdr:rowOff>65314</xdr:rowOff>
              </from>
              <to>
                <xdr:col>7</xdr:col>
                <xdr:colOff>620486</xdr:colOff>
                <xdr:row>1</xdr:row>
                <xdr:rowOff>114300</xdr:rowOff>
              </to>
            </anchor>
          </controlPr>
        </control>
      </mc:Choice>
      <mc:Fallback>
        <control shapeId="27650" r:id="rId5" name="cmdWriteWtr"/>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F4"/>
  <sheetViews>
    <sheetView workbookViewId="0">
      <pane ySplit="4" topLeftCell="A5" activePane="bottomLeft" state="frozen"/>
      <selection pane="bottomLeft"/>
    </sheetView>
  </sheetViews>
  <sheetFormatPr defaultRowHeight="14.6" x14ac:dyDescent="0.4"/>
  <cols>
    <col min="1" max="1" width="12.15234375" customWidth="1"/>
    <col min="2" max="2" width="17" customWidth="1"/>
    <col min="3" max="5" width="9.69140625" customWidth="1"/>
    <col min="6" max="6" width="22.53515625" bestFit="1" customWidth="1"/>
  </cols>
  <sheetData>
    <row r="1" spans="1:6" ht="20.6" x14ac:dyDescent="0.4">
      <c r="A1" s="94" t="s">
        <v>1293</v>
      </c>
    </row>
    <row r="2" spans="1:6" x14ac:dyDescent="0.4">
      <c r="A2" s="5" t="s">
        <v>900</v>
      </c>
      <c r="C2" s="73" t="s">
        <v>901</v>
      </c>
    </row>
    <row r="3" spans="1:6" x14ac:dyDescent="0.4">
      <c r="A3" s="69" t="s">
        <v>1610</v>
      </c>
    </row>
    <row r="4" spans="1:6" s="7" customFormat="1" x14ac:dyDescent="0.4">
      <c r="A4" s="63" t="s">
        <v>659</v>
      </c>
      <c r="B4" s="63" t="s">
        <v>660</v>
      </c>
      <c r="C4" s="63" t="s">
        <v>760</v>
      </c>
      <c r="D4" s="63" t="s">
        <v>759</v>
      </c>
      <c r="E4" s="235" t="s">
        <v>982</v>
      </c>
      <c r="F4" s="235"/>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8673" r:id="rId3" name="cmdReadWp1">
          <controlPr defaultSize="0" autoLine="0" r:id="rId4">
            <anchor moveWithCells="1">
              <from>
                <xdr:col>5</xdr:col>
                <xdr:colOff>636814</xdr:colOff>
                <xdr:row>0</xdr:row>
                <xdr:rowOff>65314</xdr:rowOff>
              </from>
              <to>
                <xdr:col>6</xdr:col>
                <xdr:colOff>59871</xdr:colOff>
                <xdr:row>1</xdr:row>
                <xdr:rowOff>119743</xdr:rowOff>
              </to>
            </anchor>
          </controlPr>
        </control>
      </mc:Choice>
      <mc:Fallback>
        <control shapeId="28673" r:id="rId3" name="cmdReadWp1"/>
      </mc:Fallback>
    </mc:AlternateContent>
    <mc:AlternateContent xmlns:mc="http://schemas.openxmlformats.org/markup-compatibility/2006">
      <mc:Choice Requires="x14">
        <control shapeId="28674" r:id="rId5" name="cmdWriteWp1">
          <controlPr defaultSize="0" autoLine="0" r:id="rId6">
            <anchor moveWithCells="1">
              <from>
                <xdr:col>6</xdr:col>
                <xdr:colOff>190500</xdr:colOff>
                <xdr:row>0</xdr:row>
                <xdr:rowOff>65314</xdr:rowOff>
              </from>
              <to>
                <xdr:col>7</xdr:col>
                <xdr:colOff>555171</xdr:colOff>
                <xdr:row>1</xdr:row>
                <xdr:rowOff>114300</xdr:rowOff>
              </to>
            </anchor>
          </controlPr>
        </control>
      </mc:Choice>
      <mc:Fallback>
        <control shapeId="28674" r:id="rId5" name="cmdWriteWp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F4"/>
  <sheetViews>
    <sheetView workbookViewId="0">
      <pane ySplit="4" topLeftCell="A5" activePane="bottomLeft" state="frozen"/>
      <selection pane="bottomLeft"/>
    </sheetView>
  </sheetViews>
  <sheetFormatPr defaultRowHeight="14.6" x14ac:dyDescent="0.4"/>
  <cols>
    <col min="1" max="1" width="12" customWidth="1"/>
    <col min="2" max="2" width="17.69140625" customWidth="1"/>
    <col min="3" max="5" width="9.69140625" customWidth="1"/>
    <col min="6" max="6" width="26.84375" customWidth="1"/>
  </cols>
  <sheetData>
    <row r="1" spans="1:6" ht="20.6" x14ac:dyDescent="0.4">
      <c r="A1" s="94" t="s">
        <v>1292</v>
      </c>
    </row>
    <row r="2" spans="1:6" x14ac:dyDescent="0.4">
      <c r="A2" s="5" t="s">
        <v>900</v>
      </c>
      <c r="C2" s="73" t="s">
        <v>901</v>
      </c>
    </row>
    <row r="3" spans="1:6" x14ac:dyDescent="0.4">
      <c r="A3" s="69" t="s">
        <v>1610</v>
      </c>
    </row>
    <row r="4" spans="1:6" s="7" customFormat="1" x14ac:dyDescent="0.4">
      <c r="A4" s="63" t="s">
        <v>659</v>
      </c>
      <c r="B4" s="63" t="s">
        <v>660</v>
      </c>
      <c r="C4" s="63" t="s">
        <v>760</v>
      </c>
      <c r="D4" s="63" t="s">
        <v>759</v>
      </c>
      <c r="E4" s="235" t="s">
        <v>982</v>
      </c>
      <c r="F4" s="235"/>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9697" r:id="rId3" name="cmdReadWnd">
          <controlPr defaultSize="0" autoLine="0" r:id="rId4">
            <anchor moveWithCells="1">
              <from>
                <xdr:col>5</xdr:col>
                <xdr:colOff>772886</xdr:colOff>
                <xdr:row>0</xdr:row>
                <xdr:rowOff>76200</xdr:rowOff>
              </from>
              <to>
                <xdr:col>5</xdr:col>
                <xdr:colOff>1790700</xdr:colOff>
                <xdr:row>1</xdr:row>
                <xdr:rowOff>141514</xdr:rowOff>
              </to>
            </anchor>
          </controlPr>
        </control>
      </mc:Choice>
      <mc:Fallback>
        <control shapeId="29697" r:id="rId3" name="cmdReadWnd"/>
      </mc:Fallback>
    </mc:AlternateContent>
    <mc:AlternateContent xmlns:mc="http://schemas.openxmlformats.org/markup-compatibility/2006">
      <mc:Choice Requires="x14">
        <control shapeId="29698" r:id="rId5" name="cmdWriteWnd">
          <controlPr defaultSize="0" autoLine="0" r:id="rId6">
            <anchor moveWithCells="1">
              <from>
                <xdr:col>6</xdr:col>
                <xdr:colOff>65314</xdr:colOff>
                <xdr:row>0</xdr:row>
                <xdr:rowOff>76200</xdr:rowOff>
              </from>
              <to>
                <xdr:col>7</xdr:col>
                <xdr:colOff>429986</xdr:colOff>
                <xdr:row>1</xdr:row>
                <xdr:rowOff>141514</xdr:rowOff>
              </to>
            </anchor>
          </controlPr>
        </control>
      </mc:Choice>
      <mc:Fallback>
        <control shapeId="29698" r:id="rId5" name="cmdWriteWnd"/>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D4"/>
  <sheetViews>
    <sheetView workbookViewId="0">
      <pane ySplit="4" topLeftCell="A5" activePane="bottomLeft" state="frozen"/>
      <selection pane="bottomLeft"/>
    </sheetView>
  </sheetViews>
  <sheetFormatPr defaultRowHeight="14.6" x14ac:dyDescent="0.4"/>
  <cols>
    <col min="1" max="1" width="12.53515625" customWidth="1"/>
    <col min="2" max="2" width="14.69140625" style="6" customWidth="1"/>
    <col min="3" max="3" width="74" customWidth="1"/>
  </cols>
  <sheetData>
    <row r="1" spans="1:4" ht="20.6" x14ac:dyDescent="0.4">
      <c r="A1" s="94" t="s">
        <v>1297</v>
      </c>
      <c r="B1"/>
    </row>
    <row r="2" spans="1:4" x14ac:dyDescent="0.4">
      <c r="A2" s="5" t="s">
        <v>900</v>
      </c>
      <c r="B2"/>
      <c r="C2" s="73" t="s">
        <v>901</v>
      </c>
    </row>
    <row r="3" spans="1:4" x14ac:dyDescent="0.4">
      <c r="A3" s="69" t="s">
        <v>1610</v>
      </c>
      <c r="B3"/>
    </row>
    <row r="4" spans="1:4" s="7" customFormat="1" x14ac:dyDescent="0.4">
      <c r="A4" s="63" t="s">
        <v>659</v>
      </c>
      <c r="B4" s="63" t="s">
        <v>660</v>
      </c>
      <c r="C4" s="63" t="s">
        <v>1305</v>
      </c>
      <c r="D4" s="63"/>
    </row>
  </sheetData>
  <pageMargins left="0.7" right="0.7" top="0.75" bottom="0.75" header="0.3" footer="0.3"/>
  <pageSetup orientation="portrait" r:id="rId1"/>
  <drawing r:id="rId2"/>
  <legacyDrawing r:id="rId3"/>
  <controls>
    <mc:AlternateContent xmlns:mc="http://schemas.openxmlformats.org/markup-compatibility/2006">
      <mc:Choice Requires="x14">
        <control shapeId="94210" r:id="rId4" name="cmdWriteSuba">
          <controlPr defaultSize="0" autoLine="0" r:id="rId5">
            <anchor moveWithCells="1">
              <from>
                <xdr:col>2</xdr:col>
                <xdr:colOff>3913414</xdr:colOff>
                <xdr:row>0</xdr:row>
                <xdr:rowOff>65314</xdr:rowOff>
              </from>
              <to>
                <xdr:col>2</xdr:col>
                <xdr:colOff>4931229</xdr:colOff>
                <xdr:row>1</xdr:row>
                <xdr:rowOff>130629</xdr:rowOff>
              </to>
            </anchor>
          </controlPr>
        </control>
      </mc:Choice>
      <mc:Fallback>
        <control shapeId="94210" r:id="rId4" name="cmdWriteSuba"/>
      </mc:Fallback>
    </mc:AlternateContent>
    <mc:AlternateContent xmlns:mc="http://schemas.openxmlformats.org/markup-compatibility/2006">
      <mc:Choice Requires="x14">
        <control shapeId="94209" r:id="rId6" name="cmdReadSuba">
          <controlPr defaultSize="0" autoLine="0" r:id="rId7">
            <anchor moveWithCells="1">
              <from>
                <xdr:col>2</xdr:col>
                <xdr:colOff>2857500</xdr:colOff>
                <xdr:row>0</xdr:row>
                <xdr:rowOff>65314</xdr:rowOff>
              </from>
              <to>
                <xdr:col>2</xdr:col>
                <xdr:colOff>3875314</xdr:colOff>
                <xdr:row>1</xdr:row>
                <xdr:rowOff>130629</xdr:rowOff>
              </to>
            </anchor>
          </controlPr>
        </control>
      </mc:Choice>
      <mc:Fallback>
        <control shapeId="94209" r:id="rId6" name="cmdReadSuba"/>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41AD5-D879-4460-B395-68507509B26E}">
  <sheetPr codeName="Sheet28"/>
  <dimension ref="A1:AF4"/>
  <sheetViews>
    <sheetView zoomScaleNormal="100" workbookViewId="0">
      <pane ySplit="4" topLeftCell="A5" activePane="bottomLeft" state="frozen"/>
      <selection pane="bottomLeft"/>
    </sheetView>
  </sheetViews>
  <sheetFormatPr defaultColWidth="9.15234375" defaultRowHeight="14.6" x14ac:dyDescent="0.4"/>
  <cols>
    <col min="1" max="1" width="9.69140625" customWidth="1"/>
    <col min="2" max="32" width="10.53515625" customWidth="1"/>
  </cols>
  <sheetData>
    <row r="1" spans="1:32" ht="25.4" customHeight="1" x14ac:dyDescent="0.4">
      <c r="A1" s="94" t="s">
        <v>1616</v>
      </c>
      <c r="B1" s="10"/>
      <c r="C1" s="8"/>
    </row>
    <row r="2" spans="1:32" ht="19.95" customHeight="1" x14ac:dyDescent="0.4">
      <c r="A2" s="98" t="s">
        <v>918</v>
      </c>
      <c r="B2" s="95" t="s">
        <v>1873</v>
      </c>
      <c r="C2" s="17"/>
      <c r="D2" s="27" t="s">
        <v>758</v>
      </c>
      <c r="E2" s="85" t="s">
        <v>1618</v>
      </c>
    </row>
    <row r="3" spans="1:32" ht="15" customHeight="1" x14ac:dyDescent="0.4">
      <c r="A3" s="98"/>
      <c r="B3" s="95"/>
      <c r="C3" s="17"/>
      <c r="D3" s="27"/>
      <c r="E3" s="85"/>
    </row>
    <row r="4" spans="1:32" s="1" customFormat="1" x14ac:dyDescent="0.4">
      <c r="A4" s="1" t="s">
        <v>1801</v>
      </c>
      <c r="B4" s="1" t="s">
        <v>659</v>
      </c>
      <c r="C4" s="1" t="s">
        <v>1617</v>
      </c>
      <c r="D4" s="1" t="s">
        <v>1802</v>
      </c>
      <c r="E4" s="1" t="s">
        <v>1803</v>
      </c>
      <c r="F4" s="1" t="s">
        <v>1804</v>
      </c>
      <c r="G4" s="1" t="s">
        <v>1805</v>
      </c>
      <c r="H4" s="1" t="s">
        <v>1806</v>
      </c>
      <c r="I4" s="1" t="s">
        <v>1807</v>
      </c>
      <c r="J4" s="1" t="s">
        <v>1808</v>
      </c>
      <c r="K4" s="1" t="s">
        <v>1809</v>
      </c>
      <c r="L4" s="1" t="s">
        <v>512</v>
      </c>
      <c r="M4" s="1" t="s">
        <v>1810</v>
      </c>
      <c r="N4" s="1" t="s">
        <v>1811</v>
      </c>
      <c r="O4" s="1" t="s">
        <v>1812</v>
      </c>
      <c r="P4" s="1" t="s">
        <v>1813</v>
      </c>
      <c r="Q4" s="1" t="s">
        <v>1814</v>
      </c>
      <c r="R4" s="1" t="s">
        <v>1815</v>
      </c>
      <c r="S4" s="1" t="s">
        <v>1816</v>
      </c>
      <c r="T4" s="1" t="s">
        <v>1817</v>
      </c>
      <c r="U4" s="1" t="s">
        <v>1475</v>
      </c>
      <c r="V4" s="1" t="s">
        <v>1818</v>
      </c>
      <c r="W4" s="1" t="s">
        <v>243</v>
      </c>
      <c r="X4" s="1" t="s">
        <v>183</v>
      </c>
      <c r="Y4" s="1" t="s">
        <v>184</v>
      </c>
      <c r="Z4" s="1" t="s">
        <v>314</v>
      </c>
      <c r="AA4" s="1" t="s">
        <v>316</v>
      </c>
      <c r="AB4" s="1" t="s">
        <v>186</v>
      </c>
      <c r="AC4" s="1" t="s">
        <v>319</v>
      </c>
      <c r="AD4" s="1" t="s">
        <v>187</v>
      </c>
      <c r="AE4" s="1" t="s">
        <v>497</v>
      </c>
      <c r="AF4" s="1" t="s">
        <v>498</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36193" r:id="rId4" name="cmdReadAcy">
          <controlPr defaultSize="0" autoLine="0" r:id="rId5">
            <anchor moveWithCells="1">
              <from>
                <xdr:col>7</xdr:col>
                <xdr:colOff>228600</xdr:colOff>
                <xdr:row>0</xdr:row>
                <xdr:rowOff>255814</xdr:rowOff>
              </from>
              <to>
                <xdr:col>8</xdr:col>
                <xdr:colOff>527957</xdr:colOff>
                <xdr:row>2</xdr:row>
                <xdr:rowOff>10886</xdr:rowOff>
              </to>
            </anchor>
          </controlPr>
        </control>
      </mc:Choice>
      <mc:Fallback>
        <control shapeId="136193" r:id="rId4" name="cmdReadAcy"/>
      </mc:Fallback>
    </mc:AlternateContent>
    <mc:AlternateContent xmlns:mc="http://schemas.openxmlformats.org/markup-compatibility/2006">
      <mc:Choice Requires="x14">
        <control shapeId="136194" r:id="rId6" name="cmbBoxAcy">
          <controlPr defaultSize="0" autoLine="0" linkedCell="B2" r:id="rId7">
            <anchor moveWithCells="1">
              <from>
                <xdr:col>1</xdr:col>
                <xdr:colOff>10886</xdr:colOff>
                <xdr:row>1</xdr:row>
                <xdr:rowOff>10886</xdr:rowOff>
              </from>
              <to>
                <xdr:col>2</xdr:col>
                <xdr:colOff>723900</xdr:colOff>
                <xdr:row>1</xdr:row>
                <xdr:rowOff>239486</xdr:rowOff>
              </to>
            </anchor>
          </controlPr>
        </control>
      </mc:Choice>
      <mc:Fallback>
        <control shapeId="136194" r:id="rId6" name="cmbBoxAcy"/>
      </mc:Fallback>
    </mc:AlternateContent>
    <mc:AlternateContent xmlns:mc="http://schemas.openxmlformats.org/markup-compatibility/2006">
      <mc:Choice Requires="x14">
        <control shapeId="136195" r:id="rId8" name="cmdGetAcy">
          <controlPr defaultSize="0" autoLine="0" autoPict="0" r:id="rId9">
            <anchor moveWithCells="1">
              <from>
                <xdr:col>5</xdr:col>
                <xdr:colOff>620486</xdr:colOff>
                <xdr:row>0</xdr:row>
                <xdr:rowOff>255814</xdr:rowOff>
              </from>
              <to>
                <xdr:col>7</xdr:col>
                <xdr:colOff>179614</xdr:colOff>
                <xdr:row>2</xdr:row>
                <xdr:rowOff>10886</xdr:rowOff>
              </to>
            </anchor>
          </controlPr>
        </control>
      </mc:Choice>
      <mc:Fallback>
        <control shapeId="136195" r:id="rId8" name="cmdGetAcy"/>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1D006-B51C-4AAC-93AB-1AA40BCF83D5}">
  <sheetPr codeName="Sheet29"/>
  <dimension ref="A1:BC4"/>
  <sheetViews>
    <sheetView zoomScaleNormal="100" workbookViewId="0">
      <pane ySplit="4" topLeftCell="A5" activePane="bottomLeft" state="frozen"/>
      <selection pane="bottomLeft"/>
    </sheetView>
  </sheetViews>
  <sheetFormatPr defaultColWidth="9.15234375" defaultRowHeight="14.6" x14ac:dyDescent="0.4"/>
  <cols>
    <col min="1" max="1" width="9.69140625" customWidth="1"/>
    <col min="2" max="32" width="10.53515625" style="191" customWidth="1"/>
    <col min="33" max="52" width="11.3828125" style="191" bestFit="1" customWidth="1"/>
    <col min="53" max="54" width="11" style="191" bestFit="1" customWidth="1"/>
    <col min="55" max="55" width="11.3828125" style="191" bestFit="1" customWidth="1"/>
  </cols>
  <sheetData>
    <row r="1" spans="1:55" ht="25.4" customHeight="1" x14ac:dyDescent="0.4">
      <c r="A1" s="94" t="s">
        <v>1619</v>
      </c>
      <c r="B1" s="10"/>
      <c r="C1" s="8"/>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row>
    <row r="2" spans="1:55" ht="19.95" customHeight="1" x14ac:dyDescent="0.4">
      <c r="A2" s="98" t="s">
        <v>918</v>
      </c>
      <c r="B2" s="95" t="s">
        <v>1874</v>
      </c>
      <c r="C2" s="17"/>
      <c r="D2" s="27" t="s">
        <v>758</v>
      </c>
      <c r="E2" s="85" t="s">
        <v>1620</v>
      </c>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row>
    <row r="3" spans="1:55" ht="15" customHeight="1" x14ac:dyDescent="0.4">
      <c r="A3" s="98"/>
      <c r="B3" s="95"/>
      <c r="C3" s="17"/>
      <c r="D3" s="27"/>
      <c r="E3" s="85"/>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row>
    <row r="4" spans="1:55" s="1" customFormat="1" x14ac:dyDescent="0.4">
      <c r="A4" s="1" t="s">
        <v>1617</v>
      </c>
      <c r="B4" s="1" t="s">
        <v>1624</v>
      </c>
      <c r="C4" s="1" t="s">
        <v>1625</v>
      </c>
      <c r="D4" s="1" t="s">
        <v>1737</v>
      </c>
      <c r="E4" s="1" t="s">
        <v>1738</v>
      </c>
      <c r="F4" s="1" t="s">
        <v>1739</v>
      </c>
      <c r="G4" s="1" t="s">
        <v>1740</v>
      </c>
      <c r="H4" s="1" t="s">
        <v>1621</v>
      </c>
      <c r="I4" s="1" t="s">
        <v>1622</v>
      </c>
      <c r="J4" s="1" t="s">
        <v>1623</v>
      </c>
      <c r="K4" s="1" t="s">
        <v>1741</v>
      </c>
      <c r="L4" s="1" t="s">
        <v>1742</v>
      </c>
      <c r="M4" s="1" t="s">
        <v>1743</v>
      </c>
      <c r="N4" s="1" t="s">
        <v>1744</v>
      </c>
      <c r="O4" s="1" t="s">
        <v>1745</v>
      </c>
      <c r="P4" s="1" t="s">
        <v>1746</v>
      </c>
      <c r="Q4" s="1" t="s">
        <v>1747</v>
      </c>
      <c r="R4" s="1" t="s">
        <v>1748</v>
      </c>
      <c r="S4" s="1" t="s">
        <v>1749</v>
      </c>
      <c r="T4" s="1" t="s">
        <v>1750</v>
      </c>
      <c r="U4" s="1" t="s">
        <v>1751</v>
      </c>
      <c r="V4" s="1" t="s">
        <v>1752</v>
      </c>
      <c r="W4" s="1" t="s">
        <v>1753</v>
      </c>
      <c r="X4" s="1" t="s">
        <v>1754</v>
      </c>
      <c r="Y4" s="1" t="s">
        <v>1755</v>
      </c>
      <c r="Z4" s="1" t="s">
        <v>1756</v>
      </c>
      <c r="AA4" s="1" t="s">
        <v>1757</v>
      </c>
      <c r="AB4" s="1" t="s">
        <v>1758</v>
      </c>
      <c r="AC4" s="1" t="s">
        <v>1759</v>
      </c>
      <c r="AD4" s="1" t="s">
        <v>1760</v>
      </c>
      <c r="AE4" s="1" t="s">
        <v>1761</v>
      </c>
      <c r="AF4" s="1" t="s">
        <v>1626</v>
      </c>
      <c r="AG4" s="1" t="s">
        <v>1762</v>
      </c>
      <c r="AH4" s="1" t="s">
        <v>1763</v>
      </c>
      <c r="AI4" s="1" t="s">
        <v>1764</v>
      </c>
      <c r="AJ4" s="1" t="s">
        <v>1765</v>
      </c>
      <c r="AK4" s="1" t="s">
        <v>1766</v>
      </c>
      <c r="AL4" s="1" t="s">
        <v>1627</v>
      </c>
      <c r="AM4" s="1" t="s">
        <v>1767</v>
      </c>
      <c r="AN4" s="1" t="s">
        <v>1768</v>
      </c>
      <c r="AO4" s="1" t="s">
        <v>1769</v>
      </c>
      <c r="AP4" s="1" t="s">
        <v>1770</v>
      </c>
      <c r="AQ4" s="1" t="s">
        <v>1771</v>
      </c>
      <c r="AR4" s="1" t="s">
        <v>1628</v>
      </c>
      <c r="AS4" s="1" t="s">
        <v>1772</v>
      </c>
      <c r="AT4" s="1" t="s">
        <v>1773</v>
      </c>
      <c r="AU4" s="1" t="s">
        <v>1774</v>
      </c>
      <c r="AV4" s="1" t="s">
        <v>1775</v>
      </c>
      <c r="AW4" s="1" t="s">
        <v>1776</v>
      </c>
      <c r="AX4" s="1" t="s">
        <v>1777</v>
      </c>
      <c r="AY4" s="1" t="s">
        <v>1778</v>
      </c>
      <c r="AZ4" s="1" t="s">
        <v>1779</v>
      </c>
      <c r="BA4" s="1" t="s">
        <v>1780</v>
      </c>
      <c r="BB4" s="1" t="s">
        <v>1781</v>
      </c>
      <c r="BC4" s="1" t="s">
        <v>1782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37217" r:id="rId4" name="cmdReadAwp">
          <controlPr defaultSize="0" autoLine="0" r:id="rId5">
            <anchor moveWithCells="1">
              <from>
                <xdr:col>7</xdr:col>
                <xdr:colOff>239486</xdr:colOff>
                <xdr:row>0</xdr:row>
                <xdr:rowOff>255814</xdr:rowOff>
              </from>
              <to>
                <xdr:col>8</xdr:col>
                <xdr:colOff>538843</xdr:colOff>
                <xdr:row>2</xdr:row>
                <xdr:rowOff>10886</xdr:rowOff>
              </to>
            </anchor>
          </controlPr>
        </control>
      </mc:Choice>
      <mc:Fallback>
        <control shapeId="137217" r:id="rId4" name="cmdReadAwp"/>
      </mc:Fallback>
    </mc:AlternateContent>
    <mc:AlternateContent xmlns:mc="http://schemas.openxmlformats.org/markup-compatibility/2006">
      <mc:Choice Requires="x14">
        <control shapeId="137218" r:id="rId6" name="cmbBoxAwp">
          <controlPr defaultSize="0" autoLine="0" linkedCell="B2" r:id="rId7">
            <anchor moveWithCells="1">
              <from>
                <xdr:col>1</xdr:col>
                <xdr:colOff>10886</xdr:colOff>
                <xdr:row>1</xdr:row>
                <xdr:rowOff>10886</xdr:rowOff>
              </from>
              <to>
                <xdr:col>2</xdr:col>
                <xdr:colOff>723900</xdr:colOff>
                <xdr:row>1</xdr:row>
                <xdr:rowOff>239486</xdr:rowOff>
              </to>
            </anchor>
          </controlPr>
        </control>
      </mc:Choice>
      <mc:Fallback>
        <control shapeId="137218" r:id="rId6" name="cmbBoxAwp"/>
      </mc:Fallback>
    </mc:AlternateContent>
    <mc:AlternateContent xmlns:mc="http://schemas.openxmlformats.org/markup-compatibility/2006">
      <mc:Choice Requires="x14">
        <control shapeId="137219" r:id="rId8" name="cmdGetAwp">
          <controlPr defaultSize="0" autoLine="0" r:id="rId9">
            <anchor moveWithCells="1">
              <from>
                <xdr:col>5</xdr:col>
                <xdr:colOff>620486</xdr:colOff>
                <xdr:row>0</xdr:row>
                <xdr:rowOff>255814</xdr:rowOff>
              </from>
              <to>
                <xdr:col>7</xdr:col>
                <xdr:colOff>174171</xdr:colOff>
                <xdr:row>2</xdr:row>
                <xdr:rowOff>10886</xdr:rowOff>
              </to>
            </anchor>
          </controlPr>
        </control>
      </mc:Choice>
      <mc:Fallback>
        <control shapeId="137219" r:id="rId8" name="cmdGetAwp"/>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63BF1-6FBE-42C7-B3C7-0CFD68035D79}">
  <sheetPr codeName="Sheet30"/>
  <dimension ref="A1:BC4"/>
  <sheetViews>
    <sheetView zoomScaleNormal="100" workbookViewId="0">
      <pane ySplit="4" topLeftCell="A5" activePane="bottomLeft" state="frozen"/>
      <selection pane="bottomLeft" activeCell="A5" sqref="A5"/>
    </sheetView>
  </sheetViews>
  <sheetFormatPr defaultColWidth="9.15234375" defaultRowHeight="14.6" x14ac:dyDescent="0.4"/>
  <cols>
    <col min="1" max="1" width="9.69140625" customWidth="1"/>
    <col min="2" max="32" width="10.53515625" style="191" customWidth="1"/>
    <col min="33" max="52" width="11.3828125" style="191" bestFit="1" customWidth="1"/>
    <col min="53" max="54" width="11" style="191" bestFit="1" customWidth="1"/>
    <col min="55" max="55" width="11.3828125" style="191" bestFit="1" customWidth="1"/>
  </cols>
  <sheetData>
    <row r="1" spans="1:55" ht="25.4" customHeight="1" x14ac:dyDescent="0.4">
      <c r="A1" s="94" t="s">
        <v>1882</v>
      </c>
      <c r="B1" s="10"/>
      <c r="C1" s="8"/>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row>
    <row r="2" spans="1:55" ht="19.95" customHeight="1" x14ac:dyDescent="0.4">
      <c r="A2" s="98" t="s">
        <v>918</v>
      </c>
      <c r="B2" s="95" t="s">
        <v>1884</v>
      </c>
      <c r="C2" s="17"/>
      <c r="D2" s="27" t="s">
        <v>758</v>
      </c>
      <c r="E2" s="85" t="s">
        <v>1883</v>
      </c>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row>
    <row r="3" spans="1:55" ht="15" customHeight="1" x14ac:dyDescent="0.4">
      <c r="A3" s="98"/>
      <c r="B3" s="95"/>
      <c r="C3" s="17"/>
      <c r="D3" s="27"/>
      <c r="E3" s="85"/>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row>
    <row r="4" spans="1:55" s="1" customFormat="1" x14ac:dyDescent="0.4">
      <c r="A4" s="1" t="s">
        <v>1885</v>
      </c>
      <c r="B4" s="1" t="s">
        <v>1886</v>
      </c>
      <c r="C4" s="1" t="s">
        <v>1887</v>
      </c>
      <c r="D4" s="1" t="s">
        <v>1888</v>
      </c>
      <c r="E4" s="1" t="s">
        <v>1889</v>
      </c>
      <c r="F4" s="1" t="s">
        <v>1890</v>
      </c>
      <c r="G4" s="1" t="s">
        <v>1891</v>
      </c>
      <c r="H4" s="1" t="s">
        <v>1892</v>
      </c>
      <c r="I4" s="1" t="s">
        <v>1893</v>
      </c>
      <c r="J4" s="1" t="s">
        <v>1894</v>
      </c>
      <c r="K4" s="1" t="s">
        <v>1895</v>
      </c>
      <c r="L4" s="1" t="s">
        <v>1896</v>
      </c>
      <c r="M4" s="1" t="s">
        <v>1897</v>
      </c>
      <c r="N4" s="1" t="s">
        <v>1898</v>
      </c>
      <c r="O4" s="1" t="s">
        <v>1899</v>
      </c>
      <c r="P4" s="1" t="s">
        <v>1900</v>
      </c>
      <c r="Q4" s="1" t="s">
        <v>1901</v>
      </c>
      <c r="R4" s="1" t="s">
        <v>1902</v>
      </c>
      <c r="S4" s="1" t="s">
        <v>1903</v>
      </c>
      <c r="T4" s="1" t="s">
        <v>1904</v>
      </c>
      <c r="U4" s="1" t="s">
        <v>1905</v>
      </c>
      <c r="V4" s="1" t="s">
        <v>1906</v>
      </c>
      <c r="W4" s="1" t="s">
        <v>1907</v>
      </c>
      <c r="X4" s="1" t="s">
        <v>1908</v>
      </c>
      <c r="Y4" s="1" t="s">
        <v>1909</v>
      </c>
      <c r="Z4" s="1" t="s">
        <v>1910</v>
      </c>
      <c r="AA4" s="1" t="s">
        <v>1911</v>
      </c>
      <c r="AB4" s="1" t="s">
        <v>1912</v>
      </c>
      <c r="AC4" s="1" t="s">
        <v>1913</v>
      </c>
      <c r="AD4" s="1" t="s">
        <v>1914</v>
      </c>
      <c r="AE4" s="1" t="s">
        <v>1915</v>
      </c>
      <c r="AF4" s="1" t="s">
        <v>1916</v>
      </c>
      <c r="AG4" s="1" t="s">
        <v>1917</v>
      </c>
      <c r="AH4" s="1" t="s">
        <v>1918</v>
      </c>
      <c r="AI4" s="1" t="s">
        <v>1919</v>
      </c>
      <c r="AJ4" s="1" t="s">
        <v>1920</v>
      </c>
      <c r="AK4" s="1" t="s">
        <v>1921</v>
      </c>
      <c r="AL4" s="1" t="s">
        <v>1922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38241" r:id="rId4" name="cmdReadRch">
          <controlPr defaultSize="0" autoLine="0" r:id="rId5">
            <anchor moveWithCells="1">
              <from>
                <xdr:col>7</xdr:col>
                <xdr:colOff>277586</xdr:colOff>
                <xdr:row>0</xdr:row>
                <xdr:rowOff>255814</xdr:rowOff>
              </from>
              <to>
                <xdr:col>8</xdr:col>
                <xdr:colOff>576943</xdr:colOff>
                <xdr:row>2</xdr:row>
                <xdr:rowOff>10886</xdr:rowOff>
              </to>
            </anchor>
          </controlPr>
        </control>
      </mc:Choice>
      <mc:Fallback>
        <control shapeId="138241" r:id="rId4" name="cmdReadRch"/>
      </mc:Fallback>
    </mc:AlternateContent>
    <mc:AlternateContent xmlns:mc="http://schemas.openxmlformats.org/markup-compatibility/2006">
      <mc:Choice Requires="x14">
        <control shapeId="138242" r:id="rId6" name="cmbBoxRch">
          <controlPr defaultSize="0" autoLine="0" linkedCell="B2" r:id="rId7">
            <anchor moveWithCells="1">
              <from>
                <xdr:col>1</xdr:col>
                <xdr:colOff>10886</xdr:colOff>
                <xdr:row>1</xdr:row>
                <xdr:rowOff>10886</xdr:rowOff>
              </from>
              <to>
                <xdr:col>2</xdr:col>
                <xdr:colOff>723900</xdr:colOff>
                <xdr:row>1</xdr:row>
                <xdr:rowOff>239486</xdr:rowOff>
              </to>
            </anchor>
          </controlPr>
        </control>
      </mc:Choice>
      <mc:Fallback>
        <control shapeId="138242" r:id="rId6" name="cmbBoxRch"/>
      </mc:Fallback>
    </mc:AlternateContent>
    <mc:AlternateContent xmlns:mc="http://schemas.openxmlformats.org/markup-compatibility/2006">
      <mc:Choice Requires="x14">
        <control shapeId="138243" r:id="rId8" name="cmdGetRch">
          <controlPr defaultSize="0" autoLine="0" r:id="rId9">
            <anchor moveWithCells="1">
              <from>
                <xdr:col>5</xdr:col>
                <xdr:colOff>620486</xdr:colOff>
                <xdr:row>0</xdr:row>
                <xdr:rowOff>255814</xdr:rowOff>
              </from>
              <to>
                <xdr:col>7</xdr:col>
                <xdr:colOff>174171</xdr:colOff>
                <xdr:row>2</xdr:row>
                <xdr:rowOff>10886</xdr:rowOff>
              </to>
            </anchor>
          </controlPr>
        </control>
      </mc:Choice>
      <mc:Fallback>
        <control shapeId="138243" r:id="rId8" name="cmdGetRch"/>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3</vt:i4>
      </vt:variant>
    </vt:vector>
  </HeadingPairs>
  <TitlesOfParts>
    <vt:vector size="31" baseType="lpstr">
      <vt:lpstr>APEXMAIN</vt:lpstr>
      <vt:lpstr>APEXFILE.DAT</vt:lpstr>
      <vt:lpstr>APEXRUN.DAT</vt:lpstr>
      <vt:lpstr>APEXCONT.DAT</vt:lpstr>
      <vt:lpstr>APEXDIM.DAT</vt:lpstr>
      <vt:lpstr>APEXPRINT.DAT</vt:lpstr>
      <vt:lpstr>APEXPARM.DAT</vt:lpstr>
      <vt:lpstr>MNGT.MNG</vt:lpstr>
      <vt:lpstr>SOIL.SOL</vt:lpstr>
      <vt:lpstr>SUBS.SUB</vt:lpstr>
      <vt:lpstr>SITE.SIT</vt:lpstr>
      <vt:lpstr>APEXTILL.TAB</vt:lpstr>
      <vt:lpstr>APEXPLANT.TAB</vt:lpstr>
      <vt:lpstr>APEXFERT.TAB</vt:lpstr>
      <vt:lpstr>APEXPEST.TAB</vt:lpstr>
      <vt:lpstr>WDLY.DLY</vt:lpstr>
      <vt:lpstr>WPM1.WP1</vt:lpstr>
      <vt:lpstr>WIND.WND</vt:lpstr>
      <vt:lpstr>SITE.LIST</vt:lpstr>
      <vt:lpstr>MNGT.LIST</vt:lpstr>
      <vt:lpstr>SOLC.LIST</vt:lpstr>
      <vt:lpstr>WDLY.LIST</vt:lpstr>
      <vt:lpstr>WPM1.LIST</vt:lpstr>
      <vt:lpstr>WIND.LIST</vt:lpstr>
      <vt:lpstr>SUBA.LIST</vt:lpstr>
      <vt:lpstr>OUT.ACY</vt:lpstr>
      <vt:lpstr>OUT.AWP</vt:lpstr>
      <vt:lpstr>OUT.RCH</vt:lpstr>
      <vt:lpstr>APEXDIM.DAT!_Toc352162512</vt:lpstr>
      <vt:lpstr>APEXFILE.DAT!OLE_LINK29</vt:lpstr>
      <vt:lpstr>APEXPRINT.DAT!OLE_LINK52</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Osorio</dc:creator>
  <cp:lastModifiedBy>Jaehak Jeong</cp:lastModifiedBy>
  <cp:lastPrinted>2015-03-20T15:31:51Z</cp:lastPrinted>
  <dcterms:created xsi:type="dcterms:W3CDTF">2014-12-08T17:04:50Z</dcterms:created>
  <dcterms:modified xsi:type="dcterms:W3CDTF">2023-04-04T15:04:31Z</dcterms:modified>
</cp:coreProperties>
</file>